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mo usar" sheetId="1" state="visible" r:id="rId3"/>
    <sheet name="Retrovisor 2026" sheetId="2" state="visible" r:id="rId4"/>
    <sheet name="Plano" sheetId="3" state="visible" r:id="rId5"/>
    <sheet name="Check-i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<sst xmlns="http://schemas.openxmlformats.org/spreadsheetml/2006/main" count="54" uniqueCount="53">
  <si>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Plano 2027 com OKR pessoal</t>
  </si>
  <si>
    <t xml:space="preserve">Finanças que Curam · Grupo FQC · Comunidade Manada · Por Aline Seabra</t>
  </si>
  <si>
    <t xml:space="preserve">Meta sem medida vira desejo. Um objetivo, três resultados que mostram se você está chegando lá, e uma revisão por mês.</t>
  </si>
  <si>
    <t xml:space="preserve">Como preencher</t>
  </si>
  <si>
    <t xml:space="preserve">1. Aba Retrovisor: responda às 3 perguntas sobre 2026. É o ponto de partida emocional do plano.</t>
  </si>
  <si>
    <t xml:space="preserve">2. Aba Plano: escreva 1 objetivo (o que você quer) e até 3 resultados-chave (como você vai medir).</t>
  </si>
  <si>
    <t xml:space="preserve">3. Para cada resultado-chave, informe de onde você parte (linha de base), aonde quer chegar (meta) e o prazo.</t>
  </si>
  <si>
    <t xml:space="preserve">4. Aba Check-in: todo mês, anote o número atual de cada resultado-chave. O progresso e o status se atualizam sozinhos.</t>
  </si>
  <si>
    <t xml:space="preserve">5. Se o resultado-chave é de reduzir (por exemplo, zerar uma dívida), a meta é menor que a linha de base. A planilha entende os dois sentidos.</t>
  </si>
  <si>
    <t xml:space="preserve">Legenda</t>
  </si>
  <si>
    <t xml:space="preserve">Célula amarela = você preenche.   Texto azul = valor de exemplo.   Texto preto = cálculo automático, não apague.</t>
  </si>
  <si>
    <t xml:space="preserve">Exemplo do workshop</t>
  </si>
  <si>
    <t xml:space="preserve">Objetivo: ter tranquilidade financeira em 2027. KR1: 6 meses de reserva até dezembro. KR2: zerar o rotativo do cartão até março. KR3: guardar 10% da renda todo mês.</t>
  </si>
  <si>
    <t xml:space="preserve">Conteúdo educativo. Não é recomendação de investimento.</t>
  </si>
  <si>
    <t xml:space="preserve">Retrovisor 2026</t>
  </si>
  <si>
    <t xml:space="preserve">O que deu certo na minha vida financeira este ano?</t>
  </si>
  <si>
    <t xml:space="preserve">Montei minha primeira reserva e parei de entrar no cheque especial.</t>
  </si>
  <si>
    <t xml:space="preserve">O que doeu?</t>
  </si>
  <si>
    <t xml:space="preserve">Gastei demais nas compras por recompensa depois de semanas difíceis.</t>
  </si>
  <si>
    <t xml:space="preserve">O que eu levo de aprendizado para 2027?</t>
  </si>
  <si>
    <t xml:space="preserve">Antes de comprar, esperar 72 horas. E olhar o painel uma vez por semana.</t>
  </si>
  <si>
    <t xml:space="preserve">Plano 2027</t>
  </si>
  <si>
    <t xml:space="preserve">Objetivo</t>
  </si>
  <si>
    <t xml:space="preserve">Ter tranquilidade financeira em 2027</t>
  </si>
  <si>
    <t xml:space="preserve">Escreva como um desejo claro, sem número. Os números ficam nos resultados-chave.</t>
  </si>
  <si>
    <t xml:space="preserve">KR</t>
  </si>
  <si>
    <t xml:space="preserve">Resultado-chave (como vou medir)</t>
  </si>
  <si>
    <t xml:space="preserve">Unidade</t>
  </si>
  <si>
    <t xml:space="preserve">Linha de base</t>
  </si>
  <si>
    <t xml:space="preserve">Meta</t>
  </si>
  <si>
    <t xml:space="preserve">Prazo</t>
  </si>
  <si>
    <t xml:space="preserve">Último valor</t>
  </si>
  <si>
    <t xml:space="preserve">Progresso</t>
  </si>
  <si>
    <t xml:space="preserve">Status</t>
  </si>
  <si>
    <t xml:space="preserve">KR1</t>
  </si>
  <si>
    <t xml:space="preserve">Ter 6 meses de reserva de emergência</t>
  </si>
  <si>
    <t xml:space="preserve">R$</t>
  </si>
  <si>
    <t xml:space="preserve">KR2</t>
  </si>
  <si>
    <t xml:space="preserve">Zerar o saldo do cartão rotativo</t>
  </si>
  <si>
    <t xml:space="preserve">KR3</t>
  </si>
  <si>
    <t xml:space="preserve">Guardar 10% da renda todo mês</t>
  </si>
  <si>
    <t xml:space="preserve">%</t>
  </si>
  <si>
    <t xml:space="preserve">No ritmo = o progresso acompanha o tempo que já passou até o prazo (com 10 pontos de folga).</t>
  </si>
  <si>
    <t xml:space="preserve">Como eu garanto</t>
  </si>
  <si>
    <t xml:space="preserve">Transferência automática para a reserva no dia seguinte ao salário.</t>
  </si>
  <si>
    <t xml:space="preserve">Revisão do plano todo dia 5, com o check-in do mês.</t>
  </si>
  <si>
    <t xml:space="preserve">Regra das 72 horas para compras fora da lista.</t>
  </si>
  <si>
    <t xml:space="preserve">Check-in mensal</t>
  </si>
  <si>
    <t xml:space="preserve">Todo mês, anote o valor atual de cada resultado-chave. Deixe em branco os meses que ainda não chegaram.</t>
  </si>
  <si>
    <t xml:space="preserve">Mês</t>
  </si>
  <si>
    <t xml:space="preserve">Nota do mês (o que aprendi)</t>
  </si>
  <si>
    <t xml:space="preserve">Comecei a transferência automática.</t>
  </si>
  <si>
    <t xml:space="preserve">Fevereiro tem material escolar: segurei o delivery.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</si>
</sst>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mmm/yyyy"/>
    <numFmt numFmtId="167" formatCode="0.0%;\-0.0%;\-"/>
    <numFmt numFmtId="168" formatCode="0%"/>
    <numFmt numFmtId="169" formatCode="mmm/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b val="true"/>
      <sz val="12"/>
      <color rgb="FF233C3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233C3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6E6C8"/>
      </patternFill>
    </fill>
    <fill>
      <patternFill patternType="solid">
        <fgColor rgb="FF233C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F6B4F"/>
      </font>
      <fill>
        <patternFill>
          <bgColor rgb="FFD9EADF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6E6C8"/>
        </patternFill>
      </fill>
    </dxf>
    <dxf>
      <font>
        <name val="Arial"/>
        <charset val="1"/>
        <family val="0"/>
        <b val="1"/>
        <color rgb="FF9B3B2E"/>
      </font>
      <fill>
        <patternFill>
          <bgColor rgb="FFF5DC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2F6B4F"/>
      <rgbColor rgb="FFDCDED3"/>
      <rgbColor rgb="FF878787"/>
      <rgbColor rgb="FF9999FF"/>
      <rgbColor rgb="FF993366"/>
      <rgbColor rgb="FFFFF2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F"/>
      <rgbColor rgb="FFF6E6C8"/>
      <rgbColor rgb="FF99CCFF"/>
      <rgbColor rgb="FFFF99CC"/>
      <rgbColor rgb="FFCC99FF"/>
      <rgbColor rgb="FFF5DCD6"/>
      <rgbColor rgb="FF4F81BD"/>
      <rgbColor rgb="FF33CCCC"/>
      <rgbColor rgb="FF99CC00"/>
      <rgbColor rgb="FFFFCC00"/>
      <rgbColor rgb="FFFF9900"/>
      <rgbColor rgb="FFFF6600"/>
      <rgbColor rgb="FF637069"/>
      <rgbColor rgb="FFA16C46"/>
      <rgbColor rgb="FF003366"/>
      <rgbColor rgb="FF339966"/>
      <rgbColor rgb="FF003300"/>
      <rgbColor rgb="FF333300"/>
      <rgbColor rgb="FF9B3B2E"/>
      <rgbColor rgb="FF993366"/>
      <rgbColor rgb="FF333399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 dos resultados-chave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Plano!$B$8:$B$10</c:f>
              <c:strCache>
                <c:ptCount val="3"/>
                <c:pt idx="0">
                  <c:v>KR1</c:v>
                </c:pt>
                <c:pt idx="1">
                  <c:v>KR2</c:v>
                </c:pt>
                <c:pt idx="2">
                  <c:v>KR3</c:v>
                </c:pt>
              </c:strCache>
            </c:strRef>
          </c:cat>
          <c:val>
            <c:numRef>
              <c:f>Plano!$I$8:$I$10</c:f>
              <c:numCache>
                <c:formatCode>0.0%;\-0.0%;\-</c:formatCode>
                <c:ptCount val="3"/>
                <c:pt idx="0">
                  <c:v>0.108695652173913</c:v>
                </c:pt>
                <c:pt idx="1">
                  <c:v>0.616666666666667</c:v>
                </c:pt>
                <c:pt idx="2">
                  <c:v>0.75</c:v>
                </c:pt>
              </c:numCache>
            </c:numRef>
          </c:val>
        </c:ser>
        <c:gapWidth val="150"/>
        <c:overlap val="0"/>
        <c:axId val="33361867"/>
        <c:axId val="33599234"/>
      </c:barChart>
      <c:catAx>
        <c:axId val="333618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99234"/>
        <c:crosses val="autoZero"/>
        <c:auto val="1"/>
        <c:lblAlgn val="ctr"/>
        <c:lblOffset val="100"/>
        <c:noMultiLvlLbl val="0"/>
      </c:catAx>
      <c:valAx>
        <c:axId val="3359923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618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18</xdr:row>
      <xdr:rowOff>100800</xdr:rowOff>
    </xdr:from>
    <xdr:to>
      <xdr:col>5</xdr:col>
      <xdr:colOff>262080</xdr:colOff>
      <xdr:row>29</xdr:row>
      <xdr:rowOff>164880</xdr:rowOff>
    </xdr:to>
    <xdr:graphicFrame>
      <xdr:nvGraphicFramePr>
        <xdr:cNvPr id="0" name="Chart 1"/>
        <xdr:cNvGraphicFramePr/>
      </xdr:nvGraphicFramePr>
      <xdr:xfrm>
        <a:off x="775440" y="3809880"/>
        <a:ext cx="57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26.8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3" t="s">
        <v>7</v>
      </c>
    </row>
    <row r="12" customFormat="false" ht="26.8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16.15" hidden="false" customHeight="false" outlineLevel="0" collapsed="false">
      <c r="B14" s="5" t="s">
        <v>9</v>
      </c>
    </row>
    <row r="15" customFormat="false" ht="26.85" hidden="false" customHeight="false" outlineLevel="0" collapsed="false">
      <c r="B15" s="6" t="s">
        <v>10</v>
      </c>
    </row>
    <row r="16" customFormat="false" ht="15" hidden="false" customHeight="false" outlineLevel="0" collapsed="false">
      <c r="B16" s="3"/>
    </row>
    <row r="17" customFormat="false" ht="16.15" hidden="false" customHeight="false" outlineLevel="0" collapsed="false">
      <c r="B17" s="5" t="s">
        <v>11</v>
      </c>
    </row>
    <row r="18" customFormat="false" ht="26.8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8" t="s">
        <v>14</v>
      </c>
    </row>
    <row r="4" customFormat="false" ht="15" hidden="false" customHeight="false" outlineLevel="0" collapsed="false">
      <c r="B4" s="9" t="s">
        <v>15</v>
      </c>
    </row>
    <row r="5" customFormat="false" ht="60" hidden="false" customHeight="true" outlineLevel="0" collapsed="false">
      <c r="B5" s="10" t="s">
        <v>16</v>
      </c>
    </row>
    <row r="7" customFormat="false" ht="15" hidden="false" customHeight="false" outlineLevel="0" collapsed="false">
      <c r="B7" s="9" t="s">
        <v>17</v>
      </c>
    </row>
    <row r="8" customFormat="false" ht="60" hidden="false" customHeight="true" outlineLevel="0" collapsed="false">
      <c r="B8" s="10" t="s">
        <v>18</v>
      </c>
    </row>
    <row r="10" customFormat="false" ht="15" hidden="false" customHeight="false" outlineLevel="0" collapsed="false">
      <c r="B10" s="9" t="s">
        <v>19</v>
      </c>
    </row>
    <row r="11" customFormat="false" ht="60" hidden="false" customHeight="true" outlineLevel="0" collapsed="false">
      <c r="B11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6" min="4" style="0" width="16"/>
    <col collapsed="false" customWidth="true" hidden="false" outlineLevel="0" max="10" min="7" style="0" width="14"/>
  </cols>
  <sheetData>
    <row r="2" customFormat="false" ht="22.05" hidden="false" customHeight="false" outlineLevel="0" collapsed="false">
      <c r="B2" s="8" t="s">
        <v>21</v>
      </c>
    </row>
    <row r="4" customFormat="false" ht="15" hidden="false" customHeight="false" outlineLevel="0" collapsed="false">
      <c r="B4" s="11" t="s">
        <v>22</v>
      </c>
      <c r="C4" s="12" t="s">
        <v>23</v>
      </c>
      <c r="D4" s="12"/>
      <c r="E4" s="12"/>
      <c r="F4" s="12"/>
    </row>
    <row r="5" customFormat="false" ht="15" hidden="false" customHeight="false" outlineLevel="0" collapsed="false">
      <c r="C5" s="13" t="s">
        <v>24</v>
      </c>
    </row>
    <row r="7" customFormat="false" ht="30" hidden="false" customHeight="true" outlineLevel="0" collapsed="false">
      <c r="B7" s="14" t="s">
        <v>25</v>
      </c>
      <c r="C7" s="15" t="s">
        <v>26</v>
      </c>
      <c r="D7" s="15" t="s">
        <v>27</v>
      </c>
      <c r="E7" s="15" t="s">
        <v>28</v>
      </c>
      <c r="F7" s="15" t="s">
        <v>29</v>
      </c>
      <c r="G7" s="15" t="s">
        <v>30</v>
      </c>
      <c r="H7" s="15" t="s">
        <v>31</v>
      </c>
      <c r="I7" s="15" t="s">
        <v>32</v>
      </c>
      <c r="J7" s="15" t="s">
        <v>33</v>
      </c>
    </row>
    <row r="8" customFormat="false" ht="15" hidden="false" customHeight="false" outlineLevel="0" collapsed="false">
      <c r="B8" s="11" t="s">
        <v>34</v>
      </c>
      <c r="C8" s="12" t="s">
        <v>35</v>
      </c>
      <c r="D8" s="12" t="s">
        <v>36</v>
      </c>
      <c r="E8" s="16" t="n">
        <v>4000</v>
      </c>
      <c r="F8" s="16" t="n">
        <v>27000</v>
      </c>
      <c r="G8" s="17" t="n">
        <v>46722</v>
      </c>
      <c r="H8" s="18" t="n">
        <f aca="false">IFERROR(LOOKUP(2,1/('Check-in'!C$6:C$17&lt;&gt;""),'Check-in'!C$6:C$17),E8)</f>
        <v>6500</v>
      </c>
      <c r="I8" s="19" t="n">
        <f aca="false">IF(F8=E8,0,MAX(0,MIN(1,(H8-E8)/(F8-E8))))</f>
        <v>0.108695652173913</v>
      </c>
      <c r="J8" s="20" t="str">
        <f aca="false">IF(I8&gt;=1,"Concluído",IF(I8&gt;=MIN(1,MAX(0,((IFERROR(LOOKUP(2,1/('Check-in'!C$6:C$17&lt;&gt;""),'Check-in'!$B$6:$B$17),DATE(2026,12,1)))-DATE(2026,12,1))/(G8-DATE(2026,12,1))))-0.1,"No ritmo","Atrasado"))</f>
        <v>No ritmo</v>
      </c>
    </row>
    <row r="9" customFormat="false" ht="15" hidden="false" customHeight="false" outlineLevel="0" collapsed="false">
      <c r="B9" s="11" t="s">
        <v>37</v>
      </c>
      <c r="C9" s="12" t="s">
        <v>38</v>
      </c>
      <c r="D9" s="12" t="s">
        <v>36</v>
      </c>
      <c r="E9" s="16" t="n">
        <v>3000</v>
      </c>
      <c r="F9" s="16" t="n">
        <v>0</v>
      </c>
      <c r="G9" s="17" t="n">
        <v>46447</v>
      </c>
      <c r="H9" s="18" t="n">
        <f aca="false">IFERROR(LOOKUP(2,1/('Check-in'!D$6:D$17&lt;&gt;""),'Check-in'!D$6:D$17),E9)</f>
        <v>1150</v>
      </c>
      <c r="I9" s="19" t="n">
        <f aca="false">IF(F9=E9,0,MAX(0,MIN(1,(H9-E9)/(F9-E9))))</f>
        <v>0.616666666666667</v>
      </c>
      <c r="J9" s="20" t="str">
        <f aca="false">IF(I9&gt;=1,"Concluído",IF(I9&gt;=MIN(1,MAX(0,((IFERROR(LOOKUP(2,1/('Check-in'!D$6:D$17&lt;&gt;""),'Check-in'!$B$6:$B$17),DATE(2026,12,1)))-DATE(2026,12,1))/(G9-DATE(2026,12,1))))-0.1,"No ritmo","Atrasado"))</f>
        <v>No ritmo</v>
      </c>
    </row>
    <row r="10" customFormat="false" ht="15" hidden="false" customHeight="false" outlineLevel="0" collapsed="false">
      <c r="B10" s="11" t="s">
        <v>39</v>
      </c>
      <c r="C10" s="12" t="s">
        <v>40</v>
      </c>
      <c r="D10" s="12" t="s">
        <v>41</v>
      </c>
      <c r="E10" s="21" t="n">
        <v>0.02</v>
      </c>
      <c r="F10" s="21" t="n">
        <v>0.1</v>
      </c>
      <c r="G10" s="17" t="n">
        <v>46722</v>
      </c>
      <c r="H10" s="22" t="n">
        <f aca="false">IFERROR(LOOKUP(2,1/('Check-in'!E$6:E$17&lt;&gt;""),'Check-in'!E$6:E$17),E10)</f>
        <v>0.08</v>
      </c>
      <c r="I10" s="19" t="n">
        <f aca="false">IF(F10=E10,0,MAX(0,MIN(1,(H10-E10)/(F10-E10))))</f>
        <v>0.75</v>
      </c>
      <c r="J10" s="20" t="str">
        <f aca="false">IF(I10&gt;=1,"Concluído",IF(I10&gt;=MIN(1,MAX(0,((IFERROR(LOOKUP(2,1/('Check-in'!E$6:E$17&lt;&gt;""),'Check-in'!$B$6:$B$17),DATE(2026,12,1)))-DATE(2026,12,1))/(G10-DATE(2026,12,1))))-0.1,"No ritmo","Atrasado"))</f>
        <v>No ritmo</v>
      </c>
    </row>
    <row r="12" customFormat="false" ht="15" hidden="false" customHeight="false" outlineLevel="0" collapsed="false">
      <c r="B12" s="13" t="s">
        <v>42</v>
      </c>
    </row>
    <row r="14" customFormat="false" ht="15" hidden="false" customHeight="false" outlineLevel="0" collapsed="false">
      <c r="B14" s="11" t="s">
        <v>43</v>
      </c>
    </row>
    <row r="15" customFormat="false" ht="15" hidden="false" customHeight="false" outlineLevel="0" collapsed="false">
      <c r="C15" s="12" t="s">
        <v>44</v>
      </c>
      <c r="D15" s="12"/>
      <c r="E15" s="12"/>
      <c r="F15" s="12"/>
      <c r="G15" s="12"/>
    </row>
    <row r="16" customFormat="false" ht="15" hidden="false" customHeight="false" outlineLevel="0" collapsed="false">
      <c r="C16" s="12" t="s">
        <v>45</v>
      </c>
      <c r="D16" s="12"/>
      <c r="E16" s="12"/>
      <c r="F16" s="12"/>
      <c r="G16" s="12"/>
    </row>
    <row r="17" customFormat="false" ht="15" hidden="false" customHeight="false" outlineLevel="0" collapsed="false">
      <c r="C17" s="12" t="s">
        <v>46</v>
      </c>
      <c r="D17" s="12"/>
      <c r="E17" s="12"/>
      <c r="F17" s="12"/>
      <c r="G17" s="12"/>
    </row>
  </sheetData>
  <mergeCells count="4">
    <mergeCell ref="C4:F4"/>
    <mergeCell ref="C15:G15"/>
    <mergeCell ref="C16:G16"/>
    <mergeCell ref="C17:G17"/>
  </mergeCells>
  <conditionalFormatting sqref="J8:J10">
    <cfRule type="expression" priority="2" aboveAverage="0" equalAverage="0" bottom="0" percent="0" rank="0" text="" dxfId="0">
      <formula>J8="Saudável"</formula>
    </cfRule>
    <cfRule type="expression" priority="3" aboveAverage="0" equalAverage="0" bottom="0" percent="0" rank="0" text="" dxfId="1">
      <formula>J8="Atenção"</formula>
    </cfRule>
    <cfRule type="expression" priority="4" aboveAverage="0" equalAverage="0" bottom="0" percent="0" rank="0" text="" dxfId="2">
      <formula>J8="Alerta"</formula>
    </cfRule>
    <cfRule type="expression" priority="5" aboveAverage="0" equalAverage="0" bottom="0" percent="0" rank="0" text="" dxfId="0">
      <formula>J8="Concluído"</formula>
    </cfRule>
    <cfRule type="expression" priority="6" aboveAverage="0" equalAverage="0" bottom="0" percent="0" rank="0" text="" dxfId="0">
      <formula>J8="No ritmo"</formula>
    </cfRule>
    <cfRule type="expression" priority="7" aboveAverage="0" equalAverage="0" bottom="0" percent="0" rank="0" text="" dxfId="2">
      <formula>J8="Atrasado"</formula>
    </cfRule>
  </conditionalFormatting>
  <conditionalFormatting sqref="I8:I10">
    <cfRule type="dataBar" priority="8">
      <dataBar showValue="1" minLength="10" maxLength="90">
        <cfvo type="num" val="0"/>
        <cfvo type="num" val="1"/>
        <color rgb="FFA16C46"/>
      </dataBar>
      <extLst>
        <ext xmlns:x14="http://schemas.microsoft.com/office/spreadsheetml/2009/9/main" uri="{B025F937-C7B1-47D3-B67F-A62EFF666E3E}">
          <x14:id>{33D240BB-8CEF-4B76-A0F6-AED27E589D4D}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D240BB-8CEF-4B76-A0F6-AED27E589D4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16C46"/>
              <x14:axisColor rgb="FF000000"/>
            </x14:dataBar>
          </x14:cfRule>
          <xm:sqref>I8:I10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40"/>
  </cols>
  <sheetData>
    <row r="2" customFormat="false" ht="22.05" hidden="false" customHeight="false" outlineLevel="0" collapsed="false">
      <c r="B2" s="8" t="s">
        <v>47</v>
      </c>
    </row>
    <row r="3" customFormat="false" ht="15" hidden="false" customHeight="false" outlineLevel="0" collapsed="false">
      <c r="B3" s="13" t="s">
        <v>48</v>
      </c>
    </row>
    <row r="5" customFormat="false" ht="15" hidden="false" customHeight="false" outlineLevel="0" collapsed="false">
      <c r="B5" s="14" t="s">
        <v>49</v>
      </c>
      <c r="C5" s="15" t="str">
        <f aca="false">"KR1 · "&amp;Plano!D8</f>
        <v>KR1 · R$</v>
      </c>
      <c r="D5" s="15" t="str">
        <f aca="false">"KR2 · "&amp;Plano!D9</f>
        <v>KR2 · R$</v>
      </c>
      <c r="E5" s="15" t="str">
        <f aca="false">"KR3 · "&amp;Plano!D10</f>
        <v>KR3 · %</v>
      </c>
      <c r="F5" s="15" t="s">
        <v>50</v>
      </c>
    </row>
    <row r="6" customFormat="false" ht="15" hidden="false" customHeight="false" outlineLevel="0" collapsed="false">
      <c r="B6" s="23" t="n">
        <v>46388</v>
      </c>
      <c r="C6" s="16" t="n">
        <v>5200</v>
      </c>
      <c r="D6" s="16" t="n">
        <v>2100</v>
      </c>
      <c r="E6" s="21" t="n">
        <v>0.06</v>
      </c>
      <c r="F6" s="12" t="s">
        <v>51</v>
      </c>
    </row>
    <row r="7" customFormat="false" ht="15" hidden="false" customHeight="false" outlineLevel="0" collapsed="false">
      <c r="B7" s="23" t="n">
        <v>46419</v>
      </c>
      <c r="C7" s="16" t="n">
        <v>6500</v>
      </c>
      <c r="D7" s="16" t="n">
        <v>1150</v>
      </c>
      <c r="E7" s="21" t="n">
        <v>0.08</v>
      </c>
      <c r="F7" s="12" t="s">
        <v>52</v>
      </c>
    </row>
    <row r="8" customFormat="false" ht="15" hidden="false" customHeight="false" outlineLevel="0" collapsed="false">
      <c r="B8" s="23" t="n">
        <v>46447</v>
      </c>
      <c r="C8" s="16"/>
      <c r="D8" s="16"/>
      <c r="E8" s="21"/>
      <c r="F8" s="12"/>
    </row>
    <row r="9" customFormat="false" ht="15" hidden="false" customHeight="false" outlineLevel="0" collapsed="false">
      <c r="B9" s="23" t="n">
        <v>46478</v>
      </c>
      <c r="C9" s="16"/>
      <c r="D9" s="16"/>
      <c r="E9" s="21"/>
      <c r="F9" s="12"/>
    </row>
    <row r="10" customFormat="false" ht="15" hidden="false" customHeight="false" outlineLevel="0" collapsed="false">
      <c r="B10" s="23" t="n">
        <v>46508</v>
      </c>
      <c r="C10" s="16"/>
      <c r="D10" s="16"/>
      <c r="E10" s="21"/>
      <c r="F10" s="12"/>
    </row>
    <row r="11" customFormat="false" ht="15" hidden="false" customHeight="false" outlineLevel="0" collapsed="false">
      <c r="B11" s="23" t="n">
        <v>46539</v>
      </c>
      <c r="C11" s="16"/>
      <c r="D11" s="16"/>
      <c r="E11" s="21"/>
      <c r="F11" s="12"/>
    </row>
    <row r="12" customFormat="false" ht="15" hidden="false" customHeight="false" outlineLevel="0" collapsed="false">
      <c r="B12" s="23" t="n">
        <v>46569</v>
      </c>
      <c r="C12" s="16"/>
      <c r="D12" s="16"/>
      <c r="E12" s="21"/>
      <c r="F12" s="12"/>
    </row>
    <row r="13" customFormat="false" ht="15" hidden="false" customHeight="false" outlineLevel="0" collapsed="false">
      <c r="B13" s="23" t="n">
        <v>46600</v>
      </c>
      <c r="C13" s="16"/>
      <c r="D13" s="16"/>
      <c r="E13" s="21"/>
      <c r="F13" s="12"/>
    </row>
    <row r="14" customFormat="false" ht="15" hidden="false" customHeight="false" outlineLevel="0" collapsed="false">
      <c r="B14" s="23" t="n">
        <v>46631</v>
      </c>
      <c r="C14" s="16"/>
      <c r="D14" s="16"/>
      <c r="E14" s="21"/>
      <c r="F14" s="12"/>
    </row>
    <row r="15" customFormat="false" ht="15" hidden="false" customHeight="false" outlineLevel="0" collapsed="false">
      <c r="B15" s="23" t="n">
        <v>46661</v>
      </c>
      <c r="C15" s="16"/>
      <c r="D15" s="16"/>
      <c r="E15" s="21"/>
      <c r="F15" s="12"/>
    </row>
    <row r="16" customFormat="false" ht="15" hidden="false" customHeight="false" outlineLevel="0" collapsed="false">
      <c r="B16" s="23" t="n">
        <v>46692</v>
      </c>
      <c r="C16" s="16"/>
      <c r="D16" s="16"/>
      <c r="E16" s="21"/>
      <c r="F16" s="12"/>
    </row>
    <row r="17" customFormat="false" ht="15" hidden="false" customHeight="false" outlineLevel="0" collapsed="false">
      <c r="B17" s="23" t="n">
        <v>46722</v>
      </c>
      <c r="C17" s="16"/>
      <c r="D17" s="16"/>
      <c r="E17" s="21"/>
      <c r="F1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2026-10-18T03:25:15Z</dcterms:created>
  <dc:creator>openpyxl</dc:creator>
  <dc:description/>
  <dc:language>en-US</dc:language>
  <cp:lastModifiedBy/>
  <dcterms:modified xsi:type="dcterms:W3CDTF">2026-10-18T03:25:17Z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