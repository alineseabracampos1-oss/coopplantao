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aio-X" sheetId="2" state="visible" r:id="rId4"/>
    <sheet name="Resulta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7" authorId="0">
      <text>
        <r>
          <rPr>
            <sz val="10"/>
            <rFont val="Arial"/>
            <family val="2"/>
          </rPr>
          <t xml:space="preserve">Exemplo: 3,5% ao mês. Digite 3,5% (com o símbolo) ou 0,035.</t>
        </r>
      </text>
    </comment>
  </commentList>
</comments>
</file>

<file path=xl/sharedStrings.xml><?xml version="1.0" encoding="utf-8"?>
<sst xmlns="http://schemas.openxmlformats.org/spreadsheetml/2006/main" count="117" uniqueCount="111">
  <si>
    <t xml:space="preserve">Raio-X financeiro em 15 minutos</t>
  </si>
  <si>
    <t xml:space="preserve">Finanças que Curam · Grupo FQC · Comunidade Manada · Por Aline Seabra</t>
  </si>
  <si>
    <t xml:space="preserve">Antes de mudar qualquer coisa no seu dinheiro, você precisa enxergar onde ele está.</t>
  </si>
  <si>
    <t xml:space="preserve">Como preencher</t>
  </si>
  <si>
    <t xml:space="preserve">1. Separe o extrato e a fatura do cartão do último mês.</t>
  </si>
  <si>
    <t xml:space="preserve">2. Na aba Raio-X, preencha só as células amarelas. Os valores em azul são um exemplo: troque pelos seus.</t>
  </si>
  <si>
    <t xml:space="preserve">3. Linhas que não fazem sentido para você podem ficar em branco ou com zero.</t>
  </si>
  <si>
    <t xml:space="preserve">4. Na coluna Emoção dos gastos variáveis, escolha o que você sentia na hora da compra.</t>
  </si>
  <si>
    <t xml:space="preserve">5. Abra a aba Resultado: os seus 4 indicadores e o saldo do mês aparecem sozinhos.</t>
  </si>
  <si>
    <t xml:space="preserve">Legenda</t>
  </si>
  <si>
    <t xml:space="preserve">Célula amarela = você preenche.   Texto azul = valor de exemplo.   Texto preto = cálculo automático, não apague.</t>
  </si>
  <si>
    <t xml:space="preserve">Combinado da Manada</t>
  </si>
  <si>
    <t xml:space="preserve">Ninguém precisa mostrar valores no grupo. Preencheu? Comente ✅ no post da Terça Técnica.</t>
  </si>
  <si>
    <t xml:space="preserve">Não precisa estar bonito. Precisa estar verdadeiro.</t>
  </si>
  <si>
    <t xml:space="preserve">Conteúdo educativo. Não é recomendação de investimento.</t>
  </si>
  <si>
    <t xml:space="preserve">Raio-X financeiro</t>
  </si>
  <si>
    <t xml:space="preserve">Mês de referência</t>
  </si>
  <si>
    <t xml:space="preserve">Outubro/2026</t>
  </si>
  <si>
    <t xml:space="preserve">1. Quanto entrou no mês</t>
  </si>
  <si>
    <t xml:space="preserve">Valores líquidos, que caíram na conta.</t>
  </si>
  <si>
    <t xml:space="preserve">Fonte de renda</t>
  </si>
  <si>
    <t xml:space="preserve">Valor (R$)</t>
  </si>
  <si>
    <t xml:space="preserve">Salário líquido</t>
  </si>
  <si>
    <t xml:space="preserve">Renda extra / freelas</t>
  </si>
  <si>
    <t xml:space="preserve">Pensão, aluguel recebido, outros</t>
  </si>
  <si>
    <t xml:space="preserve">Total de entradas</t>
  </si>
  <si>
    <t xml:space="preserve">2. Gastos fixos</t>
  </si>
  <si>
    <t xml:space="preserve">Contas que se repetem todo mês com valor parecido.</t>
  </si>
  <si>
    <t xml:space="preserve">Despesa</t>
  </si>
  <si>
    <t xml:space="preserve">Aluguel / financiamento da casa</t>
  </si>
  <si>
    <t xml:space="preserve">Condomínio e IPTU (mensal)</t>
  </si>
  <si>
    <t xml:space="preserve">Luz, água e gás</t>
  </si>
  <si>
    <t xml:space="preserve">Internet e celular</t>
  </si>
  <si>
    <t xml:space="preserve">Escola / faculdade</t>
  </si>
  <si>
    <t xml:space="preserve">Plano de saúde</t>
  </si>
  <si>
    <t xml:space="preserve">Transporte fixo (parcela do carro, passe)</t>
  </si>
  <si>
    <t xml:space="preserve">Assinaturas (streaming, apps, academia)</t>
  </si>
  <si>
    <t xml:space="preserve">Outros fixos</t>
  </si>
  <si>
    <t xml:space="preserve">Total de gastos fixos</t>
  </si>
  <si>
    <t xml:space="preserve">3. Gastos variáveis</t>
  </si>
  <si>
    <t xml:space="preserve">Mudam de um mês para o outro. Marque a emoção que mais aparecia nessas compras.</t>
  </si>
  <si>
    <t xml:space="preserve">Emoção</t>
  </si>
  <si>
    <t xml:space="preserve">Mercado e feira</t>
  </si>
  <si>
    <t xml:space="preserve">Necessidade</t>
  </si>
  <si>
    <t xml:space="preserve">Delivery e restaurantes</t>
  </si>
  <si>
    <t xml:space="preserve">Recompensa</t>
  </si>
  <si>
    <t xml:space="preserve">Combustível, app de transporte</t>
  </si>
  <si>
    <t xml:space="preserve">Lazer e passeios</t>
  </si>
  <si>
    <t xml:space="preserve">Alegria</t>
  </si>
  <si>
    <t xml:space="preserve">Roupas, beleza e compras pessoais</t>
  </si>
  <si>
    <t xml:space="preserve">Estresse</t>
  </si>
  <si>
    <t xml:space="preserve">Farmácia</t>
  </si>
  <si>
    <t xml:space="preserve">Presentes</t>
  </si>
  <si>
    <t xml:space="preserve">Pressão social</t>
  </si>
  <si>
    <t xml:space="preserve">Outros variáveis</t>
  </si>
  <si>
    <t xml:space="preserve">Tédio</t>
  </si>
  <si>
    <t xml:space="preserve">Total de gastos variáveis</t>
  </si>
  <si>
    <t xml:space="preserve">4. Dívidas</t>
  </si>
  <si>
    <t xml:space="preserve">Cartão parcelado, empréstimo, financiamento, cheque especial. Juros pelo contrato ou pelo app do banco.</t>
  </si>
  <si>
    <t xml:space="preserve">Credor / tipo</t>
  </si>
  <si>
    <t xml:space="preserve">Saldo devedor (R$)</t>
  </si>
  <si>
    <t xml:space="preserve">Juros (% ao mês)</t>
  </si>
  <si>
    <t xml:space="preserve">Parcela (R$)</t>
  </si>
  <si>
    <t xml:space="preserve">Parcelas restantes</t>
  </si>
  <si>
    <t xml:space="preserve">Juros considerados</t>
  </si>
  <si>
    <t xml:space="preserve">Cartão de crédito parcelado</t>
  </si>
  <si>
    <t xml:space="preserve">Empréstimo pessoal</t>
  </si>
  <si>
    <t xml:space="preserve">Cheque especial</t>
  </si>
  <si>
    <t xml:space="preserve">Total de dívidas</t>
  </si>
  <si>
    <t xml:space="preserve">5. Reserva</t>
  </si>
  <si>
    <t xml:space="preserve">Dinheiro guardado que você pode usar numa emergência, sem multa nem prazo.</t>
  </si>
  <si>
    <t xml:space="preserve">Onde está</t>
  </si>
  <si>
    <t xml:space="preserve">Poupança / conta remunerada</t>
  </si>
  <si>
    <t xml:space="preserve">Tesouro Selic / CDB liquidez diária</t>
  </si>
  <si>
    <t xml:space="preserve">Outros</t>
  </si>
  <si>
    <t xml:space="preserve">Total de reserva</t>
  </si>
  <si>
    <t xml:space="preserve">Seu resultado</t>
  </si>
  <si>
    <t xml:space="preserve">O mês em números</t>
  </si>
  <si>
    <t xml:space="preserve">Entradas</t>
  </si>
  <si>
    <t xml:space="preserve">Gastos fixos</t>
  </si>
  <si>
    <t xml:space="preserve">Gastos variáveis</t>
  </si>
  <si>
    <t xml:space="preserve">Parcelas de dívidas</t>
  </si>
  <si>
    <t xml:space="preserve">Sobra (ou falta) do mês</t>
  </si>
  <si>
    <t xml:space="preserve">Saldo total das dívidas</t>
  </si>
  <si>
    <t xml:space="preserve">Reserva de emergência</t>
  </si>
  <si>
    <t xml:space="preserve">Seus 4 indicadores</t>
  </si>
  <si>
    <t xml:space="preserve">Indicador</t>
  </si>
  <si>
    <t xml:space="preserve">Seu número</t>
  </si>
  <si>
    <t xml:space="preserve">Situação</t>
  </si>
  <si>
    <t xml:space="preserve">Referência</t>
  </si>
  <si>
    <t xml:space="preserve">Taxa de poupança</t>
  </si>
  <si>
    <t xml:space="preserve">Quanto sobra ÷ entradas. Meta inicial: 10% ou mais.</t>
  </si>
  <si>
    <t xml:space="preserve">Índice de endividamento</t>
  </si>
  <si>
    <t xml:space="preserve">Parcelas de dívidas ÷ entradas. Ideal: até 30%.</t>
  </si>
  <si>
    <t xml:space="preserve">Meses de reserva</t>
  </si>
  <si>
    <t xml:space="preserve">Reserva ÷ gastos fixos. Meta: de 3 a 6 meses (6 a 12 para renda variável).</t>
  </si>
  <si>
    <t xml:space="preserve">Peso do custo fixo</t>
  </si>
  <si>
    <t xml:space="preserve">Gastos fixos ÷ entradas. Quanto menor, mais liberdade.</t>
  </si>
  <si>
    <t xml:space="preserve">Pistas para começar</t>
  </si>
  <si>
    <t xml:space="preserve">Dívida com o maior juro (avalanche)</t>
  </si>
  <si>
    <t xml:space="preserve">Gasto variável mais alto</t>
  </si>
  <si>
    <t xml:space="preserve">Valor gasto por recompensa, tédio ou estresse</t>
  </si>
  <si>
    <t xml:space="preserve">Referências usadas nos semáforos (pode ajustar)</t>
  </si>
  <si>
    <t xml:space="preserve">Taxa de poupança saudável a partir de</t>
  </si>
  <si>
    <t xml:space="preserve">Endividamento saudável até</t>
  </si>
  <si>
    <t xml:space="preserve">Endividamento em atenção até</t>
  </si>
  <si>
    <t xml:space="preserve">Reserva em atenção a partir de (meses)</t>
  </si>
  <si>
    <t xml:space="preserve">Reserva saudável a partir de (meses)</t>
  </si>
  <si>
    <t xml:space="preserve">Custo fixo saudável até</t>
  </si>
  <si>
    <t xml:space="preserve">Custo fixo em atenção até</t>
  </si>
  <si>
    <t xml:space="preserve">Referências educativas da Manada, baseadas em práticas comuns de planejamento financeiro pessoal.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</si>
</sst>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&quot;-R$ &quot;#,##0.00;\-"/>
    <numFmt numFmtId="166" formatCode="0.0%"/>
    <numFmt numFmtId="167" formatCode="0"/>
    <numFmt numFmtId="168" formatCode="0.0%;\-0.0%;\-"/>
    <numFmt numFmtId="169" formatCode="0.0&quot; meses&quot;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33C36"/>
      <name val="Arial"/>
      <family val="0"/>
      <charset val="1"/>
    </font>
    <font>
      <sz val="10"/>
      <color rgb="FFA16C46"/>
      <name val="Arial"/>
      <family val="0"/>
      <charset val="1"/>
    </font>
    <font>
      <sz val="11"/>
      <color rgb="FF233C36"/>
      <name val="Arial"/>
      <family val="0"/>
      <charset val="1"/>
    </font>
    <font>
      <i val="true"/>
      <sz val="12"/>
      <color rgb="FF233C36"/>
      <name val="Arial"/>
      <family val="0"/>
      <charset val="1"/>
    </font>
    <font>
      <b val="true"/>
      <sz val="13"/>
      <color rgb="FF233C36"/>
      <name val="Arial"/>
      <family val="0"/>
      <charset val="1"/>
    </font>
    <font>
      <i val="true"/>
      <sz val="11"/>
      <color rgb="FFA16C46"/>
      <name val="Arial"/>
      <family val="0"/>
      <charset val="1"/>
    </font>
    <font>
      <sz val="9"/>
      <color rgb="FF637069"/>
      <name val="Arial"/>
      <family val="0"/>
      <charset val="1"/>
    </font>
    <font>
      <b val="true"/>
      <sz val="18"/>
      <color rgb="FF233C36"/>
      <name val="Arial"/>
      <family val="0"/>
      <charset val="1"/>
    </font>
    <font>
      <sz val="10"/>
      <color rgb="FF233C3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33C3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637069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233C3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63706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6E6C8"/>
      </patternFill>
    </fill>
    <fill>
      <patternFill patternType="solid">
        <fgColor rgb="FF233C36"/>
        <bgColor rgb="FF333300"/>
      </patternFill>
    </fill>
    <fill>
      <patternFill patternType="solid">
        <fgColor rgb="FFF5F1E9"/>
        <bgColor rgb="FFF6E6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3"/>
      </left>
      <right style="thin">
        <color rgb="FFDCDED3"/>
      </right>
      <top style="thin">
        <color rgb="FFDCDED3"/>
      </top>
      <bottom style="thin">
        <color rgb="FFDC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B3B2E"/>
      </font>
    </dxf>
    <dxf>
      <font>
        <name val="Arial"/>
        <charset val="1"/>
        <family val="0"/>
        <b val="1"/>
        <color rgb="FF2F6B4F"/>
      </font>
      <fill>
        <patternFill>
          <bgColor rgb="FFD9EADF"/>
        </patternFill>
      </fill>
    </dxf>
    <dxf>
      <font>
        <name val="Arial"/>
        <charset val="1"/>
        <family val="0"/>
        <b val="1"/>
        <color rgb="FF8A5A12"/>
      </font>
      <fill>
        <patternFill>
          <bgColor rgb="FFF6E6C8"/>
        </patternFill>
      </fill>
    </dxf>
    <dxf>
      <font>
        <name val="Arial"/>
        <charset val="1"/>
        <family val="0"/>
        <b val="1"/>
        <color rgb="FF9B3B2E"/>
      </font>
      <fill>
        <patternFill>
          <bgColor rgb="FFF5DC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2F6B4F"/>
      <rgbColor rgb="FFC0C0C0"/>
      <rgbColor rgb="FFA16C46"/>
      <rgbColor rgb="FF9999FF"/>
      <rgbColor rgb="FF993366"/>
      <rgbColor rgb="FFFFF2B3"/>
      <rgbColor rgb="FFF5F1E9"/>
      <rgbColor rgb="FF660066"/>
      <rgbColor rgb="FFFF8080"/>
      <rgbColor rgb="FF0066CC"/>
      <rgbColor rgb="FFDCDE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F"/>
      <rgbColor rgb="FFF6E6C8"/>
      <rgbColor rgb="FF99CCFF"/>
      <rgbColor rgb="FFFF99CC"/>
      <rgbColor rgb="FFCC99FF"/>
      <rgbColor rgb="FFF5DCD6"/>
      <rgbColor rgb="FF3366FF"/>
      <rgbColor rgb="FF33CCCC"/>
      <rgbColor rgb="FF99CC00"/>
      <rgbColor rgb="FFFFCC00"/>
      <rgbColor rgb="FFFF9900"/>
      <rgbColor rgb="FFFF6600"/>
      <rgbColor rgb="FF637069"/>
      <rgbColor rgb="FF969696"/>
      <rgbColor rgb="FF003366"/>
      <rgbColor rgb="FF339966"/>
      <rgbColor rgb="FF003300"/>
      <rgbColor rgb="FF333300"/>
      <rgbColor rgb="FF9B3B2E"/>
      <rgbColor rgb="FF993366"/>
      <rgbColor rgb="FF333399"/>
      <rgbColor rgb="FF23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6.15" hidden="false" customHeight="false" outlineLevel="0" collapsed="false">
      <c r="B7" s="5" t="s">
        <v>3</v>
      </c>
    </row>
    <row r="8" customFormat="false" ht="15" hidden="false" customHeight="false" outlineLevel="0" collapsed="false">
      <c r="B8" s="3" t="s">
        <v>4</v>
      </c>
    </row>
    <row r="9" customFormat="false" ht="26.8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/>
    </row>
    <row r="14" customFormat="false" ht="16.15" hidden="false" customHeight="false" outlineLevel="0" collapsed="false">
      <c r="B14" s="5" t="s">
        <v>9</v>
      </c>
    </row>
    <row r="15" customFormat="false" ht="26.85" hidden="false" customHeight="false" outlineLevel="0" collapsed="false">
      <c r="B15" s="6" t="s">
        <v>10</v>
      </c>
    </row>
    <row r="16" customFormat="false" ht="15" hidden="false" customHeight="false" outlineLevel="0" collapsed="false">
      <c r="B16" s="3"/>
    </row>
    <row r="17" customFormat="false" ht="16.15" hidden="false" customHeight="false" outlineLevel="0" collapsed="false">
      <c r="B17" s="5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7" t="s">
        <v>13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8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7" min="5" style="0" width="16"/>
  </cols>
  <sheetData>
    <row r="2" customFormat="false" ht="22.05" hidden="false" customHeight="false" outlineLevel="0" collapsed="false">
      <c r="B2" s="9" t="s">
        <v>15</v>
      </c>
    </row>
    <row r="3" customFormat="false" ht="15" hidden="false" customHeight="false" outlineLevel="0" collapsed="false">
      <c r="B3" s="10" t="s">
        <v>16</v>
      </c>
      <c r="C3" s="11" t="s">
        <v>17</v>
      </c>
    </row>
    <row r="5" customFormat="false" ht="16.15" hidden="false" customHeight="false" outlineLevel="0" collapsed="false">
      <c r="B5" s="12" t="s">
        <v>18</v>
      </c>
    </row>
    <row r="6" customFormat="false" ht="15" hidden="false" customHeight="false" outlineLevel="0" collapsed="false">
      <c r="B6" s="13" t="s">
        <v>19</v>
      </c>
    </row>
    <row r="7" customFormat="false" ht="15" hidden="false" customHeight="false" outlineLevel="0" collapsed="false">
      <c r="B7" s="14" t="s">
        <v>20</v>
      </c>
      <c r="C7" s="15" t="s">
        <v>21</v>
      </c>
    </row>
    <row r="8" customFormat="false" ht="15" hidden="false" customHeight="false" outlineLevel="0" collapsed="false">
      <c r="B8" s="16" t="s">
        <v>22</v>
      </c>
      <c r="C8" s="17" t="n">
        <v>7900</v>
      </c>
    </row>
    <row r="9" customFormat="false" ht="15" hidden="false" customHeight="false" outlineLevel="0" collapsed="false">
      <c r="B9" s="16" t="s">
        <v>23</v>
      </c>
      <c r="C9" s="17" t="n">
        <v>800</v>
      </c>
    </row>
    <row r="10" customFormat="false" ht="15" hidden="false" customHeight="false" outlineLevel="0" collapsed="false">
      <c r="B10" s="16" t="s">
        <v>24</v>
      </c>
      <c r="C10" s="17" t="n">
        <v>0</v>
      </c>
    </row>
    <row r="11" customFormat="false" ht="15" hidden="false" customHeight="false" outlineLevel="0" collapsed="false">
      <c r="B11" s="18" t="s">
        <v>25</v>
      </c>
      <c r="C11" s="19" t="n">
        <f aca="false">SUM(C8:C10)</f>
        <v>8700</v>
      </c>
    </row>
    <row r="14" customFormat="false" ht="16.15" hidden="false" customHeight="false" outlineLevel="0" collapsed="false">
      <c r="B14" s="12" t="s">
        <v>26</v>
      </c>
    </row>
    <row r="15" customFormat="false" ht="15" hidden="false" customHeight="false" outlineLevel="0" collapsed="false">
      <c r="B15" s="13" t="s">
        <v>27</v>
      </c>
    </row>
    <row r="16" customFormat="false" ht="15" hidden="false" customHeight="false" outlineLevel="0" collapsed="false">
      <c r="B16" s="14" t="s">
        <v>28</v>
      </c>
      <c r="C16" s="15" t="s">
        <v>21</v>
      </c>
    </row>
    <row r="17" customFormat="false" ht="15" hidden="false" customHeight="false" outlineLevel="0" collapsed="false">
      <c r="B17" s="16" t="s">
        <v>29</v>
      </c>
      <c r="C17" s="17" t="n">
        <v>1800</v>
      </c>
    </row>
    <row r="18" customFormat="false" ht="15" hidden="false" customHeight="false" outlineLevel="0" collapsed="false">
      <c r="B18" s="16" t="s">
        <v>30</v>
      </c>
      <c r="C18" s="17" t="n">
        <v>450</v>
      </c>
    </row>
    <row r="19" customFormat="false" ht="15" hidden="false" customHeight="false" outlineLevel="0" collapsed="false">
      <c r="B19" s="16" t="s">
        <v>31</v>
      </c>
      <c r="C19" s="17" t="n">
        <v>320</v>
      </c>
    </row>
    <row r="20" customFormat="false" ht="15" hidden="false" customHeight="false" outlineLevel="0" collapsed="false">
      <c r="B20" s="16" t="s">
        <v>32</v>
      </c>
      <c r="C20" s="17" t="n">
        <v>180</v>
      </c>
    </row>
    <row r="21" customFormat="false" ht="15" hidden="false" customHeight="false" outlineLevel="0" collapsed="false">
      <c r="B21" s="16" t="s">
        <v>33</v>
      </c>
      <c r="C21" s="17" t="n">
        <v>900</v>
      </c>
    </row>
    <row r="22" customFormat="false" ht="15" hidden="false" customHeight="false" outlineLevel="0" collapsed="false">
      <c r="B22" s="16" t="s">
        <v>34</v>
      </c>
      <c r="C22" s="17" t="n">
        <v>650</v>
      </c>
    </row>
    <row r="23" customFormat="false" ht="15" hidden="false" customHeight="false" outlineLevel="0" collapsed="false">
      <c r="B23" s="16" t="s">
        <v>35</v>
      </c>
      <c r="C23" s="17" t="n">
        <v>0</v>
      </c>
    </row>
    <row r="24" customFormat="false" ht="15" hidden="false" customHeight="false" outlineLevel="0" collapsed="false">
      <c r="B24" s="16" t="s">
        <v>36</v>
      </c>
      <c r="C24" s="17" t="n">
        <v>160</v>
      </c>
    </row>
    <row r="25" customFormat="false" ht="15" hidden="false" customHeight="false" outlineLevel="0" collapsed="false">
      <c r="B25" s="16" t="s">
        <v>37</v>
      </c>
      <c r="C25" s="17" t="n">
        <v>0</v>
      </c>
    </row>
    <row r="26" customFormat="false" ht="15" hidden="false" customHeight="false" outlineLevel="0" collapsed="false">
      <c r="B26" s="18" t="s">
        <v>38</v>
      </c>
      <c r="C26" s="19" t="n">
        <f aca="false">SUM(C17:C25)</f>
        <v>4460</v>
      </c>
    </row>
    <row r="29" customFormat="false" ht="16.15" hidden="false" customHeight="false" outlineLevel="0" collapsed="false">
      <c r="B29" s="12" t="s">
        <v>39</v>
      </c>
    </row>
    <row r="30" customFormat="false" ht="15" hidden="false" customHeight="false" outlineLevel="0" collapsed="false">
      <c r="B30" s="13" t="s">
        <v>40</v>
      </c>
    </row>
    <row r="31" customFormat="false" ht="15" hidden="false" customHeight="false" outlineLevel="0" collapsed="false">
      <c r="B31" s="14" t="s">
        <v>28</v>
      </c>
      <c r="C31" s="15" t="s">
        <v>21</v>
      </c>
      <c r="D31" s="15" t="s">
        <v>41</v>
      </c>
    </row>
    <row r="32" customFormat="false" ht="15" hidden="false" customHeight="false" outlineLevel="0" collapsed="false">
      <c r="B32" s="16" t="s">
        <v>42</v>
      </c>
      <c r="C32" s="17" t="n">
        <v>1200</v>
      </c>
      <c r="D32" s="11" t="s">
        <v>43</v>
      </c>
    </row>
    <row r="33" customFormat="false" ht="15" hidden="false" customHeight="false" outlineLevel="0" collapsed="false">
      <c r="B33" s="16" t="s">
        <v>44</v>
      </c>
      <c r="C33" s="17" t="n">
        <v>520</v>
      </c>
      <c r="D33" s="11" t="s">
        <v>45</v>
      </c>
    </row>
    <row r="34" customFormat="false" ht="15" hidden="false" customHeight="false" outlineLevel="0" collapsed="false">
      <c r="B34" s="16" t="s">
        <v>46</v>
      </c>
      <c r="C34" s="17" t="n">
        <v>350</v>
      </c>
      <c r="D34" s="11" t="s">
        <v>43</v>
      </c>
    </row>
    <row r="35" customFormat="false" ht="15" hidden="false" customHeight="false" outlineLevel="0" collapsed="false">
      <c r="B35" s="16" t="s">
        <v>47</v>
      </c>
      <c r="C35" s="17" t="n">
        <v>300</v>
      </c>
      <c r="D35" s="11" t="s">
        <v>48</v>
      </c>
    </row>
    <row r="36" customFormat="false" ht="15" hidden="false" customHeight="false" outlineLevel="0" collapsed="false">
      <c r="B36" s="16" t="s">
        <v>49</v>
      </c>
      <c r="C36" s="17" t="n">
        <v>380</v>
      </c>
      <c r="D36" s="11" t="s">
        <v>50</v>
      </c>
    </row>
    <row r="37" customFormat="false" ht="15" hidden="false" customHeight="false" outlineLevel="0" collapsed="false">
      <c r="B37" s="16" t="s">
        <v>51</v>
      </c>
      <c r="C37" s="17" t="n">
        <v>150</v>
      </c>
      <c r="D37" s="11" t="s">
        <v>43</v>
      </c>
    </row>
    <row r="38" customFormat="false" ht="15" hidden="false" customHeight="false" outlineLevel="0" collapsed="false">
      <c r="B38" s="16" t="s">
        <v>52</v>
      </c>
      <c r="C38" s="17" t="n">
        <v>120</v>
      </c>
      <c r="D38" s="11" t="s">
        <v>53</v>
      </c>
    </row>
    <row r="39" customFormat="false" ht="15" hidden="false" customHeight="false" outlineLevel="0" collapsed="false">
      <c r="B39" s="16" t="s">
        <v>54</v>
      </c>
      <c r="C39" s="17" t="n">
        <v>90</v>
      </c>
      <c r="D39" s="11" t="s">
        <v>55</v>
      </c>
    </row>
    <row r="40" customFormat="false" ht="15" hidden="false" customHeight="false" outlineLevel="0" collapsed="false">
      <c r="B40" s="18" t="s">
        <v>56</v>
      </c>
      <c r="C40" s="19" t="n">
        <f aca="false">SUM(C32:C39)</f>
        <v>3110</v>
      </c>
    </row>
    <row r="43" customFormat="false" ht="16.15" hidden="false" customHeight="false" outlineLevel="0" collapsed="false">
      <c r="B43" s="12" t="s">
        <v>57</v>
      </c>
    </row>
    <row r="44" customFormat="false" ht="15" hidden="false" customHeight="false" outlineLevel="0" collapsed="false">
      <c r="B44" s="13" t="s">
        <v>58</v>
      </c>
    </row>
    <row r="45" customFormat="false" ht="23.85" hidden="false" customHeight="false" outlineLevel="0" collapsed="false">
      <c r="B45" s="14" t="s">
        <v>59</v>
      </c>
      <c r="C45" s="15" t="s">
        <v>60</v>
      </c>
      <c r="D45" s="15" t="s">
        <v>61</v>
      </c>
      <c r="E45" s="15" t="s">
        <v>62</v>
      </c>
      <c r="F45" s="15" t="s">
        <v>63</v>
      </c>
      <c r="G45" s="20" t="s">
        <v>64</v>
      </c>
    </row>
    <row r="46" customFormat="false" ht="15" hidden="false" customHeight="false" outlineLevel="0" collapsed="false">
      <c r="B46" s="11" t="s">
        <v>65</v>
      </c>
      <c r="C46" s="17" t="n">
        <v>2400</v>
      </c>
      <c r="D46" s="21" t="n">
        <v>0</v>
      </c>
      <c r="E46" s="17" t="n">
        <v>400</v>
      </c>
      <c r="F46" s="22" t="n">
        <v>6</v>
      </c>
      <c r="G46" s="23" t="n">
        <f aca="false">IF(C46&gt;0,D46,0)</f>
        <v>0</v>
      </c>
    </row>
    <row r="47" customFormat="false" ht="15" hidden="false" customHeight="false" outlineLevel="0" collapsed="false">
      <c r="B47" s="11" t="s">
        <v>66</v>
      </c>
      <c r="C47" s="17" t="n">
        <v>6000</v>
      </c>
      <c r="D47" s="21" t="n">
        <v>0.035</v>
      </c>
      <c r="E47" s="17" t="n">
        <v>520</v>
      </c>
      <c r="F47" s="22" t="n">
        <v>14</v>
      </c>
      <c r="G47" s="23" t="n">
        <f aca="false">IF(C47&gt;0,D47,0)</f>
        <v>0.035</v>
      </c>
    </row>
    <row r="48" customFormat="false" ht="15" hidden="false" customHeight="false" outlineLevel="0" collapsed="false">
      <c r="B48" s="11" t="s">
        <v>67</v>
      </c>
      <c r="C48" s="17" t="n">
        <v>0</v>
      </c>
      <c r="D48" s="21" t="n">
        <v>0.08</v>
      </c>
      <c r="E48" s="17" t="n">
        <v>0</v>
      </c>
      <c r="F48" s="22" t="n">
        <v>0</v>
      </c>
      <c r="G48" s="23" t="n">
        <f aca="false">IF(C48&gt;0,D48,0)</f>
        <v>0</v>
      </c>
    </row>
    <row r="49" customFormat="false" ht="15" hidden="false" customHeight="false" outlineLevel="0" collapsed="false">
      <c r="B49" s="24"/>
      <c r="C49" s="17"/>
      <c r="D49" s="21"/>
      <c r="E49" s="17"/>
      <c r="F49" s="22"/>
      <c r="G49" s="23" t="n">
        <f aca="false">IF(C49&gt;0,D49,0)</f>
        <v>0</v>
      </c>
    </row>
    <row r="50" customFormat="false" ht="15" hidden="false" customHeight="false" outlineLevel="0" collapsed="false">
      <c r="B50" s="18" t="s">
        <v>68</v>
      </c>
      <c r="C50" s="19" t="n">
        <f aca="false">SUM(C46:C49)</f>
        <v>8400</v>
      </c>
      <c r="E50" s="19" t="n">
        <f aca="false">SUM(E46:E49)</f>
        <v>920</v>
      </c>
    </row>
    <row r="53" customFormat="false" ht="16.15" hidden="false" customHeight="false" outlineLevel="0" collapsed="false">
      <c r="B53" s="12" t="s">
        <v>69</v>
      </c>
    </row>
    <row r="54" customFormat="false" ht="15" hidden="false" customHeight="false" outlineLevel="0" collapsed="false">
      <c r="B54" s="13" t="s">
        <v>70</v>
      </c>
    </row>
    <row r="55" customFormat="false" ht="15" hidden="false" customHeight="false" outlineLevel="0" collapsed="false">
      <c r="B55" s="14" t="s">
        <v>71</v>
      </c>
      <c r="C55" s="15" t="s">
        <v>21</v>
      </c>
    </row>
    <row r="56" customFormat="false" ht="15" hidden="false" customHeight="false" outlineLevel="0" collapsed="false">
      <c r="B56" s="16" t="s">
        <v>72</v>
      </c>
      <c r="C56" s="17" t="n">
        <v>1500</v>
      </c>
    </row>
    <row r="57" customFormat="false" ht="15" hidden="false" customHeight="false" outlineLevel="0" collapsed="false">
      <c r="B57" s="16" t="s">
        <v>73</v>
      </c>
      <c r="C57" s="17" t="n">
        <v>2500</v>
      </c>
    </row>
    <row r="58" customFormat="false" ht="15" hidden="false" customHeight="false" outlineLevel="0" collapsed="false">
      <c r="B58" s="16" t="s">
        <v>74</v>
      </c>
      <c r="C58" s="17" t="n">
        <v>0</v>
      </c>
    </row>
    <row r="59" customFormat="false" ht="15" hidden="false" customHeight="false" outlineLevel="0" collapsed="false">
      <c r="B59" s="18" t="s">
        <v>75</v>
      </c>
      <c r="C59" s="19" t="n">
        <f aca="false">SUM(C56:C58)</f>
        <v>4000</v>
      </c>
    </row>
  </sheetData>
  <dataValidations count="1">
    <dataValidation allowBlank="true" errorStyle="stop" operator="between" showDropDown="false" showErrorMessage="false" showInputMessage="false" sqref="D32:D39" type="list">
      <formula1>"Necessidade,Recompensa,Tédio,Estresse,Alegria,Pressão social"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60"/>
  </cols>
  <sheetData>
    <row r="2" customFormat="false" ht="22.05" hidden="false" customHeight="false" outlineLevel="0" collapsed="false">
      <c r="B2" s="9" t="s">
        <v>76</v>
      </c>
    </row>
    <row r="3" customFormat="false" ht="15" hidden="false" customHeight="false" outlineLevel="0" collapsed="false">
      <c r="B3" s="25" t="str">
        <f aca="false">'Raio-X'!C3</f>
        <v>Outubro/2026</v>
      </c>
    </row>
    <row r="5" customFormat="false" ht="16.15" hidden="false" customHeight="false" outlineLevel="0" collapsed="false">
      <c r="B5" s="12" t="s">
        <v>77</v>
      </c>
    </row>
    <row r="6" customFormat="false" ht="15" hidden="false" customHeight="false" outlineLevel="0" collapsed="false">
      <c r="B6" s="26" t="s">
        <v>78</v>
      </c>
      <c r="C6" s="27" t="n">
        <f aca="false">'Raio-X'!C11</f>
        <v>8700</v>
      </c>
    </row>
    <row r="7" customFormat="false" ht="15" hidden="false" customHeight="false" outlineLevel="0" collapsed="false">
      <c r="B7" s="26" t="s">
        <v>79</v>
      </c>
      <c r="C7" s="27" t="n">
        <f aca="false">'Raio-X'!C26</f>
        <v>4460</v>
      </c>
    </row>
    <row r="8" customFormat="false" ht="15" hidden="false" customHeight="false" outlineLevel="0" collapsed="false">
      <c r="B8" s="26" t="s">
        <v>80</v>
      </c>
      <c r="C8" s="27" t="n">
        <f aca="false">'Raio-X'!C40</f>
        <v>3110</v>
      </c>
    </row>
    <row r="9" customFormat="false" ht="15" hidden="false" customHeight="false" outlineLevel="0" collapsed="false">
      <c r="B9" s="26" t="s">
        <v>81</v>
      </c>
      <c r="C9" s="27" t="n">
        <f aca="false">'Raio-X'!E50</f>
        <v>920</v>
      </c>
    </row>
    <row r="10" customFormat="false" ht="15" hidden="false" customHeight="false" outlineLevel="0" collapsed="false">
      <c r="B10" s="28" t="s">
        <v>82</v>
      </c>
      <c r="C10" s="29" t="n">
        <f aca="false">C6-C7-C8-C9</f>
        <v>210</v>
      </c>
    </row>
    <row r="11" customFormat="false" ht="15" hidden="false" customHeight="false" outlineLevel="0" collapsed="false">
      <c r="B11" s="26" t="s">
        <v>83</v>
      </c>
      <c r="C11" s="27" t="n">
        <f aca="false">'Raio-X'!C50</f>
        <v>8400</v>
      </c>
    </row>
    <row r="12" customFormat="false" ht="15" hidden="false" customHeight="false" outlineLevel="0" collapsed="false">
      <c r="B12" s="26" t="s">
        <v>84</v>
      </c>
      <c r="C12" s="27" t="n">
        <f aca="false">'Raio-X'!C59</f>
        <v>4000</v>
      </c>
    </row>
    <row r="14" customFormat="false" ht="16.15" hidden="false" customHeight="false" outlineLevel="0" collapsed="false">
      <c r="B14" s="12" t="s">
        <v>85</v>
      </c>
    </row>
    <row r="15" customFormat="false" ht="15" hidden="false" customHeight="false" outlineLevel="0" collapsed="false">
      <c r="B15" s="30" t="s">
        <v>86</v>
      </c>
      <c r="C15" s="30" t="s">
        <v>87</v>
      </c>
      <c r="D15" s="30" t="s">
        <v>88</v>
      </c>
      <c r="E15" s="30" t="s">
        <v>89</v>
      </c>
    </row>
    <row r="16" customFormat="false" ht="15" hidden="false" customHeight="false" outlineLevel="0" collapsed="false">
      <c r="B16" s="26" t="s">
        <v>90</v>
      </c>
      <c r="C16" s="31" t="n">
        <f aca="false">IF(C6&gt;0,MAX(C10,0)/C6,0)</f>
        <v>0.0241379310344828</v>
      </c>
      <c r="D16" s="32" t="str">
        <f aca="false">IF(C16&gt;=$C$27,"Saudável",IF(C16&gt;0,"Atenção","Alerta"))</f>
        <v>Atenção</v>
      </c>
      <c r="E16" s="33" t="s">
        <v>91</v>
      </c>
    </row>
    <row r="17" customFormat="false" ht="15" hidden="false" customHeight="false" outlineLevel="0" collapsed="false">
      <c r="B17" s="26" t="s">
        <v>92</v>
      </c>
      <c r="C17" s="31" t="n">
        <f aca="false">IF(C6&gt;0,C9/C6,0)</f>
        <v>0.105747126436782</v>
      </c>
      <c r="D17" s="32" t="str">
        <f aca="false">IF(C17&lt;=$C$28,"Saudável",IF(C17&lt;=$C$29,"Atenção","Alerta"))</f>
        <v>Saudável</v>
      </c>
      <c r="E17" s="33" t="s">
        <v>93</v>
      </c>
    </row>
    <row r="18" customFormat="false" ht="15" hidden="false" customHeight="false" outlineLevel="0" collapsed="false">
      <c r="B18" s="26" t="s">
        <v>94</v>
      </c>
      <c r="C18" s="34" t="n">
        <f aca="false">IF(C7&gt;0,C12/C7,0)</f>
        <v>0.896860986547085</v>
      </c>
      <c r="D18" s="32" t="str">
        <f aca="false">IF(C18&gt;=$C$31,"Saudável",IF(C18&gt;=$C$30,"Atenção","Alerta"))</f>
        <v>Alerta</v>
      </c>
      <c r="E18" s="33" t="s">
        <v>95</v>
      </c>
    </row>
    <row r="19" customFormat="false" ht="15" hidden="false" customHeight="false" outlineLevel="0" collapsed="false">
      <c r="B19" s="26" t="s">
        <v>96</v>
      </c>
      <c r="C19" s="31" t="n">
        <f aca="false">IF(C6&gt;0,C7/C6,0)</f>
        <v>0.51264367816092</v>
      </c>
      <c r="D19" s="32" t="str">
        <f aca="false">IF(C19&lt;=$C$32,"Saudável",IF(C19&lt;=$C$33,"Atenção","Alerta"))</f>
        <v>Atenção</v>
      </c>
      <c r="E19" s="33" t="s">
        <v>97</v>
      </c>
    </row>
    <row r="21" customFormat="false" ht="16.15" hidden="false" customHeight="false" outlineLevel="0" collapsed="false">
      <c r="B21" s="12" t="s">
        <v>98</v>
      </c>
    </row>
    <row r="22" customFormat="false" ht="15" hidden="false" customHeight="false" outlineLevel="0" collapsed="false">
      <c r="B22" s="26" t="s">
        <v>99</v>
      </c>
      <c r="C22" s="35" t="str">
        <f aca="false">IF(MAX('Raio-X'!G46:G49)&gt;0,INDEX('Raio-X'!B46:B49,MATCH(MAX('Raio-X'!G46:G49),'Raio-X'!G46:G49,0)),"Sem dívidas com juros")</f>
        <v>Empréstimo pessoal</v>
      </c>
      <c r="D22" s="35"/>
      <c r="E22" s="35"/>
    </row>
    <row r="23" customFormat="false" ht="15" hidden="false" customHeight="false" outlineLevel="0" collapsed="false">
      <c r="B23" s="26" t="s">
        <v>100</v>
      </c>
      <c r="C23" s="35" t="str">
        <f aca="false">INDEX('Raio-X'!B32:B39,MATCH(MAX('Raio-X'!C32:C39),'Raio-X'!C32:C39,0))</f>
        <v>Mercado e feira</v>
      </c>
      <c r="D23" s="35"/>
      <c r="E23" s="35"/>
    </row>
    <row r="24" customFormat="false" ht="15" hidden="false" customHeight="false" outlineLevel="0" collapsed="false">
      <c r="B24" s="26" t="s">
        <v>101</v>
      </c>
      <c r="C24" s="36" t="n">
        <f aca="false">SUMIF('Raio-X'!D32:D39,"Recompensa",'Raio-X'!C32:C39)+SUMIF('Raio-X'!D32:D39,"Tédio",'Raio-X'!C32:C39)+SUMIF('Raio-X'!D32:D39,"Estresse",'Raio-X'!C32:C39)</f>
        <v>990</v>
      </c>
    </row>
    <row r="26" customFormat="false" ht="15" hidden="false" customHeight="false" outlineLevel="0" collapsed="false">
      <c r="B26" s="37" t="s">
        <v>102</v>
      </c>
    </row>
    <row r="27" customFormat="false" ht="15" hidden="false" customHeight="false" outlineLevel="0" collapsed="false">
      <c r="B27" s="13" t="s">
        <v>103</v>
      </c>
      <c r="C27" s="38" t="n">
        <v>0.1</v>
      </c>
    </row>
    <row r="28" customFormat="false" ht="15" hidden="false" customHeight="false" outlineLevel="0" collapsed="false">
      <c r="B28" s="13" t="s">
        <v>104</v>
      </c>
      <c r="C28" s="38" t="n">
        <v>0.3</v>
      </c>
    </row>
    <row r="29" customFormat="false" ht="15" hidden="false" customHeight="false" outlineLevel="0" collapsed="false">
      <c r="B29" s="13" t="s">
        <v>105</v>
      </c>
      <c r="C29" s="38" t="n">
        <v>0.4</v>
      </c>
    </row>
    <row r="30" customFormat="false" ht="15" hidden="false" customHeight="false" outlineLevel="0" collapsed="false">
      <c r="B30" s="13" t="s">
        <v>106</v>
      </c>
      <c r="C30" s="39" t="n">
        <v>3</v>
      </c>
    </row>
    <row r="31" customFormat="false" ht="15" hidden="false" customHeight="false" outlineLevel="0" collapsed="false">
      <c r="B31" s="13" t="s">
        <v>107</v>
      </c>
      <c r="C31" s="39" t="n">
        <v>6</v>
      </c>
    </row>
    <row r="32" customFormat="false" ht="15" hidden="false" customHeight="false" outlineLevel="0" collapsed="false">
      <c r="B32" s="13" t="s">
        <v>108</v>
      </c>
      <c r="C32" s="38" t="n">
        <v>0.5</v>
      </c>
    </row>
    <row r="33" customFormat="false" ht="15" hidden="false" customHeight="false" outlineLevel="0" collapsed="false">
      <c r="B33" s="13" t="s">
        <v>109</v>
      </c>
      <c r="C33" s="38" t="n">
        <v>0.65</v>
      </c>
    </row>
    <row r="34" customFormat="false" ht="15" hidden="false" customHeight="false" outlineLevel="0" collapsed="false">
      <c r="B34" s="40" t="s">
        <v>110</v>
      </c>
    </row>
  </sheetData>
  <mergeCells count="2">
    <mergeCell ref="C22:E22"/>
    <mergeCell ref="C23:E23"/>
  </mergeCells>
  <conditionalFormatting sqref="C10">
    <cfRule type="expression" priority="2" aboveAverage="0" equalAverage="0" bottom="0" percent="0" rank="0" text="" dxfId="0">
      <formula>C10&lt;0</formula>
    </cfRule>
  </conditionalFormatting>
  <conditionalFormatting sqref="D16:D19">
    <cfRule type="expression" priority="3" aboveAverage="0" equalAverage="0" bottom="0" percent="0" rank="0" text="" dxfId="1">
      <formula>D16="Saudável"</formula>
    </cfRule>
    <cfRule type="expression" priority="4" aboveAverage="0" equalAverage="0" bottom="0" percent="0" rank="0" text="" dxfId="2">
      <formula>D16="Atenção"</formula>
    </cfRule>
    <cfRule type="expression" priority="5" aboveAverage="0" equalAverage="0" bottom="0" percent="0" rank="0" text="" dxfId="3">
      <formula>D16="Alerta"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2026-10-18T03:16:36Z</dcterms:created>
  <dc:creator>openpyxl</dc:creator>
  <dc:description/>
  <dc:language>en-US</dc:language>
  <cp:lastModifiedBy/>
  <dcterms:modified xsi:type="dcterms:W3CDTF">2026-10-18T03:16:36Z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