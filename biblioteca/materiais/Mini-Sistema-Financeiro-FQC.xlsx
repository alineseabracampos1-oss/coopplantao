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o usar" sheetId="1" state="visible" r:id="rId3"/>
    <sheet name="Painel" sheetId="2" state="visible" r:id="rId4"/>
    <sheet name="Categorias" sheetId="3" state="visible" r:id="rId5"/>
    <sheet name="Lançamentos" sheetId="4" state="visible" r:id="rId6"/>
    <sheet name="Met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<sst xmlns="http://schemas.openxmlformats.org/spreadsheetml/2006/main" count="322" uniqueCount="146">
  <si>
    <t xml:space="preserve">Seu mini sistema financeiro</t>
  </si>
  <si>
    <t xml:space="preserve">Finanças que Curam · Grupo FQC · Comunidade Manada · Por Aline Seabra</t>
  </si>
  <si>
    <t xml:space="preserve">O segredo não é a planilha perfeita. É a rotina: 10 minutos por semana para lançar e olhar o painel.</t>
  </si>
  <si>
    <t xml:space="preserve">Como preencher</t>
  </si>
  <si>
    <t xml:space="preserve">1. Na aba Lançamentos, registre cada entrada e cada gasto: data, descrição, categoria, valor, forma de pagamento e a emoção do momento.</t>
  </si>
  <si>
    <t xml:space="preserve">2. A categoria define o grupo sozinha (Entrada, Fixo, Variável, Dívida ou Guardado). Para criar categorias, use a aba Categorias.</t>
  </si>
  <si>
    <t xml:space="preserve">3. Na aba Metas, liste seus objetivos e quanto já guardou para cada um.</t>
  </si>
  <si>
    <t xml:space="preserve">4. No Painel, troque o mês de referência para ver qualquer mês: totais, os 4 indicadores, gastos por categoria e por emoção.</t>
  </si>
  <si>
    <t xml:space="preserve">5. Método ENOP·SMED: em cada gasto, responda S ou N às três perguntas (é essencial ou necessário agora? cabe no orçamento? não é postergável?). A pontuação (nº de SIM × peso da área) e a decisão aparecem sozinhas. O Painel mostra o seu Índice de Consciência.</t>
  </si>
  <si>
    <t xml:space="preserve">6. Rotina sugerida: lançar no domingo à noite e olhar o painel no dia seguinte ao salário.</t>
  </si>
  <si>
    <t xml:space="preserve">Legenda</t>
  </si>
  <si>
    <t xml:space="preserve">Célula amarela = você preenche.   Texto azul = valor de exemplo.   Texto preto = cálculo automático, não apague.</t>
  </si>
  <si>
    <t xml:space="preserve">Conteúdo educativo. Não é recomendação de investimento.</t>
  </si>
  <si>
    <t xml:space="preserve">Painel do mês</t>
  </si>
  <si>
    <t xml:space="preserve">Mês de referência (use o dia 1)</t>
  </si>
  <si>
    <t xml:space="preserve">O mês em números</t>
  </si>
  <si>
    <t xml:space="preserve">Valor (R$)</t>
  </si>
  <si>
    <t xml:space="preserve">% das entradas</t>
  </si>
  <si>
    <t xml:space="preserve">Gastos por emoção</t>
  </si>
  <si>
    <t xml:space="preserve">% dos variáveis</t>
  </si>
  <si>
    <t xml:space="preserve">Entradas</t>
  </si>
  <si>
    <t xml:space="preserve">Necessidade</t>
  </si>
  <si>
    <t xml:space="preserve">Gastos fixos</t>
  </si>
  <si>
    <t xml:space="preserve">Recompensa</t>
  </si>
  <si>
    <t xml:space="preserve">Gastos variáveis</t>
  </si>
  <si>
    <t xml:space="preserve">Tédio</t>
  </si>
  <si>
    <t xml:space="preserve">Parcelas de dívidas</t>
  </si>
  <si>
    <t xml:space="preserve">Estresse</t>
  </si>
  <si>
    <t xml:space="preserve">Guardado / investido</t>
  </si>
  <si>
    <t xml:space="preserve">Alegria</t>
  </si>
  <si>
    <t xml:space="preserve">Sobra livre do mês</t>
  </si>
  <si>
    <t xml:space="preserve">Pressão social</t>
  </si>
  <si>
    <t xml:space="preserve">Gasto emocional (recompensa + tédio + estresse)</t>
  </si>
  <si>
    <t xml:space="preserve">Seus 4 indicadores</t>
  </si>
  <si>
    <t xml:space="preserve">Número</t>
  </si>
  <si>
    <t xml:space="preserve">Situação</t>
  </si>
  <si>
    <t xml:space="preserve">Taxa de poupança (guardado ÷ entradas)</t>
  </si>
  <si>
    <t xml:space="preserve">Método ENOP·SMED no mês</t>
  </si>
  <si>
    <t xml:space="preserve">Qtd.</t>
  </si>
  <si>
    <t xml:space="preserve">Índice de endividamento</t>
  </si>
  <si>
    <t xml:space="preserve">Índice de Consciência (% com 8 pontos ou mais)</t>
  </si>
  <si>
    <t xml:space="preserve">Meses de reserva</t>
  </si>
  <si>
    <t xml:space="preserve">Executar</t>
  </si>
  <si>
    <t xml:space="preserve">Peso do custo fixo</t>
  </si>
  <si>
    <t xml:space="preserve">Executar com controle</t>
  </si>
  <si>
    <t xml:space="preserve">Referências da Manada: poupança 10%+, endividamento até 30%, reserva de 3 a 6 meses, custo fixo até 50%.</t>
  </si>
  <si>
    <t xml:space="preserve">Postergar</t>
  </si>
  <si>
    <t xml:space="preserve">Cancelar</t>
  </si>
  <si>
    <t xml:space="preserve">Alertas de execução do orçamento: 90% do limite = atenção · 100% = crítico. Limites na aba Categorias.</t>
  </si>
  <si>
    <t xml:space="preserve">Cancelar = sinal de gasto emocional. Nem todo gasto possível é um gasto plausível.</t>
  </si>
  <si>
    <t xml:space="preserve">Gastos por categoria no mês</t>
  </si>
  <si>
    <t xml:space="preserve">% do limite</t>
  </si>
  <si>
    <t xml:space="preserve">Alerta</t>
  </si>
  <si>
    <t xml:space="preserve">Categorias</t>
  </si>
  <si>
    <t xml:space="preserve">Pode renomear, apagar ou incluir linhas até a linha 45. O grupo define onde o valor entra nos cálculos. A área SMED vale para o Método ENOP·SMED. O limite do mês gera os alertas de 90% e 100%.</t>
  </si>
  <si>
    <t xml:space="preserve">S Saúde 5 · M Moradia e Finanças 4 · E Educação 3 · D Diversos/Diversão 2</t>
  </si>
  <si>
    <t xml:space="preserve">Categoria</t>
  </si>
  <si>
    <t xml:space="preserve">Grupo</t>
  </si>
  <si>
    <t xml:space="preserve">Área SMED</t>
  </si>
  <si>
    <t xml:space="preserve">Limite do mês (R$)</t>
  </si>
  <si>
    <t xml:space="preserve">Salário</t>
  </si>
  <si>
    <t xml:space="preserve">Entrada</t>
  </si>
  <si>
    <t xml:space="preserve">Renda extra</t>
  </si>
  <si>
    <t xml:space="preserve">Outras entradas</t>
  </si>
  <si>
    <t xml:space="preserve">Moradia</t>
  </si>
  <si>
    <t xml:space="preserve">Fixo</t>
  </si>
  <si>
    <t xml:space="preserve">M</t>
  </si>
  <si>
    <t xml:space="preserve">Contas da casa</t>
  </si>
  <si>
    <t xml:space="preserve">Internet e celular</t>
  </si>
  <si>
    <t xml:space="preserve">Educação</t>
  </si>
  <si>
    <t xml:space="preserve">E</t>
  </si>
  <si>
    <t xml:space="preserve">Saúde (plano)</t>
  </si>
  <si>
    <t xml:space="preserve">S</t>
  </si>
  <si>
    <t xml:space="preserve">Assinaturas</t>
  </si>
  <si>
    <t xml:space="preserve">D</t>
  </si>
  <si>
    <t xml:space="preserve">Mercado</t>
  </si>
  <si>
    <t xml:space="preserve">Variável</t>
  </si>
  <si>
    <t xml:space="preserve">Delivery e restaurantes</t>
  </si>
  <si>
    <t xml:space="preserve">Transporte</t>
  </si>
  <si>
    <t xml:space="preserve">Lazer</t>
  </si>
  <si>
    <t xml:space="preserve">Compras pessoais</t>
  </si>
  <si>
    <t xml:space="preserve">Farmácia</t>
  </si>
  <si>
    <t xml:space="preserve">Presentes</t>
  </si>
  <si>
    <t xml:space="preserve">Filhos</t>
  </si>
  <si>
    <t xml:space="preserve">Outros gastos</t>
  </si>
  <si>
    <t xml:space="preserve">Parcela de dívida</t>
  </si>
  <si>
    <t xml:space="preserve">Dívida</t>
  </si>
  <si>
    <t xml:space="preserve">Cartão: fatura anterior</t>
  </si>
  <si>
    <t xml:space="preserve">Reserva de emergência</t>
  </si>
  <si>
    <t xml:space="preserve">Guardado</t>
  </si>
  <si>
    <t xml:space="preserve">Investimentos</t>
  </si>
  <si>
    <t xml:space="preserve">Meta: viagem</t>
  </si>
  <si>
    <t xml:space="preserve">Lançamentos</t>
  </si>
  <si>
    <t xml:space="preserve">Um lançamento por linha. Valores sempre positivos: o grupo da categoria diz se é entrada ou saída.</t>
  </si>
  <si>
    <t xml:space="preserve">ENOP·SMED: responda S ou N nas três perguntas (só para gastos). A área vem da categoria.</t>
  </si>
  <si>
    <t xml:space="preserve">Data</t>
  </si>
  <si>
    <t xml:space="preserve">Descrição</t>
  </si>
  <si>
    <t xml:space="preserve">Pagamento</t>
  </si>
  <si>
    <t xml:space="preserve">Emoção</t>
  </si>
  <si>
    <t xml:space="preserve">E/N agora?</t>
  </si>
  <si>
    <t xml:space="preserve">Cabe no orçam.?</t>
  </si>
  <si>
    <t xml:space="preserve">Não é postergável?</t>
  </si>
  <si>
    <t xml:space="preserve">Pontuação</t>
  </si>
  <si>
    <t xml:space="preserve">Decisão ENOP·SMED</t>
  </si>
  <si>
    <t xml:space="preserve">Mês</t>
  </si>
  <si>
    <t xml:space="preserve">Pix</t>
  </si>
  <si>
    <t xml:space="preserve">Freela de consultoria</t>
  </si>
  <si>
    <t xml:space="preserve">Aluguel</t>
  </si>
  <si>
    <t xml:space="preserve">Condomínio + IPTU</t>
  </si>
  <si>
    <t xml:space="preserve">Boleto</t>
  </si>
  <si>
    <t xml:space="preserve">Luz, água e gás</t>
  </si>
  <si>
    <t xml:space="preserve">Débito automático</t>
  </si>
  <si>
    <t xml:space="preserve">Crédito</t>
  </si>
  <si>
    <t xml:space="preserve">Escola</t>
  </si>
  <si>
    <t xml:space="preserve">Plano de saúde</t>
  </si>
  <si>
    <t xml:space="preserve">Streaming e academia</t>
  </si>
  <si>
    <t xml:space="preserve">N</t>
  </si>
  <si>
    <t xml:space="preserve">Mercado do mês</t>
  </si>
  <si>
    <t xml:space="preserve">Feira e reposição</t>
  </si>
  <si>
    <t xml:space="preserve">Débito</t>
  </si>
  <si>
    <t xml:space="preserve">Pizza de sexta</t>
  </si>
  <si>
    <t xml:space="preserve">Delivery depois do trabalho</t>
  </si>
  <si>
    <t xml:space="preserve">Almoço com amigas</t>
  </si>
  <si>
    <t xml:space="preserve">Delivery cansada</t>
  </si>
  <si>
    <t xml:space="preserve">Combustível</t>
  </si>
  <si>
    <t xml:space="preserve">Uber</t>
  </si>
  <si>
    <t xml:space="preserve">Cinema com as crianças</t>
  </si>
  <si>
    <t xml:space="preserve">Black Friday: tênis</t>
  </si>
  <si>
    <t xml:space="preserve">Presente de aniversário</t>
  </si>
  <si>
    <t xml:space="preserve">Material escolar extra</t>
  </si>
  <si>
    <t xml:space="preserve">Parcela do empréstimo</t>
  </si>
  <si>
    <t xml:space="preserve">Parcela loja</t>
  </si>
  <si>
    <t xml:space="preserve">Transferência automática</t>
  </si>
  <si>
    <t xml:space="preserve">Guardar para a viagem</t>
  </si>
  <si>
    <t xml:space="preserve">Metas</t>
  </si>
  <si>
    <t xml:space="preserve">A primeira linha é a reserva de emergência: o Painel usa o valor guardado dela para calcular os meses de reserva.</t>
  </si>
  <si>
    <t xml:space="preserve">Objetivo</t>
  </si>
  <si>
    <t xml:space="preserve">Valor alvo (R$)</t>
  </si>
  <si>
    <t xml:space="preserve">Prazo</t>
  </si>
  <si>
    <t xml:space="preserve">Já guardado (R$)</t>
  </si>
  <si>
    <t xml:space="preserve">% atingido</t>
  </si>
  <si>
    <t xml:space="preserve">Falta (R$)</t>
  </si>
  <si>
    <t xml:space="preserve">Meses até o prazo</t>
  </si>
  <si>
    <t xml:space="preserve">Guardar por mês (R$)</t>
  </si>
  <si>
    <t xml:space="preserve">Viagem em família</t>
  </si>
  <si>
    <t xml:space="preserve">Trocar o notebook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</si>
</sst>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m/yyyy"/>
    <numFmt numFmtId="166" formatCode="&quot;R$ &quot;#,##0.00;&quot;-R$ &quot;#,##0.00;\-"/>
    <numFmt numFmtId="167" formatCode="0.0%;\-0.0%;\-"/>
    <numFmt numFmtId="168" formatCode="0.0&quot; meses&quot;"/>
    <numFmt numFmtId="169" formatCode="0"/>
    <numFmt numFmtId="170" formatCode="dd/mm/yyyy"/>
    <numFmt numFmtId="171" formatCode="mmm/yy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233C36"/>
      <name val="Arial"/>
      <family val="0"/>
      <charset val="1"/>
    </font>
    <font>
      <sz val="10"/>
      <color rgb="FFA16C46"/>
      <name val="Arial"/>
      <family val="0"/>
      <charset val="1"/>
    </font>
    <font>
      <sz val="11"/>
      <color rgb="FF233C36"/>
      <name val="Arial"/>
      <family val="0"/>
      <charset val="1"/>
    </font>
    <font>
      <i val="true"/>
      <sz val="12"/>
      <color rgb="FF233C36"/>
      <name val="Arial"/>
      <family val="0"/>
      <charset val="1"/>
    </font>
    <font>
      <b val="true"/>
      <sz val="13"/>
      <color rgb="FF233C36"/>
      <name val="Arial"/>
      <family val="0"/>
      <charset val="1"/>
    </font>
    <font>
      <sz val="9"/>
      <color rgb="FF637069"/>
      <name val="Arial"/>
      <family val="0"/>
      <charset val="1"/>
    </font>
    <font>
      <b val="true"/>
      <sz val="18"/>
      <color rgb="FF233C36"/>
      <name val="Arial"/>
      <family val="0"/>
      <charset val="1"/>
    </font>
    <font>
      <b val="true"/>
      <sz val="10"/>
      <color rgb="FF233C36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33C3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63706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8"/>
      <color rgb="FF637069"/>
      <name val="Arial"/>
      <family val="0"/>
      <charset val="1"/>
    </font>
    <font>
      <b val="true"/>
      <sz val="9"/>
      <color rgb="FF63706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B3"/>
        <bgColor rgb="FFF6E6C8"/>
      </patternFill>
    </fill>
    <fill>
      <patternFill patternType="solid">
        <fgColor rgb="FF233C36"/>
        <bgColor rgb="FF333300"/>
      </patternFill>
    </fill>
    <fill>
      <patternFill patternType="solid">
        <fgColor rgb="FFF5F1E9"/>
        <bgColor rgb="FFF6E6C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DED3"/>
      </left>
      <right style="thin">
        <color rgb="FFDCDED3"/>
      </right>
      <top style="thin">
        <color rgb="FFDCDED3"/>
      </top>
      <bottom style="thin">
        <color rgb="FFDCDE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2F6B4F"/>
      </font>
      <fill>
        <patternFill>
          <bgColor rgb="FFD9EADF"/>
        </patternFill>
      </fill>
    </dxf>
    <dxf>
      <font>
        <name val="Arial"/>
        <charset val="1"/>
        <family val="0"/>
        <b val="1"/>
        <color rgb="FF8A5A12"/>
      </font>
      <fill>
        <patternFill>
          <bgColor rgb="FFF6E6C8"/>
        </patternFill>
      </fill>
    </dxf>
    <dxf>
      <font>
        <name val="Arial"/>
        <charset val="1"/>
        <family val="0"/>
        <b val="1"/>
        <color rgb="FF9B3B2E"/>
      </font>
      <fill>
        <patternFill>
          <bgColor rgb="FFF5DCD6"/>
        </patternFill>
      </fill>
    </dxf>
    <dxf>
      <font>
        <name val="Arial"/>
        <charset val="1"/>
        <family val="0"/>
        <b val="1"/>
        <color rgb="FF31516E"/>
      </font>
      <fill>
        <patternFill>
          <bgColor rgb="FFDBE5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12"/>
      <rgbColor rgb="FF800080"/>
      <rgbColor rgb="FF2F6B4F"/>
      <rgbColor rgb="FFDCDED3"/>
      <rgbColor rgb="FF878787"/>
      <rgbColor rgb="FF9999FF"/>
      <rgbColor rgb="FF993366"/>
      <rgbColor rgb="FFFFF2B3"/>
      <rgbColor rgb="FFDBE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1E9"/>
      <rgbColor rgb="FFD9EADF"/>
      <rgbColor rgb="FFF6E6C8"/>
      <rgbColor rgb="FF99CCFF"/>
      <rgbColor rgb="FFFF99CC"/>
      <rgbColor rgb="FFCC99FF"/>
      <rgbColor rgb="FFF5DCD6"/>
      <rgbColor rgb="FF4F81BD"/>
      <rgbColor rgb="FF33CCCC"/>
      <rgbColor rgb="FF99CC00"/>
      <rgbColor rgb="FFFFCC00"/>
      <rgbColor rgb="FFFF9900"/>
      <rgbColor rgb="FFFF6600"/>
      <rgbColor rgb="FF637069"/>
      <rgbColor rgb="FFA16C46"/>
      <rgbColor rgb="FF003366"/>
      <rgbColor rgb="FF339966"/>
      <rgbColor rgb="FF003300"/>
      <rgbColor rgb="FF333300"/>
      <rgbColor rgb="FF9B3B2E"/>
      <rgbColor rgb="FF993366"/>
      <rgbColor rgb="FF31516E"/>
      <rgbColor rgb="FF233C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Gastos variáveis por emoção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Painel!$G$7:$G$12</c:f>
              <c:strCache>
                <c:ptCount val="6"/>
                <c:pt idx="0">
                  <c:v>Necessidade</c:v>
                </c:pt>
                <c:pt idx="1">
                  <c:v>Recompensa</c:v>
                </c:pt>
                <c:pt idx="2">
                  <c:v>Tédio</c:v>
                </c:pt>
                <c:pt idx="3">
                  <c:v>Estresse</c:v>
                </c:pt>
                <c:pt idx="4">
                  <c:v>Alegria</c:v>
                </c:pt>
                <c:pt idx="5">
                  <c:v>Pressão social</c:v>
                </c:pt>
              </c:strCache>
            </c:strRef>
          </c:cat>
          <c:val>
            <c:numRef>
              <c:f>Painel!$H$7:$H$12</c:f>
              <c:numCache>
                <c:formatCode>"R$ "#,##0.00;"-R$ "#,##0.00;\-</c:formatCode>
                <c:ptCount val="6"/>
                <c:pt idx="0">
                  <c:v>1790</c:v>
                </c:pt>
                <c:pt idx="1">
                  <c:v>555</c:v>
                </c:pt>
                <c:pt idx="2">
                  <c:v>0</c:v>
                </c:pt>
                <c:pt idx="3">
                  <c:v>95</c:v>
                </c:pt>
                <c:pt idx="4">
                  <c:v>270</c:v>
                </c:pt>
                <c:pt idx="5">
                  <c:v>260</c:v>
                </c:pt>
              </c:numCache>
            </c:numRef>
          </c:val>
        </c:ser>
        <c:gapWidth val="150"/>
        <c:overlap val="0"/>
        <c:axId val="4025085"/>
        <c:axId val="34454580"/>
      </c:barChart>
      <c:catAx>
        <c:axId val="40250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454580"/>
        <c:crosses val="autoZero"/>
        <c:auto val="1"/>
        <c:lblAlgn val="ctr"/>
        <c:lblOffset val="100"/>
        <c:noMultiLvlLbl val="0"/>
      </c:catAx>
      <c:valAx>
        <c:axId val="344545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;&quot;-R$ &quot;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50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21</xdr:row>
      <xdr:rowOff>179280</xdr:rowOff>
    </xdr:from>
    <xdr:to>
      <xdr:col>9</xdr:col>
      <xdr:colOff>528840</xdr:colOff>
      <xdr:row>35</xdr:row>
      <xdr:rowOff>31680</xdr:rowOff>
    </xdr:to>
    <xdr:graphicFrame>
      <xdr:nvGraphicFramePr>
        <xdr:cNvPr id="0" name="Chart 1"/>
        <xdr:cNvGraphicFramePr/>
      </xdr:nvGraphicFramePr>
      <xdr:xfrm>
        <a:off x="5850360" y="438156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3C36"/>
    <pageSetUpPr fitToPage="false"/>
  </sheetPr>
  <dimension ref="B2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3"/>
    </row>
    <row r="7" customFormat="false" ht="16.15" hidden="false" customHeight="false" outlineLevel="0" collapsed="false">
      <c r="B7" s="5" t="s">
        <v>3</v>
      </c>
    </row>
    <row r="8" customFormat="false" ht="26.85" hidden="false" customHeight="false" outlineLevel="0" collapsed="false">
      <c r="B8" s="3" t="s">
        <v>4</v>
      </c>
    </row>
    <row r="9" customFormat="false" ht="26.8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 t="s">
        <v>6</v>
      </c>
    </row>
    <row r="11" customFormat="false" ht="26.85" hidden="false" customHeight="false" outlineLevel="0" collapsed="false">
      <c r="B11" s="3" t="s">
        <v>7</v>
      </c>
    </row>
    <row r="12" customFormat="false" ht="39.5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3"/>
    </row>
    <row r="15" customFormat="false" ht="16.15" hidden="false" customHeight="false" outlineLevel="0" collapsed="false">
      <c r="B15" s="5" t="s">
        <v>10</v>
      </c>
    </row>
    <row r="16" customFormat="false" ht="26.85" hidden="false" customHeight="false" outlineLevel="0" collapsed="false">
      <c r="B16" s="6" t="s">
        <v>11</v>
      </c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7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3C36"/>
    <pageSetUpPr fitToPage="false"/>
  </sheetPr>
  <dimension ref="B2:I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3"/>
    <col collapsed="false" customWidth="true" hidden="false" outlineLevel="0" max="7" min="7" style="0" width="34"/>
    <col collapsed="false" customWidth="true" hidden="false" outlineLevel="0" max="8" min="8" style="0" width="16"/>
    <col collapsed="false" customWidth="true" hidden="false" outlineLevel="0" max="9" min="9" style="0" width="14"/>
  </cols>
  <sheetData>
    <row r="2" customFormat="false" ht="22.05" hidden="false" customHeight="false" outlineLevel="0" collapsed="false">
      <c r="B2" s="8" t="s">
        <v>13</v>
      </c>
    </row>
    <row r="4" customFormat="false" ht="15" hidden="false" customHeight="false" outlineLevel="0" collapsed="false">
      <c r="B4" s="9" t="s">
        <v>14</v>
      </c>
      <c r="C4" s="10" t="n">
        <v>46327</v>
      </c>
    </row>
    <row r="6" customFormat="false" ht="23.85" hidden="false" customHeight="false" outlineLevel="0" collapsed="false">
      <c r="B6" s="11" t="s">
        <v>15</v>
      </c>
      <c r="C6" s="12" t="s">
        <v>16</v>
      </c>
      <c r="D6" s="12" t="s">
        <v>17</v>
      </c>
      <c r="G6" s="11" t="s">
        <v>18</v>
      </c>
      <c r="H6" s="12" t="s">
        <v>16</v>
      </c>
      <c r="I6" s="12" t="s">
        <v>19</v>
      </c>
    </row>
    <row r="7" customFormat="false" ht="15" hidden="false" customHeight="false" outlineLevel="0" collapsed="false">
      <c r="B7" s="13" t="s">
        <v>20</v>
      </c>
      <c r="C7" s="14" t="n">
        <f aca="false">SUMIFS(Lançamentos!$E$6:$E$605,Lançamentos!$O$6:$O$605,"Entrada",Lançamentos!$P$6:$P$605,Painel!$C$4)</f>
        <v>8700</v>
      </c>
      <c r="D7" s="15" t="n">
        <f aca="false">IF($C$7&gt;0,C7/$C$7,0)</f>
        <v>1</v>
      </c>
      <c r="G7" s="13" t="s">
        <v>21</v>
      </c>
      <c r="H7" s="14" t="n">
        <f aca="false">SUMIFS(Lançamentos!$E$6:$E$605,Lançamentos!$G$6:$G$605,"Necessidade",Lançamentos!$P$6:$P$605,Painel!$C$4,Lançamentos!$O$6:$O$605,"Variável")</f>
        <v>1790</v>
      </c>
      <c r="I7" s="15" t="n">
        <f aca="false">IF($C$9&gt;0,H7/$C$9,0)</f>
        <v>0.602693602693603</v>
      </c>
    </row>
    <row r="8" customFormat="false" ht="15" hidden="false" customHeight="false" outlineLevel="0" collapsed="false">
      <c r="B8" s="13" t="s">
        <v>22</v>
      </c>
      <c r="C8" s="14" t="n">
        <f aca="false">SUMIFS(Lançamentos!$E$6:$E$605,Lançamentos!$O$6:$O$605,"Fixo",Lançamentos!$P$6:$P$605,Painel!$C$4)</f>
        <v>4460</v>
      </c>
      <c r="D8" s="15" t="n">
        <f aca="false">IF($C$7&gt;0,C8/$C$7,0)</f>
        <v>0.51264367816092</v>
      </c>
      <c r="G8" s="13" t="s">
        <v>23</v>
      </c>
      <c r="H8" s="14" t="n">
        <f aca="false">SUMIFS(Lançamentos!$E$6:$E$605,Lançamentos!$G$6:$G$605,"Recompensa",Lançamentos!$P$6:$P$605,Painel!$C$4,Lançamentos!$O$6:$O$605,"Variável")</f>
        <v>555</v>
      </c>
      <c r="I8" s="15" t="n">
        <f aca="false">IF($C$9&gt;0,H8/$C$9,0)</f>
        <v>0.186868686868687</v>
      </c>
    </row>
    <row r="9" customFormat="false" ht="15" hidden="false" customHeight="false" outlineLevel="0" collapsed="false">
      <c r="B9" s="13" t="s">
        <v>24</v>
      </c>
      <c r="C9" s="14" t="n">
        <f aca="false">SUMIFS(Lançamentos!$E$6:$E$605,Lançamentos!$O$6:$O$605,"Variável",Lançamentos!$P$6:$P$605,Painel!$C$4)</f>
        <v>2970</v>
      </c>
      <c r="D9" s="15" t="n">
        <f aca="false">IF($C$7&gt;0,C9/$C$7,0)</f>
        <v>0.341379310344828</v>
      </c>
      <c r="G9" s="13" t="s">
        <v>25</v>
      </c>
      <c r="H9" s="14" t="n">
        <f aca="false">SUMIFS(Lançamentos!$E$6:$E$605,Lançamentos!$G$6:$G$605,"Tédio",Lançamentos!$P$6:$P$605,Painel!$C$4,Lançamentos!$O$6:$O$605,"Variável")</f>
        <v>0</v>
      </c>
      <c r="I9" s="15" t="n">
        <f aca="false">IF($C$9&gt;0,H9/$C$9,0)</f>
        <v>0</v>
      </c>
    </row>
    <row r="10" customFormat="false" ht="15" hidden="false" customHeight="false" outlineLevel="0" collapsed="false">
      <c r="B10" s="13" t="s">
        <v>26</v>
      </c>
      <c r="C10" s="14" t="n">
        <f aca="false">SUMIFS(Lançamentos!$E$6:$E$605,Lançamentos!$O$6:$O$605,"Dívida",Lançamentos!$P$6:$P$605,Painel!$C$4)</f>
        <v>920</v>
      </c>
      <c r="D10" s="15" t="n">
        <f aca="false">IF($C$7&gt;0,C10/$C$7,0)</f>
        <v>0.105747126436782</v>
      </c>
      <c r="G10" s="13" t="s">
        <v>27</v>
      </c>
      <c r="H10" s="14" t="n">
        <f aca="false">SUMIFS(Lançamentos!$E$6:$E$605,Lançamentos!$G$6:$G$605,"Estresse",Lançamentos!$P$6:$P$605,Painel!$C$4,Lançamentos!$O$6:$O$605,"Variável")</f>
        <v>95</v>
      </c>
      <c r="I10" s="15" t="n">
        <f aca="false">IF($C$9&gt;0,H10/$C$9,0)</f>
        <v>0.031986531986532</v>
      </c>
    </row>
    <row r="11" customFormat="false" ht="15" hidden="false" customHeight="false" outlineLevel="0" collapsed="false">
      <c r="B11" s="13" t="s">
        <v>28</v>
      </c>
      <c r="C11" s="14" t="n">
        <f aca="false">SUMIFS(Lançamentos!$E$6:$E$605,Lançamentos!$O$6:$O$605,"Guardado",Lançamentos!$P$6:$P$605,Painel!$C$4)</f>
        <v>450</v>
      </c>
      <c r="D11" s="15" t="n">
        <f aca="false">IF($C$7&gt;0,C11/$C$7,0)</f>
        <v>0.0517241379310345</v>
      </c>
      <c r="G11" s="13" t="s">
        <v>29</v>
      </c>
      <c r="H11" s="14" t="n">
        <f aca="false">SUMIFS(Lançamentos!$E$6:$E$605,Lançamentos!$G$6:$G$605,"Alegria",Lançamentos!$P$6:$P$605,Painel!$C$4,Lançamentos!$O$6:$O$605,"Variável")</f>
        <v>270</v>
      </c>
      <c r="I11" s="15" t="n">
        <f aca="false">IF($C$9&gt;0,H11/$C$9,0)</f>
        <v>0.0909090909090909</v>
      </c>
    </row>
    <row r="12" customFormat="false" ht="15" hidden="false" customHeight="false" outlineLevel="0" collapsed="false">
      <c r="B12" s="16" t="s">
        <v>30</v>
      </c>
      <c r="C12" s="17" t="n">
        <f aca="false">C7-C8-C9-C10-C11</f>
        <v>-100</v>
      </c>
      <c r="D12" s="18" t="n">
        <f aca="false">IF($C$7&gt;0,C12/$C$7,0)</f>
        <v>-0.0114942528735632</v>
      </c>
      <c r="G12" s="13" t="s">
        <v>31</v>
      </c>
      <c r="H12" s="14" t="n">
        <f aca="false">SUMIFS(Lançamentos!$E$6:$E$605,Lançamentos!$G$6:$G$605,"Pressão social",Lançamentos!$P$6:$P$605,Painel!$C$4,Lançamentos!$O$6:$O$605,"Variável")</f>
        <v>260</v>
      </c>
      <c r="I12" s="15" t="n">
        <f aca="false">IF($C$9&gt;0,H12/$C$9,0)</f>
        <v>0.0875420875420876</v>
      </c>
    </row>
    <row r="13" customFormat="false" ht="15" hidden="false" customHeight="false" outlineLevel="0" collapsed="false">
      <c r="G13" s="16" t="s">
        <v>32</v>
      </c>
      <c r="H13" s="17" t="n">
        <f aca="false">H8+H9+H10</f>
        <v>650</v>
      </c>
      <c r="I13" s="18" t="n">
        <f aca="false">IF($C$9&gt;0,H13/$C$9,0)</f>
        <v>0.218855218855219</v>
      </c>
    </row>
    <row r="14" customFormat="false" ht="15" hidden="false" customHeight="false" outlineLevel="0" collapsed="false">
      <c r="B14" s="11" t="s">
        <v>33</v>
      </c>
      <c r="C14" s="12" t="s">
        <v>34</v>
      </c>
      <c r="D14" s="12" t="s">
        <v>35</v>
      </c>
    </row>
    <row r="15" customFormat="false" ht="15" hidden="false" customHeight="false" outlineLevel="0" collapsed="false">
      <c r="B15" s="13" t="s">
        <v>36</v>
      </c>
      <c r="C15" s="19" t="n">
        <f aca="false">IF(C7&gt;0,C11/C7,0)</f>
        <v>0.0517241379310345</v>
      </c>
      <c r="D15" s="20" t="str">
        <f aca="false">IF(C15&gt;=0.1,"Saudável",IF(C15&gt;0,"Atenção","Alerta"))</f>
        <v>Atenção</v>
      </c>
      <c r="G15" s="11" t="s">
        <v>37</v>
      </c>
      <c r="H15" s="12" t="s">
        <v>16</v>
      </c>
      <c r="I15" s="12" t="s">
        <v>38</v>
      </c>
    </row>
    <row r="16" customFormat="false" ht="15" hidden="false" customHeight="false" outlineLevel="0" collapsed="false">
      <c r="B16" s="13" t="s">
        <v>39</v>
      </c>
      <c r="C16" s="19" t="n">
        <f aca="false">IF(C7&gt;0,C10/C7,0)</f>
        <v>0.105747126436782</v>
      </c>
      <c r="D16" s="20" t="str">
        <f aca="false">IF(C16&lt;=0.3,"Saudável",IF(C16&lt;=0.4,"Atenção","Alerta"))</f>
        <v>Saudável</v>
      </c>
      <c r="G16" s="16" t="s">
        <v>40</v>
      </c>
      <c r="H16" s="21"/>
      <c r="I16" s="22" t="n">
        <f aca="false">IF(COUNTIFS(Lançamentos!$L$6:$L$605,"&gt;=0",Lançamentos!$P$6:$P$605,Painel!$C$4)=0,0,COUNTIFS(Lançamentos!$L$6:$L$605,"&gt;=8",Lançamentos!$P$6:$P$605,Painel!$C$4)/COUNTIFS(Lançamentos!$L$6:$L$605,"&gt;=0",Lançamentos!$P$6:$P$605,Painel!$C$4))</f>
        <v>0.636363636363636</v>
      </c>
    </row>
    <row r="17" customFormat="false" ht="15" hidden="false" customHeight="false" outlineLevel="0" collapsed="false">
      <c r="B17" s="13" t="s">
        <v>41</v>
      </c>
      <c r="C17" s="23" t="n">
        <f aca="false">IF(C8&gt;0,N(Metas!E6)/C8,0)</f>
        <v>0.896860986547085</v>
      </c>
      <c r="D17" s="20" t="str">
        <f aca="false">IF(C17&gt;=6,"Saudável",IF(C17&gt;=3,"Atenção","Alerta"))</f>
        <v>Alerta</v>
      </c>
      <c r="G17" s="13" t="s">
        <v>42</v>
      </c>
      <c r="H17" s="14" t="n">
        <f aca="false">SUMIFS(Lançamentos!$E$6:$E$605,Lançamentos!$M$6:$M$605,"Executar",Lançamentos!$P$6:$P$605,Painel!$C$4)</f>
        <v>5920</v>
      </c>
      <c r="I17" s="24" t="n">
        <f aca="false">COUNTIFS(Lançamentos!$M$6:$M$605,"Executar",Lançamentos!$P$6:$P$605,Painel!$C$4)</f>
        <v>11</v>
      </c>
    </row>
    <row r="18" customFormat="false" ht="15" hidden="false" customHeight="false" outlineLevel="0" collapsed="false">
      <c r="B18" s="13" t="s">
        <v>43</v>
      </c>
      <c r="C18" s="19" t="n">
        <f aca="false">IF(C7&gt;0,C8/C7,0)</f>
        <v>0.51264367816092</v>
      </c>
      <c r="D18" s="20" t="str">
        <f aca="false">IF(C18&lt;=0.5,"Saudável",IF(C18&lt;=0.65,"Atenção","Alerta"))</f>
        <v>Atenção</v>
      </c>
      <c r="G18" s="13" t="s">
        <v>44</v>
      </c>
      <c r="H18" s="14" t="n">
        <f aca="false">SUMIFS(Lançamentos!$E$6:$E$605,Lançamentos!$M$6:$M$605,"Executar com controle",Lançamentos!$P$6:$P$605,Painel!$C$4)</f>
        <v>1090</v>
      </c>
      <c r="I18" s="24" t="n">
        <f aca="false">COUNTIFS(Lançamentos!$M$6:$M$605,"Executar com controle",Lançamentos!$P$6:$P$605,Painel!$C$4)</f>
        <v>3</v>
      </c>
    </row>
    <row r="19" customFormat="false" ht="15" hidden="false" customHeight="false" outlineLevel="0" collapsed="false">
      <c r="B19" s="25" t="s">
        <v>45</v>
      </c>
      <c r="G19" s="13" t="s">
        <v>46</v>
      </c>
      <c r="H19" s="14" t="n">
        <f aca="false">SUMIFS(Lançamentos!$E$6:$E$605,Lançamentos!$M$6:$M$605,"Postergar",Lançamentos!$P$6:$P$605,Painel!$C$4)</f>
        <v>0</v>
      </c>
      <c r="I19" s="24" t="n">
        <f aca="false">COUNTIFS(Lançamentos!$M$6:$M$605,"Postergar",Lançamentos!$P$6:$P$605,Painel!$C$4)</f>
        <v>0</v>
      </c>
    </row>
    <row r="20" customFormat="false" ht="15" hidden="false" customHeight="false" outlineLevel="0" collapsed="false">
      <c r="G20" s="13" t="s">
        <v>47</v>
      </c>
      <c r="H20" s="14" t="n">
        <f aca="false">SUMIFS(Lançamentos!$E$6:$E$605,Lançamentos!$M$6:$M$605,"Cancelar",Lançamentos!$P$6:$P$605,Painel!$C$4)</f>
        <v>1340</v>
      </c>
      <c r="I20" s="24" t="n">
        <f aca="false">COUNTIFS(Lançamentos!$M$6:$M$605,"Cancelar",Lançamentos!$P$6:$P$605,Painel!$C$4)</f>
        <v>8</v>
      </c>
    </row>
    <row r="21" customFormat="false" ht="15" hidden="false" customHeight="false" outlineLevel="0" collapsed="false">
      <c r="B21" s="25" t="s">
        <v>48</v>
      </c>
      <c r="G21" s="25" t="s">
        <v>49</v>
      </c>
    </row>
    <row r="22" customFormat="false" ht="15" hidden="false" customHeight="false" outlineLevel="0" collapsed="false">
      <c r="B22" s="11" t="s">
        <v>50</v>
      </c>
      <c r="C22" s="12" t="s">
        <v>16</v>
      </c>
      <c r="D22" s="12" t="s">
        <v>51</v>
      </c>
      <c r="E22" s="12" t="s">
        <v>52</v>
      </c>
    </row>
    <row r="23" customFormat="false" ht="15" hidden="false" customHeight="false" outlineLevel="0" collapsed="false">
      <c r="B23" s="26" t="str">
        <f aca="false">Categorias!B9</f>
        <v>Moradia</v>
      </c>
      <c r="C23" s="14" t="n">
        <f aca="false">SUMIFS(Lançamentos!$E$6:$E$605,Lançamentos!$D$6:$D$605,B23,Lançamentos!$P$6:$P$605,Painel!$C$4)</f>
        <v>2250</v>
      </c>
      <c r="D23" s="15" t="str">
        <f aca="false">IF(N(IFERROR(INDEX(Categorias!$E$6:$E$45,MATCH(B23,Categorias!$B$6:$B$45,0)),0))&gt;0,C23/IFERROR(INDEX(Categorias!$E$6:$E$45,MATCH(B23,Categorias!$B$6:$B$45,0)),0),"")</f>
        <v/>
      </c>
      <c r="E23" s="27" t="str">
        <f aca="false">IF(D23="","Sem limite",IF(D23&gt;=1,"Crítico",IF(D23&gt;=0.9,"Atenção","OK")))</f>
        <v>Sem limite</v>
      </c>
    </row>
    <row r="24" customFormat="false" ht="15" hidden="false" customHeight="false" outlineLevel="0" collapsed="false">
      <c r="B24" s="26" t="str">
        <f aca="false">Categorias!B10</f>
        <v>Contas da casa</v>
      </c>
      <c r="C24" s="14" t="n">
        <f aca="false">SUMIFS(Lançamentos!$E$6:$E$605,Lançamentos!$D$6:$D$605,B24,Lançamentos!$P$6:$P$605,Painel!$C$4)</f>
        <v>320</v>
      </c>
      <c r="D24" s="15" t="str">
        <f aca="false">IF(N(IFERROR(INDEX(Categorias!$E$6:$E$45,MATCH(B24,Categorias!$B$6:$B$45,0)),0))&gt;0,C24/IFERROR(INDEX(Categorias!$E$6:$E$45,MATCH(B24,Categorias!$B$6:$B$45,0)),0),"")</f>
        <v/>
      </c>
      <c r="E24" s="27" t="str">
        <f aca="false">IF(D24="","Sem limite",IF(D24&gt;=1,"Crítico",IF(D24&gt;=0.9,"Atenção","OK")))</f>
        <v>Sem limite</v>
      </c>
    </row>
    <row r="25" customFormat="false" ht="15" hidden="false" customHeight="false" outlineLevel="0" collapsed="false">
      <c r="B25" s="26" t="str">
        <f aca="false">Categorias!B11</f>
        <v>Internet e celular</v>
      </c>
      <c r="C25" s="14" t="n">
        <f aca="false">SUMIFS(Lançamentos!$E$6:$E$605,Lançamentos!$D$6:$D$605,B25,Lançamentos!$P$6:$P$605,Painel!$C$4)</f>
        <v>180</v>
      </c>
      <c r="D25" s="15" t="str">
        <f aca="false">IF(N(IFERROR(INDEX(Categorias!$E$6:$E$45,MATCH(B25,Categorias!$B$6:$B$45,0)),0))&gt;0,C25/IFERROR(INDEX(Categorias!$E$6:$E$45,MATCH(B25,Categorias!$B$6:$B$45,0)),0),"")</f>
        <v/>
      </c>
      <c r="E25" s="27" t="str">
        <f aca="false">IF(D25="","Sem limite",IF(D25&gt;=1,"Crítico",IF(D25&gt;=0.9,"Atenção","OK")))</f>
        <v>Sem limite</v>
      </c>
    </row>
    <row r="26" customFormat="false" ht="15" hidden="false" customHeight="false" outlineLevel="0" collapsed="false">
      <c r="B26" s="26" t="str">
        <f aca="false">Categorias!B12</f>
        <v>Educação</v>
      </c>
      <c r="C26" s="14" t="n">
        <f aca="false">SUMIFS(Lançamentos!$E$6:$E$605,Lançamentos!$D$6:$D$605,B26,Lançamentos!$P$6:$P$605,Painel!$C$4)</f>
        <v>900</v>
      </c>
      <c r="D26" s="15" t="str">
        <f aca="false">IF(N(IFERROR(INDEX(Categorias!$E$6:$E$45,MATCH(B26,Categorias!$B$6:$B$45,0)),0))&gt;0,C26/IFERROR(INDEX(Categorias!$E$6:$E$45,MATCH(B26,Categorias!$B$6:$B$45,0)),0),"")</f>
        <v/>
      </c>
      <c r="E26" s="27" t="str">
        <f aca="false">IF(D26="","Sem limite",IF(D26&gt;=1,"Crítico",IF(D26&gt;=0.9,"Atenção","OK")))</f>
        <v>Sem limite</v>
      </c>
    </row>
    <row r="27" customFormat="false" ht="15" hidden="false" customHeight="false" outlineLevel="0" collapsed="false">
      <c r="B27" s="26" t="str">
        <f aca="false">Categorias!B13</f>
        <v>Saúde (plano)</v>
      </c>
      <c r="C27" s="14" t="n">
        <f aca="false">SUMIFS(Lançamentos!$E$6:$E$605,Lançamentos!$D$6:$D$605,B27,Lançamentos!$P$6:$P$605,Painel!$C$4)</f>
        <v>650</v>
      </c>
      <c r="D27" s="15" t="str">
        <f aca="false">IF(N(IFERROR(INDEX(Categorias!$E$6:$E$45,MATCH(B27,Categorias!$B$6:$B$45,0)),0))&gt;0,C27/IFERROR(INDEX(Categorias!$E$6:$E$45,MATCH(B27,Categorias!$B$6:$B$45,0)),0),"")</f>
        <v/>
      </c>
      <c r="E27" s="27" t="str">
        <f aca="false">IF(D27="","Sem limite",IF(D27&gt;=1,"Crítico",IF(D27&gt;=0.9,"Atenção","OK")))</f>
        <v>Sem limite</v>
      </c>
    </row>
    <row r="28" customFormat="false" ht="15" hidden="false" customHeight="false" outlineLevel="0" collapsed="false">
      <c r="B28" s="26" t="str">
        <f aca="false">Categorias!B14</f>
        <v>Assinaturas</v>
      </c>
      <c r="C28" s="14" t="n">
        <f aca="false">SUMIFS(Lançamentos!$E$6:$E$605,Lançamentos!$D$6:$D$605,B28,Lançamentos!$P$6:$P$605,Painel!$C$4)</f>
        <v>160</v>
      </c>
      <c r="D28" s="15" t="str">
        <f aca="false">IF(N(IFERROR(INDEX(Categorias!$E$6:$E$45,MATCH(B28,Categorias!$B$6:$B$45,0)),0))&gt;0,C28/IFERROR(INDEX(Categorias!$E$6:$E$45,MATCH(B28,Categorias!$B$6:$B$45,0)),0),"")</f>
        <v/>
      </c>
      <c r="E28" s="27" t="str">
        <f aca="false">IF(D28="","Sem limite",IF(D28&gt;=1,"Crítico",IF(D28&gt;=0.9,"Atenção","OK")))</f>
        <v>Sem limite</v>
      </c>
    </row>
    <row r="29" customFormat="false" ht="15" hidden="false" customHeight="false" outlineLevel="0" collapsed="false">
      <c r="B29" s="26" t="str">
        <f aca="false">Categorias!B15</f>
        <v>Mercado</v>
      </c>
      <c r="C29" s="14" t="n">
        <f aca="false">SUMIFS(Lançamentos!$E$6:$E$605,Lançamentos!$D$6:$D$605,B29,Lançamentos!$P$6:$P$605,Painel!$C$4)</f>
        <v>1200</v>
      </c>
      <c r="D29" s="15" t="n">
        <f aca="false">IF(N(IFERROR(INDEX(Categorias!$E$6:$E$45,MATCH(B29,Categorias!$B$6:$B$45,0)),0))&gt;0,C29/IFERROR(INDEX(Categorias!$E$6:$E$45,MATCH(B29,Categorias!$B$6:$B$45,0)),0),"")</f>
        <v>0.923076923076923</v>
      </c>
      <c r="E29" s="27" t="str">
        <f aca="false">IF(D29="","Sem limite",IF(D29&gt;=1,"Crítico",IF(D29&gt;=0.9,"Atenção","OK")))</f>
        <v>Atenção</v>
      </c>
    </row>
    <row r="30" customFormat="false" ht="15" hidden="false" customHeight="false" outlineLevel="0" collapsed="false">
      <c r="B30" s="26" t="str">
        <f aca="false">Categorias!B16</f>
        <v>Delivery e restaurantes</v>
      </c>
      <c r="C30" s="14" t="n">
        <f aca="false">SUMIFS(Lançamentos!$E$6:$E$605,Lançamentos!$D$6:$D$605,B30,Lançamentos!$P$6:$P$605,Painel!$C$4)</f>
        <v>520</v>
      </c>
      <c r="D30" s="15" t="n">
        <f aca="false">IF(N(IFERROR(INDEX(Categorias!$E$6:$E$45,MATCH(B30,Categorias!$B$6:$B$45,0)),0))&gt;0,C30/IFERROR(INDEX(Categorias!$E$6:$E$45,MATCH(B30,Categorias!$B$6:$B$45,0)),0),"")</f>
        <v>1.3</v>
      </c>
      <c r="E30" s="27" t="str">
        <f aca="false">IF(D30="","Sem limite",IF(D30&gt;=1,"Crítico",IF(D30&gt;=0.9,"Atenção","OK")))</f>
        <v>Crítico</v>
      </c>
    </row>
    <row r="31" customFormat="false" ht="15" hidden="false" customHeight="false" outlineLevel="0" collapsed="false">
      <c r="B31" s="26" t="str">
        <f aca="false">Categorias!B17</f>
        <v>Transporte</v>
      </c>
      <c r="C31" s="14" t="n">
        <f aca="false">SUMIFS(Lançamentos!$E$6:$E$605,Lançamentos!$D$6:$D$605,B31,Lançamentos!$P$6:$P$605,Painel!$C$4)</f>
        <v>350</v>
      </c>
      <c r="D31" s="15" t="n">
        <f aca="false">IF(N(IFERROR(INDEX(Categorias!$E$6:$E$45,MATCH(B31,Categorias!$B$6:$B$45,0)),0))&gt;0,C31/IFERROR(INDEX(Categorias!$E$6:$E$45,MATCH(B31,Categorias!$B$6:$B$45,0)),0),"")</f>
        <v>0.875</v>
      </c>
      <c r="E31" s="27" t="str">
        <f aca="false">IF(D31="","Sem limite",IF(D31&gt;=1,"Crítico",IF(D31&gt;=0.9,"Atenção","OK")))</f>
        <v>OK</v>
      </c>
    </row>
    <row r="32" customFormat="false" ht="15" hidden="false" customHeight="false" outlineLevel="0" collapsed="false">
      <c r="B32" s="26" t="str">
        <f aca="false">Categorias!B18</f>
        <v>Lazer</v>
      </c>
      <c r="C32" s="14" t="n">
        <f aca="false">SUMIFS(Lançamentos!$E$6:$E$605,Lançamentos!$D$6:$D$605,B32,Lançamentos!$P$6:$P$605,Painel!$C$4)</f>
        <v>160</v>
      </c>
      <c r="D32" s="15" t="n">
        <f aca="false">IF(N(IFERROR(INDEX(Categorias!$E$6:$E$45,MATCH(B32,Categorias!$B$6:$B$45,0)),0))&gt;0,C32/IFERROR(INDEX(Categorias!$E$6:$E$45,MATCH(B32,Categorias!$B$6:$B$45,0)),0),"")</f>
        <v>0.64</v>
      </c>
      <c r="E32" s="27" t="str">
        <f aca="false">IF(D32="","Sem limite",IF(D32&gt;=1,"Crítico",IF(D32&gt;=0.9,"Atenção","OK")))</f>
        <v>OK</v>
      </c>
    </row>
    <row r="33" customFormat="false" ht="15" hidden="false" customHeight="false" outlineLevel="0" collapsed="false">
      <c r="B33" s="26" t="str">
        <f aca="false">Categorias!B19</f>
        <v>Compras pessoais</v>
      </c>
      <c r="C33" s="14" t="n">
        <f aca="false">SUMIFS(Lançamentos!$E$6:$E$605,Lançamentos!$D$6:$D$605,B33,Lançamentos!$P$6:$P$605,Painel!$C$4)</f>
        <v>380</v>
      </c>
      <c r="D33" s="15" t="n">
        <f aca="false">IF(N(IFERROR(INDEX(Categorias!$E$6:$E$45,MATCH(B33,Categorias!$B$6:$B$45,0)),0))&gt;0,C33/IFERROR(INDEX(Categorias!$E$6:$E$45,MATCH(B33,Categorias!$B$6:$B$45,0)),0),"")</f>
        <v>1.26666666666667</v>
      </c>
      <c r="E33" s="27" t="str">
        <f aca="false">IF(D33="","Sem limite",IF(D33&gt;=1,"Crítico",IF(D33&gt;=0.9,"Atenção","OK")))</f>
        <v>Crítico</v>
      </c>
    </row>
    <row r="34" customFormat="false" ht="15" hidden="false" customHeight="false" outlineLevel="0" collapsed="false">
      <c r="B34" s="26" t="str">
        <f aca="false">Categorias!B20</f>
        <v>Farmácia</v>
      </c>
      <c r="C34" s="14" t="n">
        <f aca="false">SUMIFS(Lançamentos!$E$6:$E$605,Lançamentos!$D$6:$D$605,B34,Lançamentos!$P$6:$P$605,Painel!$C$4)</f>
        <v>150</v>
      </c>
      <c r="D34" s="15" t="str">
        <f aca="false">IF(N(IFERROR(INDEX(Categorias!$E$6:$E$45,MATCH(B34,Categorias!$B$6:$B$45,0)),0))&gt;0,C34/IFERROR(INDEX(Categorias!$E$6:$E$45,MATCH(B34,Categorias!$B$6:$B$45,0)),0),"")</f>
        <v/>
      </c>
      <c r="E34" s="27" t="str">
        <f aca="false">IF(D34="","Sem limite",IF(D34&gt;=1,"Crítico",IF(D34&gt;=0.9,"Atenção","OK")))</f>
        <v>Sem limite</v>
      </c>
    </row>
    <row r="35" customFormat="false" ht="15" hidden="false" customHeight="false" outlineLevel="0" collapsed="false">
      <c r="B35" s="26" t="str">
        <f aca="false">Categorias!B21</f>
        <v>Presentes</v>
      </c>
      <c r="C35" s="14" t="n">
        <f aca="false">SUMIFS(Lançamentos!$E$6:$E$605,Lançamentos!$D$6:$D$605,B35,Lançamentos!$P$6:$P$605,Painel!$C$4)</f>
        <v>120</v>
      </c>
      <c r="D35" s="15" t="n">
        <f aca="false">IF(N(IFERROR(INDEX(Categorias!$E$6:$E$45,MATCH(B35,Categorias!$B$6:$B$45,0)),0))&gt;0,C35/IFERROR(INDEX(Categorias!$E$6:$E$45,MATCH(B35,Categorias!$B$6:$B$45,0)),0),"")</f>
        <v>0.8</v>
      </c>
      <c r="E35" s="27" t="str">
        <f aca="false">IF(D35="","Sem limite",IF(D35&gt;=1,"Crítico",IF(D35&gt;=0.9,"Atenção","OK")))</f>
        <v>OK</v>
      </c>
    </row>
    <row r="36" customFormat="false" ht="15" hidden="false" customHeight="false" outlineLevel="0" collapsed="false">
      <c r="B36" s="26" t="str">
        <f aca="false">Categorias!B22</f>
        <v>Filhos</v>
      </c>
      <c r="C36" s="14" t="n">
        <f aca="false">SUMIFS(Lançamentos!$E$6:$E$605,Lançamentos!$D$6:$D$605,B36,Lançamentos!$P$6:$P$605,Painel!$C$4)</f>
        <v>90</v>
      </c>
      <c r="D36" s="15" t="str">
        <f aca="false">IF(N(IFERROR(INDEX(Categorias!$E$6:$E$45,MATCH(B36,Categorias!$B$6:$B$45,0)),0))&gt;0,C36/IFERROR(INDEX(Categorias!$E$6:$E$45,MATCH(B36,Categorias!$B$6:$B$45,0)),0),"")</f>
        <v/>
      </c>
      <c r="E36" s="27" t="str">
        <f aca="false">IF(D36="","Sem limite",IF(D36&gt;=1,"Crítico",IF(D36&gt;=0.9,"Atenção","OK")))</f>
        <v>Sem limite</v>
      </c>
    </row>
    <row r="37" customFormat="false" ht="15" hidden="false" customHeight="false" outlineLevel="0" collapsed="false">
      <c r="B37" s="26" t="str">
        <f aca="false">Categorias!B23</f>
        <v>Outros gastos</v>
      </c>
      <c r="C37" s="14" t="n">
        <f aca="false">SUMIFS(Lançamentos!$E$6:$E$605,Lançamentos!$D$6:$D$605,B37,Lançamentos!$P$6:$P$605,Painel!$C$4)</f>
        <v>0</v>
      </c>
      <c r="D37" s="15" t="str">
        <f aca="false">IF(N(IFERROR(INDEX(Categorias!$E$6:$E$45,MATCH(B37,Categorias!$B$6:$B$45,0)),0))&gt;0,C37/IFERROR(INDEX(Categorias!$E$6:$E$45,MATCH(B37,Categorias!$B$6:$B$45,0)),0),"")</f>
        <v/>
      </c>
      <c r="E37" s="27" t="str">
        <f aca="false">IF(D37="","Sem limite",IF(D37&gt;=1,"Crítico",IF(D37&gt;=0.9,"Atenção","OK")))</f>
        <v>Sem limite</v>
      </c>
    </row>
    <row r="38" customFormat="false" ht="15" hidden="false" customHeight="false" outlineLevel="0" collapsed="false">
      <c r="B38" s="26" t="str">
        <f aca="false">Categorias!B24</f>
        <v>Parcela de dívida</v>
      </c>
      <c r="C38" s="14" t="n">
        <f aca="false">SUMIFS(Lançamentos!$E$6:$E$605,Lançamentos!$D$6:$D$605,B38,Lançamentos!$P$6:$P$605,Painel!$C$4)</f>
        <v>920</v>
      </c>
      <c r="D38" s="15" t="str">
        <f aca="false">IF(N(IFERROR(INDEX(Categorias!$E$6:$E$45,MATCH(B38,Categorias!$B$6:$B$45,0)),0))&gt;0,C38/IFERROR(INDEX(Categorias!$E$6:$E$45,MATCH(B38,Categorias!$B$6:$B$45,0)),0),"")</f>
        <v/>
      </c>
      <c r="E38" s="27" t="str">
        <f aca="false">IF(D38="","Sem limite",IF(D38&gt;=1,"Crítico",IF(D38&gt;=0.9,"Atenção","OK")))</f>
        <v>Sem limite</v>
      </c>
    </row>
    <row r="39" customFormat="false" ht="15" hidden="false" customHeight="false" outlineLevel="0" collapsed="false">
      <c r="B39" s="26" t="str">
        <f aca="false">Categorias!B25</f>
        <v>Cartão: fatura anterior</v>
      </c>
      <c r="C39" s="14" t="n">
        <f aca="false">SUMIFS(Lançamentos!$E$6:$E$605,Lançamentos!$D$6:$D$605,B39,Lançamentos!$P$6:$P$605,Painel!$C$4)</f>
        <v>0</v>
      </c>
      <c r="D39" s="15" t="str">
        <f aca="false">IF(N(IFERROR(INDEX(Categorias!$E$6:$E$45,MATCH(B39,Categorias!$B$6:$B$45,0)),0))&gt;0,C39/IFERROR(INDEX(Categorias!$E$6:$E$45,MATCH(B39,Categorias!$B$6:$B$45,0)),0),"")</f>
        <v/>
      </c>
      <c r="E39" s="27" t="str">
        <f aca="false">IF(D39="","Sem limite",IF(D39&gt;=1,"Crítico",IF(D39&gt;=0.9,"Atenção","OK")))</f>
        <v>Sem limite</v>
      </c>
    </row>
  </sheetData>
  <conditionalFormatting sqref="D15:D18">
    <cfRule type="expression" priority="2" aboveAverage="0" equalAverage="0" bottom="0" percent="0" rank="0" text="" dxfId="0">
      <formula>D15="Saudável"</formula>
    </cfRule>
    <cfRule type="expression" priority="3" aboveAverage="0" equalAverage="0" bottom="0" percent="0" rank="0" text="" dxfId="1">
      <formula>D15="Atenção"</formula>
    </cfRule>
    <cfRule type="expression" priority="4" aboveAverage="0" equalAverage="0" bottom="0" percent="0" rank="0" text="" dxfId="2">
      <formula>D15="Alerta"</formula>
    </cfRule>
    <cfRule type="expression" priority="5" aboveAverage="0" equalAverage="0" bottom="0" percent="0" rank="0" text="" dxfId="0">
      <formula>D15="Concluído"</formula>
    </cfRule>
    <cfRule type="expression" priority="6" aboveAverage="0" equalAverage="0" bottom="0" percent="0" rank="0" text="" dxfId="0">
      <formula>D15="No ritmo"</formula>
    </cfRule>
    <cfRule type="expression" priority="7" aboveAverage="0" equalAverage="0" bottom="0" percent="0" rank="0" text="" dxfId="2">
      <formula>D15="Atrasado"</formula>
    </cfRule>
  </conditionalFormatting>
  <conditionalFormatting sqref="C23:C39">
    <cfRule type="dataBar" priority="8">
      <dataBar showValue="1" minLength="10" maxLength="90">
        <cfvo type="min" val="0"/>
        <cfvo type="max" val="0"/>
        <color rgb="FFD9BE96"/>
      </dataBar>
      <extLst>
        <ext xmlns:x14="http://schemas.microsoft.com/office/spreadsheetml/2009/9/main" uri="{B025F937-C7B1-47D3-B67F-A62EFF666E3E}">
          <x14:id>{19E2874B-3666-41FC-B659-40D9738490A1}</x14:id>
        </ext>
      </extLst>
    </cfRule>
  </conditionalFormatting>
  <conditionalFormatting sqref="E23:E39">
    <cfRule type="expression" priority="9" aboveAverage="0" equalAverage="0" bottom="0" percent="0" rank="0" text="" dxfId="0">
      <formula>E23="OK"</formula>
    </cfRule>
    <cfRule type="expression" priority="10" aboveAverage="0" equalAverage="0" bottom="0" percent="0" rank="0" text="" dxfId="1">
      <formula>E23="Atenção"</formula>
    </cfRule>
    <cfRule type="expression" priority="11" aboveAverage="0" equalAverage="0" bottom="0" percent="0" rank="0" text="" dxfId="2">
      <formula>E23="Crítico"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2874B-3666-41FC-B659-40D9738490A1}">
            <x14:dataBar minLength="10" maxLength="90" axisPosition="none" gradient="true">
              <x14:cfvo type="min"/>
              <x14:cfvo type="max"/>
              <x14:negativeFillColor rgb="FFD9BE96"/>
              <x14:axisColor rgb="FF000000"/>
            </x14:dataBar>
          </x14:cfRule>
          <xm:sqref>C23:C39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3C36"/>
    <pageSetUpPr fitToPage="false"/>
  </sheetPr>
  <dimension ref="B2:E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8"/>
  </cols>
  <sheetData>
    <row r="2" customFormat="false" ht="22.05" hidden="false" customHeight="false" outlineLevel="0" collapsed="false">
      <c r="B2" s="8" t="s">
        <v>53</v>
      </c>
    </row>
    <row r="3" customFormat="false" ht="15" hidden="false" customHeight="false" outlineLevel="0" collapsed="false">
      <c r="B3" s="28" t="s">
        <v>54</v>
      </c>
    </row>
    <row r="4" customFormat="false" ht="15" hidden="false" customHeight="false" outlineLevel="0" collapsed="false">
      <c r="D4" s="29" t="s">
        <v>55</v>
      </c>
    </row>
    <row r="5" customFormat="false" ht="15" hidden="false" customHeight="false" outlineLevel="0" collapsed="false">
      <c r="B5" s="11" t="s">
        <v>56</v>
      </c>
      <c r="C5" s="12" t="s">
        <v>57</v>
      </c>
      <c r="D5" s="12" t="s">
        <v>58</v>
      </c>
      <c r="E5" s="12" t="s">
        <v>59</v>
      </c>
    </row>
    <row r="6" customFormat="false" ht="15" hidden="false" customHeight="false" outlineLevel="0" collapsed="false">
      <c r="B6" s="30" t="s">
        <v>60</v>
      </c>
      <c r="C6" s="30" t="s">
        <v>61</v>
      </c>
      <c r="D6" s="30"/>
      <c r="E6" s="31"/>
    </row>
    <row r="7" customFormat="false" ht="15" hidden="false" customHeight="false" outlineLevel="0" collapsed="false">
      <c r="B7" s="30" t="s">
        <v>62</v>
      </c>
      <c r="C7" s="30" t="s">
        <v>61</v>
      </c>
      <c r="D7" s="30"/>
      <c r="E7" s="31"/>
    </row>
    <row r="8" customFormat="false" ht="15" hidden="false" customHeight="false" outlineLevel="0" collapsed="false">
      <c r="B8" s="30" t="s">
        <v>63</v>
      </c>
      <c r="C8" s="30" t="s">
        <v>61</v>
      </c>
      <c r="D8" s="30"/>
      <c r="E8" s="31"/>
    </row>
    <row r="9" customFormat="false" ht="15" hidden="false" customHeight="false" outlineLevel="0" collapsed="false">
      <c r="B9" s="30" t="s">
        <v>64</v>
      </c>
      <c r="C9" s="30" t="s">
        <v>65</v>
      </c>
      <c r="D9" s="30" t="s">
        <v>66</v>
      </c>
      <c r="E9" s="31"/>
    </row>
    <row r="10" customFormat="false" ht="15" hidden="false" customHeight="false" outlineLevel="0" collapsed="false">
      <c r="B10" s="30" t="s">
        <v>67</v>
      </c>
      <c r="C10" s="30" t="s">
        <v>65</v>
      </c>
      <c r="D10" s="30" t="s">
        <v>66</v>
      </c>
      <c r="E10" s="31"/>
    </row>
    <row r="11" customFormat="false" ht="15" hidden="false" customHeight="false" outlineLevel="0" collapsed="false">
      <c r="B11" s="30" t="s">
        <v>68</v>
      </c>
      <c r="C11" s="30" t="s">
        <v>65</v>
      </c>
      <c r="D11" s="30" t="s">
        <v>66</v>
      </c>
      <c r="E11" s="31"/>
    </row>
    <row r="12" customFormat="false" ht="15" hidden="false" customHeight="false" outlineLevel="0" collapsed="false">
      <c r="B12" s="30" t="s">
        <v>69</v>
      </c>
      <c r="C12" s="30" t="s">
        <v>65</v>
      </c>
      <c r="D12" s="30" t="s">
        <v>70</v>
      </c>
      <c r="E12" s="31"/>
    </row>
    <row r="13" customFormat="false" ht="15" hidden="false" customHeight="false" outlineLevel="0" collapsed="false">
      <c r="B13" s="30" t="s">
        <v>71</v>
      </c>
      <c r="C13" s="30" t="s">
        <v>65</v>
      </c>
      <c r="D13" s="30" t="s">
        <v>72</v>
      </c>
      <c r="E13" s="31"/>
    </row>
    <row r="14" customFormat="false" ht="15" hidden="false" customHeight="false" outlineLevel="0" collapsed="false">
      <c r="B14" s="30" t="s">
        <v>73</v>
      </c>
      <c r="C14" s="30" t="s">
        <v>65</v>
      </c>
      <c r="D14" s="30" t="s">
        <v>74</v>
      </c>
      <c r="E14" s="31"/>
    </row>
    <row r="15" customFormat="false" ht="15" hidden="false" customHeight="false" outlineLevel="0" collapsed="false">
      <c r="B15" s="30" t="s">
        <v>75</v>
      </c>
      <c r="C15" s="30" t="s">
        <v>76</v>
      </c>
      <c r="D15" s="30" t="s">
        <v>66</v>
      </c>
      <c r="E15" s="31" t="n">
        <v>1300</v>
      </c>
    </row>
    <row r="16" customFormat="false" ht="15" hidden="false" customHeight="false" outlineLevel="0" collapsed="false">
      <c r="B16" s="30" t="s">
        <v>77</v>
      </c>
      <c r="C16" s="30" t="s">
        <v>76</v>
      </c>
      <c r="D16" s="30" t="s">
        <v>74</v>
      </c>
      <c r="E16" s="31" t="n">
        <v>400</v>
      </c>
    </row>
    <row r="17" customFormat="false" ht="15" hidden="false" customHeight="false" outlineLevel="0" collapsed="false">
      <c r="B17" s="30" t="s">
        <v>78</v>
      </c>
      <c r="C17" s="30" t="s">
        <v>76</v>
      </c>
      <c r="D17" s="30" t="s">
        <v>66</v>
      </c>
      <c r="E17" s="31" t="n">
        <v>400</v>
      </c>
    </row>
    <row r="18" customFormat="false" ht="15" hidden="false" customHeight="false" outlineLevel="0" collapsed="false">
      <c r="B18" s="30" t="s">
        <v>79</v>
      </c>
      <c r="C18" s="30" t="s">
        <v>76</v>
      </c>
      <c r="D18" s="30" t="s">
        <v>74</v>
      </c>
      <c r="E18" s="31" t="n">
        <v>250</v>
      </c>
    </row>
    <row r="19" customFormat="false" ht="15" hidden="false" customHeight="false" outlineLevel="0" collapsed="false">
      <c r="B19" s="30" t="s">
        <v>80</v>
      </c>
      <c r="C19" s="30" t="s">
        <v>76</v>
      </c>
      <c r="D19" s="30" t="s">
        <v>74</v>
      </c>
      <c r="E19" s="31" t="n">
        <v>300</v>
      </c>
    </row>
    <row r="20" customFormat="false" ht="15" hidden="false" customHeight="false" outlineLevel="0" collapsed="false">
      <c r="B20" s="30" t="s">
        <v>81</v>
      </c>
      <c r="C20" s="30" t="s">
        <v>76</v>
      </c>
      <c r="D20" s="30" t="s">
        <v>72</v>
      </c>
      <c r="E20" s="31"/>
    </row>
    <row r="21" customFormat="false" ht="15" hidden="false" customHeight="false" outlineLevel="0" collapsed="false">
      <c r="B21" s="30" t="s">
        <v>82</v>
      </c>
      <c r="C21" s="30" t="s">
        <v>76</v>
      </c>
      <c r="D21" s="30" t="s">
        <v>74</v>
      </c>
      <c r="E21" s="31" t="n">
        <v>150</v>
      </c>
    </row>
    <row r="22" customFormat="false" ht="15" hidden="false" customHeight="false" outlineLevel="0" collapsed="false">
      <c r="B22" s="30" t="s">
        <v>83</v>
      </c>
      <c r="C22" s="30" t="s">
        <v>76</v>
      </c>
      <c r="D22" s="30" t="s">
        <v>70</v>
      </c>
      <c r="E22" s="31"/>
    </row>
    <row r="23" customFormat="false" ht="15" hidden="false" customHeight="false" outlineLevel="0" collapsed="false">
      <c r="B23" s="30" t="s">
        <v>84</v>
      </c>
      <c r="C23" s="30" t="s">
        <v>76</v>
      </c>
      <c r="D23" s="30" t="s">
        <v>74</v>
      </c>
      <c r="E23" s="31"/>
    </row>
    <row r="24" customFormat="false" ht="15" hidden="false" customHeight="false" outlineLevel="0" collapsed="false">
      <c r="B24" s="30" t="s">
        <v>85</v>
      </c>
      <c r="C24" s="30" t="s">
        <v>86</v>
      </c>
      <c r="D24" s="30" t="s">
        <v>66</v>
      </c>
      <c r="E24" s="31"/>
    </row>
    <row r="25" customFormat="false" ht="15" hidden="false" customHeight="false" outlineLevel="0" collapsed="false">
      <c r="B25" s="30" t="s">
        <v>87</v>
      </c>
      <c r="C25" s="30" t="s">
        <v>86</v>
      </c>
      <c r="D25" s="30" t="s">
        <v>66</v>
      </c>
      <c r="E25" s="31"/>
    </row>
    <row r="26" customFormat="false" ht="15" hidden="false" customHeight="false" outlineLevel="0" collapsed="false">
      <c r="B26" s="30" t="s">
        <v>88</v>
      </c>
      <c r="C26" s="30" t="s">
        <v>89</v>
      </c>
      <c r="D26" s="30"/>
      <c r="E26" s="31"/>
    </row>
    <row r="27" customFormat="false" ht="15" hidden="false" customHeight="false" outlineLevel="0" collapsed="false">
      <c r="B27" s="30" t="s">
        <v>90</v>
      </c>
      <c r="C27" s="30" t="s">
        <v>89</v>
      </c>
      <c r="D27" s="30"/>
      <c r="E27" s="31"/>
    </row>
    <row r="28" customFormat="false" ht="15" hidden="false" customHeight="false" outlineLevel="0" collapsed="false">
      <c r="B28" s="30" t="s">
        <v>91</v>
      </c>
      <c r="C28" s="30" t="s">
        <v>89</v>
      </c>
      <c r="D28" s="30"/>
      <c r="E28" s="31"/>
    </row>
    <row r="29" customFormat="false" ht="15" hidden="false" customHeight="false" outlineLevel="0" collapsed="false">
      <c r="B29" s="30"/>
      <c r="C29" s="30"/>
      <c r="D29" s="30"/>
      <c r="E29" s="31"/>
    </row>
    <row r="30" customFormat="false" ht="15" hidden="false" customHeight="false" outlineLevel="0" collapsed="false">
      <c r="B30" s="30"/>
      <c r="C30" s="30"/>
      <c r="D30" s="30"/>
      <c r="E30" s="31"/>
    </row>
    <row r="31" customFormat="false" ht="15" hidden="false" customHeight="false" outlineLevel="0" collapsed="false">
      <c r="B31" s="30"/>
      <c r="C31" s="30"/>
      <c r="D31" s="30"/>
      <c r="E31" s="31"/>
    </row>
    <row r="32" customFormat="false" ht="15" hidden="false" customHeight="false" outlineLevel="0" collapsed="false">
      <c r="B32" s="30"/>
      <c r="C32" s="30"/>
      <c r="D32" s="30"/>
      <c r="E32" s="31"/>
    </row>
    <row r="33" customFormat="false" ht="15" hidden="false" customHeight="false" outlineLevel="0" collapsed="false">
      <c r="B33" s="30"/>
      <c r="C33" s="30"/>
      <c r="D33" s="30"/>
      <c r="E33" s="31"/>
    </row>
    <row r="34" customFormat="false" ht="15" hidden="false" customHeight="false" outlineLevel="0" collapsed="false">
      <c r="B34" s="30"/>
      <c r="C34" s="30"/>
      <c r="D34" s="30"/>
      <c r="E34" s="31"/>
    </row>
    <row r="35" customFormat="false" ht="15" hidden="false" customHeight="false" outlineLevel="0" collapsed="false">
      <c r="B35" s="30"/>
      <c r="C35" s="30"/>
      <c r="D35" s="30"/>
      <c r="E35" s="31"/>
    </row>
    <row r="36" customFormat="false" ht="15" hidden="false" customHeight="false" outlineLevel="0" collapsed="false">
      <c r="B36" s="30"/>
      <c r="C36" s="30"/>
      <c r="D36" s="30"/>
      <c r="E36" s="31"/>
    </row>
    <row r="37" customFormat="false" ht="15" hidden="false" customHeight="false" outlineLevel="0" collapsed="false">
      <c r="B37" s="30"/>
      <c r="C37" s="30"/>
      <c r="D37" s="30"/>
      <c r="E37" s="31"/>
    </row>
    <row r="38" customFormat="false" ht="15" hidden="false" customHeight="false" outlineLevel="0" collapsed="false">
      <c r="B38" s="30"/>
      <c r="C38" s="30"/>
      <c r="D38" s="30"/>
      <c r="E38" s="31"/>
    </row>
    <row r="39" customFormat="false" ht="15" hidden="false" customHeight="false" outlineLevel="0" collapsed="false">
      <c r="B39" s="30"/>
      <c r="C39" s="30"/>
      <c r="D39" s="30"/>
      <c r="E39" s="31"/>
    </row>
    <row r="40" customFormat="false" ht="15" hidden="false" customHeight="false" outlineLevel="0" collapsed="false">
      <c r="B40" s="30"/>
      <c r="C40" s="30"/>
      <c r="D40" s="30"/>
      <c r="E40" s="31"/>
    </row>
    <row r="41" customFormat="false" ht="15" hidden="false" customHeight="false" outlineLevel="0" collapsed="false">
      <c r="B41" s="30"/>
      <c r="C41" s="30"/>
      <c r="D41" s="30"/>
      <c r="E41" s="31"/>
    </row>
    <row r="42" customFormat="false" ht="15" hidden="false" customHeight="false" outlineLevel="0" collapsed="false">
      <c r="B42" s="30"/>
      <c r="C42" s="30"/>
      <c r="D42" s="30"/>
      <c r="E42" s="31"/>
    </row>
    <row r="43" customFormat="false" ht="15" hidden="false" customHeight="false" outlineLevel="0" collapsed="false">
      <c r="B43" s="30"/>
      <c r="C43" s="30"/>
      <c r="D43" s="30"/>
      <c r="E43" s="31"/>
    </row>
    <row r="44" customFormat="false" ht="15" hidden="false" customHeight="false" outlineLevel="0" collapsed="false">
      <c r="B44" s="30"/>
      <c r="C44" s="30"/>
      <c r="D44" s="30"/>
      <c r="E44" s="31"/>
    </row>
    <row r="45" customFormat="false" ht="15" hidden="false" customHeight="false" outlineLevel="0" collapsed="false">
      <c r="B45" s="30"/>
      <c r="C45" s="30"/>
      <c r="D45" s="30"/>
      <c r="E45" s="31"/>
    </row>
  </sheetData>
  <dataValidations count="2">
    <dataValidation allowBlank="true" errorStyle="stop" operator="between" showDropDown="false" showErrorMessage="false" showInputMessage="false" sqref="D6:D45" type="list">
      <formula1>"S,M,E,D"</formula1>
      <formula2>0</formula2>
    </dataValidation>
    <dataValidation allowBlank="true" errorStyle="stop" operator="between" showDropDown="false" showErrorMessage="false" showInputMessage="false" sqref="C6:C45" type="list">
      <formula1>"Entrada,Fixo,Variável,Dívida,Guardado"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3C36"/>
    <pageSetUpPr fitToPage="false"/>
  </sheetPr>
  <dimension ref="B2:P6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11" min="8" style="0" width="9"/>
    <col collapsed="false" customWidth="true" hidden="false" outlineLevel="0" max="12" min="12" style="0" width="11"/>
    <col collapsed="false" customWidth="true" hidden="false" outlineLevel="0" max="13" min="13" style="0" width="20"/>
    <col collapsed="false" customWidth="true" hidden="false" outlineLevel="0" max="14" min="14" style="0" width="3"/>
    <col collapsed="false" customWidth="true" hidden="false" outlineLevel="0" max="16" min="15" style="0" width="12"/>
  </cols>
  <sheetData>
    <row r="2" customFormat="false" ht="22.05" hidden="false" customHeight="false" outlineLevel="0" collapsed="false">
      <c r="B2" s="8" t="s">
        <v>92</v>
      </c>
    </row>
    <row r="3" customFormat="false" ht="15" hidden="false" customHeight="false" outlineLevel="0" collapsed="false">
      <c r="B3" s="28" t="s">
        <v>93</v>
      </c>
    </row>
    <row r="4" customFormat="false" ht="15" hidden="false" customHeight="false" outlineLevel="0" collapsed="false">
      <c r="H4" s="29" t="s">
        <v>94</v>
      </c>
    </row>
    <row r="5" customFormat="false" ht="42" hidden="false" customHeight="true" outlineLevel="0" collapsed="false">
      <c r="B5" s="11" t="s">
        <v>95</v>
      </c>
      <c r="C5" s="12" t="s">
        <v>96</v>
      </c>
      <c r="D5" s="12" t="s">
        <v>56</v>
      </c>
      <c r="E5" s="12" t="s">
        <v>16</v>
      </c>
      <c r="F5" s="12" t="s">
        <v>97</v>
      </c>
      <c r="G5" s="12" t="s">
        <v>98</v>
      </c>
      <c r="H5" s="12" t="s">
        <v>58</v>
      </c>
      <c r="I5" s="12" t="s">
        <v>99</v>
      </c>
      <c r="J5" s="12" t="s">
        <v>100</v>
      </c>
      <c r="K5" s="12" t="s">
        <v>101</v>
      </c>
      <c r="L5" s="12" t="s">
        <v>102</v>
      </c>
      <c r="M5" s="12" t="s">
        <v>103</v>
      </c>
      <c r="O5" s="32" t="s">
        <v>57</v>
      </c>
      <c r="P5" s="32" t="s">
        <v>104</v>
      </c>
    </row>
    <row r="6" customFormat="false" ht="15" hidden="false" customHeight="false" outlineLevel="0" collapsed="false">
      <c r="B6" s="33" t="n">
        <v>46331</v>
      </c>
      <c r="C6" s="30" t="s">
        <v>60</v>
      </c>
      <c r="D6" s="30" t="s">
        <v>60</v>
      </c>
      <c r="E6" s="31" t="n">
        <v>7900</v>
      </c>
      <c r="F6" s="30" t="s">
        <v>105</v>
      </c>
      <c r="G6" s="30"/>
      <c r="H6" s="34" t="str">
        <f aca="false">IF(D6="","",IFERROR(INDEX(Categorias!$D$6:$D$45,MATCH(D6,Categorias!$B$6:$B$45,0))&amp;"",""))</f>
        <v/>
      </c>
      <c r="I6" s="35"/>
      <c r="J6" s="35"/>
      <c r="K6" s="35"/>
      <c r="L6" s="36" t="str">
        <f aca="false">IF(OR(H6="",COUNTIF(I6:K6,"S")+COUNTIF(I6:K6,"N")&lt;3),"",COUNTIF(I6:K6,"S")*IF(H6="S",5,IF(H6="M",4,IF(H6="E",3,2))))</f>
        <v/>
      </c>
      <c r="M6" s="37" t="str">
        <f aca="false">IF(L6="","",IF(L6&gt;=12,"Executar",IF(L6&gt;=8,"Executar com controle",IF(L6&gt;=5,"Postergar","Cancelar"))))</f>
        <v/>
      </c>
      <c r="O6" s="28" t="str">
        <f aca="false">IF(D6="","",IFERROR(INDEX(Categorias!$C$6:$C$45,MATCH(D6,Categorias!$B$6:$B$45,0)),"Sem grupo"))</f>
        <v>Entrada</v>
      </c>
      <c r="P6" s="38" t="n">
        <f aca="false">IF(B6="","",DATE(YEAR(B6),MONTH(B6),1))</f>
        <v>46327</v>
      </c>
    </row>
    <row r="7" customFormat="false" ht="15" hidden="false" customHeight="false" outlineLevel="0" collapsed="false">
      <c r="B7" s="33" t="n">
        <v>46338</v>
      </c>
      <c r="C7" s="30" t="s">
        <v>106</v>
      </c>
      <c r="D7" s="30" t="s">
        <v>62</v>
      </c>
      <c r="E7" s="31" t="n">
        <v>800</v>
      </c>
      <c r="F7" s="30" t="s">
        <v>105</v>
      </c>
      <c r="G7" s="30"/>
      <c r="H7" s="34" t="str">
        <f aca="false">IF(D7="","",IFERROR(INDEX(Categorias!$D$6:$D$45,MATCH(D7,Categorias!$B$6:$B$45,0))&amp;"",""))</f>
        <v/>
      </c>
      <c r="I7" s="35"/>
      <c r="J7" s="35"/>
      <c r="K7" s="35"/>
      <c r="L7" s="36" t="str">
        <f aca="false">IF(OR(H7="",COUNTIF(I7:K7,"S")+COUNTIF(I7:K7,"N")&lt;3),"",COUNTIF(I7:K7,"S")*IF(H7="S",5,IF(H7="M",4,IF(H7="E",3,2))))</f>
        <v/>
      </c>
      <c r="M7" s="37" t="str">
        <f aca="false">IF(L7="","",IF(L7&gt;=12,"Executar",IF(L7&gt;=8,"Executar com controle",IF(L7&gt;=5,"Postergar","Cancelar"))))</f>
        <v/>
      </c>
      <c r="O7" s="28" t="str">
        <f aca="false">IF(D7="","",IFERROR(INDEX(Categorias!$C$6:$C$45,MATCH(D7,Categorias!$B$6:$B$45,0)),"Sem grupo"))</f>
        <v>Entrada</v>
      </c>
      <c r="P7" s="38" t="n">
        <f aca="false">IF(B7="","",DATE(YEAR(B7),MONTH(B7),1))</f>
        <v>46327</v>
      </c>
    </row>
    <row r="8" customFormat="false" ht="15" hidden="false" customHeight="false" outlineLevel="0" collapsed="false">
      <c r="B8" s="33" t="n">
        <v>46331</v>
      </c>
      <c r="C8" s="30" t="s">
        <v>107</v>
      </c>
      <c r="D8" s="30" t="s">
        <v>64</v>
      </c>
      <c r="E8" s="31" t="n">
        <v>1800</v>
      </c>
      <c r="F8" s="30" t="s">
        <v>105</v>
      </c>
      <c r="G8" s="30" t="s">
        <v>21</v>
      </c>
      <c r="H8" s="34" t="str">
        <f aca="false">IF(D8="","",IFERROR(INDEX(Categorias!$D$6:$D$45,MATCH(D8,Categorias!$B$6:$B$45,0))&amp;"",""))</f>
        <v>M</v>
      </c>
      <c r="I8" s="35" t="s">
        <v>72</v>
      </c>
      <c r="J8" s="35" t="s">
        <v>72</v>
      </c>
      <c r="K8" s="35" t="s">
        <v>72</v>
      </c>
      <c r="L8" s="36" t="n">
        <f aca="false">IF(OR(H8="",COUNTIF(I8:K8,"S")+COUNTIF(I8:K8,"N")&lt;3),"",COUNTIF(I8:K8,"S")*IF(H8="S",5,IF(H8="M",4,IF(H8="E",3,2))))</f>
        <v>12</v>
      </c>
      <c r="M8" s="37" t="str">
        <f aca="false">IF(L8="","",IF(L8&gt;=12,"Executar",IF(L8&gt;=8,"Executar com controle",IF(L8&gt;=5,"Postergar","Cancelar"))))</f>
        <v>Executar</v>
      </c>
      <c r="O8" s="28" t="str">
        <f aca="false">IF(D8="","",IFERROR(INDEX(Categorias!$C$6:$C$45,MATCH(D8,Categorias!$B$6:$B$45,0)),"Sem grupo"))</f>
        <v>Fixo</v>
      </c>
      <c r="P8" s="38" t="n">
        <f aca="false">IF(B8="","",DATE(YEAR(B8),MONTH(B8),1))</f>
        <v>46327</v>
      </c>
    </row>
    <row r="9" customFormat="false" ht="15" hidden="false" customHeight="false" outlineLevel="0" collapsed="false">
      <c r="B9" s="33" t="n">
        <v>46336</v>
      </c>
      <c r="C9" s="30" t="s">
        <v>108</v>
      </c>
      <c r="D9" s="30" t="s">
        <v>64</v>
      </c>
      <c r="E9" s="31" t="n">
        <v>450</v>
      </c>
      <c r="F9" s="30" t="s">
        <v>109</v>
      </c>
      <c r="G9" s="30" t="s">
        <v>21</v>
      </c>
      <c r="H9" s="34" t="str">
        <f aca="false">IF(D9="","",IFERROR(INDEX(Categorias!$D$6:$D$45,MATCH(D9,Categorias!$B$6:$B$45,0))&amp;"",""))</f>
        <v>M</v>
      </c>
      <c r="I9" s="35" t="s">
        <v>72</v>
      </c>
      <c r="J9" s="35" t="s">
        <v>72</v>
      </c>
      <c r="K9" s="35" t="s">
        <v>72</v>
      </c>
      <c r="L9" s="36" t="n">
        <f aca="false">IF(OR(H9="",COUNTIF(I9:K9,"S")+COUNTIF(I9:K9,"N")&lt;3),"",COUNTIF(I9:K9,"S")*IF(H9="S",5,IF(H9="M",4,IF(H9="E",3,2))))</f>
        <v>12</v>
      </c>
      <c r="M9" s="37" t="str">
        <f aca="false">IF(L9="","",IF(L9&gt;=12,"Executar",IF(L9&gt;=8,"Executar com controle",IF(L9&gt;=5,"Postergar","Cancelar"))))</f>
        <v>Executar</v>
      </c>
      <c r="O9" s="28" t="str">
        <f aca="false">IF(D9="","",IFERROR(INDEX(Categorias!$C$6:$C$45,MATCH(D9,Categorias!$B$6:$B$45,0)),"Sem grupo"))</f>
        <v>Fixo</v>
      </c>
      <c r="P9" s="38" t="n">
        <f aca="false">IF(B9="","",DATE(YEAR(B9),MONTH(B9),1))</f>
        <v>46327</v>
      </c>
    </row>
    <row r="10" customFormat="false" ht="15" hidden="false" customHeight="false" outlineLevel="0" collapsed="false">
      <c r="B10" s="33" t="n">
        <v>46336</v>
      </c>
      <c r="C10" s="30" t="s">
        <v>110</v>
      </c>
      <c r="D10" s="30" t="s">
        <v>67</v>
      </c>
      <c r="E10" s="31" t="n">
        <v>320</v>
      </c>
      <c r="F10" s="30" t="s">
        <v>111</v>
      </c>
      <c r="G10" s="30" t="s">
        <v>21</v>
      </c>
      <c r="H10" s="34" t="str">
        <f aca="false">IF(D10="","",IFERROR(INDEX(Categorias!$D$6:$D$45,MATCH(D10,Categorias!$B$6:$B$45,0))&amp;"",""))</f>
        <v>M</v>
      </c>
      <c r="I10" s="35" t="s">
        <v>72</v>
      </c>
      <c r="J10" s="35" t="s">
        <v>72</v>
      </c>
      <c r="K10" s="35" t="s">
        <v>72</v>
      </c>
      <c r="L10" s="36" t="n">
        <f aca="false">IF(OR(H10="",COUNTIF(I10:K10,"S")+COUNTIF(I10:K10,"N")&lt;3),"",COUNTIF(I10:K10,"S")*IF(H10="S",5,IF(H10="M",4,IF(H10="E",3,2))))</f>
        <v>12</v>
      </c>
      <c r="M10" s="37" t="str">
        <f aca="false">IF(L10="","",IF(L10&gt;=12,"Executar",IF(L10&gt;=8,"Executar com controle",IF(L10&gt;=5,"Postergar","Cancelar"))))</f>
        <v>Executar</v>
      </c>
      <c r="O10" s="28" t="str">
        <f aca="false">IF(D10="","",IFERROR(INDEX(Categorias!$C$6:$C$45,MATCH(D10,Categorias!$B$6:$B$45,0)),"Sem grupo"))</f>
        <v>Fixo</v>
      </c>
      <c r="P10" s="38" t="n">
        <f aca="false">IF(B10="","",DATE(YEAR(B10),MONTH(B10),1))</f>
        <v>46327</v>
      </c>
    </row>
    <row r="11" customFormat="false" ht="15" hidden="false" customHeight="false" outlineLevel="0" collapsed="false">
      <c r="B11" s="33" t="n">
        <v>46334</v>
      </c>
      <c r="C11" s="30" t="s">
        <v>68</v>
      </c>
      <c r="D11" s="30" t="s">
        <v>68</v>
      </c>
      <c r="E11" s="31" t="n">
        <v>180</v>
      </c>
      <c r="F11" s="30" t="s">
        <v>112</v>
      </c>
      <c r="G11" s="30" t="s">
        <v>21</v>
      </c>
      <c r="H11" s="34" t="str">
        <f aca="false">IF(D11="","",IFERROR(INDEX(Categorias!$D$6:$D$45,MATCH(D11,Categorias!$B$6:$B$45,0))&amp;"",""))</f>
        <v>M</v>
      </c>
      <c r="I11" s="35" t="s">
        <v>72</v>
      </c>
      <c r="J11" s="35" t="s">
        <v>72</v>
      </c>
      <c r="K11" s="35" t="s">
        <v>72</v>
      </c>
      <c r="L11" s="36" t="n">
        <f aca="false">IF(OR(H11="",COUNTIF(I11:K11,"S")+COUNTIF(I11:K11,"N")&lt;3),"",COUNTIF(I11:K11,"S")*IF(H11="S",5,IF(H11="M",4,IF(H11="E",3,2))))</f>
        <v>12</v>
      </c>
      <c r="M11" s="37" t="str">
        <f aca="false">IF(L11="","",IF(L11&gt;=12,"Executar",IF(L11&gt;=8,"Executar com controle",IF(L11&gt;=5,"Postergar","Cancelar"))))</f>
        <v>Executar</v>
      </c>
      <c r="O11" s="28" t="str">
        <f aca="false">IF(D11="","",IFERROR(INDEX(Categorias!$C$6:$C$45,MATCH(D11,Categorias!$B$6:$B$45,0)),"Sem grupo"))</f>
        <v>Fixo</v>
      </c>
      <c r="P11" s="38" t="n">
        <f aca="false">IF(B11="","",DATE(YEAR(B11),MONTH(B11),1))</f>
        <v>46327</v>
      </c>
    </row>
    <row r="12" customFormat="false" ht="15" hidden="false" customHeight="false" outlineLevel="0" collapsed="false">
      <c r="B12" s="33" t="n">
        <v>46331</v>
      </c>
      <c r="C12" s="30" t="s">
        <v>113</v>
      </c>
      <c r="D12" s="30" t="s">
        <v>69</v>
      </c>
      <c r="E12" s="31" t="n">
        <v>900</v>
      </c>
      <c r="F12" s="30" t="s">
        <v>109</v>
      </c>
      <c r="G12" s="30" t="s">
        <v>21</v>
      </c>
      <c r="H12" s="34" t="str">
        <f aca="false">IF(D12="","",IFERROR(INDEX(Categorias!$D$6:$D$45,MATCH(D12,Categorias!$B$6:$B$45,0))&amp;"",""))</f>
        <v>E</v>
      </c>
      <c r="I12" s="35" t="s">
        <v>72</v>
      </c>
      <c r="J12" s="35" t="s">
        <v>72</v>
      </c>
      <c r="K12" s="35" t="s">
        <v>72</v>
      </c>
      <c r="L12" s="36" t="n">
        <f aca="false">IF(OR(H12="",COUNTIF(I12:K12,"S")+COUNTIF(I12:K12,"N")&lt;3),"",COUNTIF(I12:K12,"S")*IF(H12="S",5,IF(H12="M",4,IF(H12="E",3,2))))</f>
        <v>9</v>
      </c>
      <c r="M12" s="37" t="str">
        <f aca="false">IF(L12="","",IF(L12&gt;=12,"Executar",IF(L12&gt;=8,"Executar com controle",IF(L12&gt;=5,"Postergar","Cancelar"))))</f>
        <v>Executar com controle</v>
      </c>
      <c r="O12" s="28" t="str">
        <f aca="false">IF(D12="","",IFERROR(INDEX(Categorias!$C$6:$C$45,MATCH(D12,Categorias!$B$6:$B$45,0)),"Sem grupo"))</f>
        <v>Fixo</v>
      </c>
      <c r="P12" s="38" t="n">
        <f aca="false">IF(B12="","",DATE(YEAR(B12),MONTH(B12),1))</f>
        <v>46327</v>
      </c>
    </row>
    <row r="13" customFormat="false" ht="15" hidden="false" customHeight="false" outlineLevel="0" collapsed="false">
      <c r="B13" s="33" t="n">
        <v>46333</v>
      </c>
      <c r="C13" s="30" t="s">
        <v>114</v>
      </c>
      <c r="D13" s="30" t="s">
        <v>71</v>
      </c>
      <c r="E13" s="31" t="n">
        <v>650</v>
      </c>
      <c r="F13" s="30" t="s">
        <v>111</v>
      </c>
      <c r="G13" s="30" t="s">
        <v>21</v>
      </c>
      <c r="H13" s="34" t="str">
        <f aca="false">IF(D13="","",IFERROR(INDEX(Categorias!$D$6:$D$45,MATCH(D13,Categorias!$B$6:$B$45,0))&amp;"",""))</f>
        <v>S</v>
      </c>
      <c r="I13" s="35" t="s">
        <v>72</v>
      </c>
      <c r="J13" s="35" t="s">
        <v>72</v>
      </c>
      <c r="K13" s="35" t="s">
        <v>72</v>
      </c>
      <c r="L13" s="36" t="n">
        <f aca="false">IF(OR(H13="",COUNTIF(I13:K13,"S")+COUNTIF(I13:K13,"N")&lt;3),"",COUNTIF(I13:K13,"S")*IF(H13="S",5,IF(H13="M",4,IF(H13="E",3,2))))</f>
        <v>15</v>
      </c>
      <c r="M13" s="37" t="str">
        <f aca="false">IF(L13="","",IF(L13&gt;=12,"Executar",IF(L13&gt;=8,"Executar com controle",IF(L13&gt;=5,"Postergar","Cancelar"))))</f>
        <v>Executar</v>
      </c>
      <c r="O13" s="28" t="str">
        <f aca="false">IF(D13="","",IFERROR(INDEX(Categorias!$C$6:$C$45,MATCH(D13,Categorias!$B$6:$B$45,0)),"Sem grupo"))</f>
        <v>Fixo</v>
      </c>
      <c r="P13" s="38" t="n">
        <f aca="false">IF(B13="","",DATE(YEAR(B13),MONTH(B13),1))</f>
        <v>46327</v>
      </c>
    </row>
    <row r="14" customFormat="false" ht="15" hidden="false" customHeight="false" outlineLevel="0" collapsed="false">
      <c r="B14" s="33" t="n">
        <v>46335</v>
      </c>
      <c r="C14" s="30" t="s">
        <v>115</v>
      </c>
      <c r="D14" s="30" t="s">
        <v>73</v>
      </c>
      <c r="E14" s="31" t="n">
        <v>160</v>
      </c>
      <c r="F14" s="30" t="s">
        <v>112</v>
      </c>
      <c r="G14" s="30" t="s">
        <v>29</v>
      </c>
      <c r="H14" s="34" t="str">
        <f aca="false">IF(D14="","",IFERROR(INDEX(Categorias!$D$6:$D$45,MATCH(D14,Categorias!$B$6:$B$45,0))&amp;"",""))</f>
        <v>D</v>
      </c>
      <c r="I14" s="35" t="s">
        <v>116</v>
      </c>
      <c r="J14" s="35" t="s">
        <v>72</v>
      </c>
      <c r="K14" s="35" t="s">
        <v>116</v>
      </c>
      <c r="L14" s="36" t="n">
        <f aca="false">IF(OR(H14="",COUNTIF(I14:K14,"S")+COUNTIF(I14:K14,"N")&lt;3),"",COUNTIF(I14:K14,"S")*IF(H14="S",5,IF(H14="M",4,IF(H14="E",3,2))))</f>
        <v>2</v>
      </c>
      <c r="M14" s="37" t="str">
        <f aca="false">IF(L14="","",IF(L14&gt;=12,"Executar",IF(L14&gt;=8,"Executar com controle",IF(L14&gt;=5,"Postergar","Cancelar"))))</f>
        <v>Cancelar</v>
      </c>
      <c r="O14" s="28" t="str">
        <f aca="false">IF(D14="","",IFERROR(INDEX(Categorias!$C$6:$C$45,MATCH(D14,Categorias!$B$6:$B$45,0)),"Sem grupo"))</f>
        <v>Fixo</v>
      </c>
      <c r="P14" s="38" t="n">
        <f aca="false">IF(B14="","",DATE(YEAR(B14),MONTH(B14),1))</f>
        <v>46327</v>
      </c>
    </row>
    <row r="15" customFormat="false" ht="15" hidden="false" customHeight="false" outlineLevel="0" collapsed="false">
      <c r="B15" s="33" t="n">
        <v>46332</v>
      </c>
      <c r="C15" s="30" t="s">
        <v>117</v>
      </c>
      <c r="D15" s="30" t="s">
        <v>75</v>
      </c>
      <c r="E15" s="31" t="n">
        <v>780</v>
      </c>
      <c r="F15" s="30" t="s">
        <v>112</v>
      </c>
      <c r="G15" s="30" t="s">
        <v>21</v>
      </c>
      <c r="H15" s="34" t="str">
        <f aca="false">IF(D15="","",IFERROR(INDEX(Categorias!$D$6:$D$45,MATCH(D15,Categorias!$B$6:$B$45,0))&amp;"",""))</f>
        <v>M</v>
      </c>
      <c r="I15" s="35" t="s">
        <v>72</v>
      </c>
      <c r="J15" s="35" t="s">
        <v>72</v>
      </c>
      <c r="K15" s="35" t="s">
        <v>72</v>
      </c>
      <c r="L15" s="36" t="n">
        <f aca="false">IF(OR(H15="",COUNTIF(I15:K15,"S")+COUNTIF(I15:K15,"N")&lt;3),"",COUNTIF(I15:K15,"S")*IF(H15="S",5,IF(H15="M",4,IF(H15="E",3,2))))</f>
        <v>12</v>
      </c>
      <c r="M15" s="37" t="str">
        <f aca="false">IF(L15="","",IF(L15&gt;=12,"Executar",IF(L15&gt;=8,"Executar com controle",IF(L15&gt;=5,"Postergar","Cancelar"))))</f>
        <v>Executar</v>
      </c>
      <c r="O15" s="28" t="str">
        <f aca="false">IF(D15="","",IFERROR(INDEX(Categorias!$C$6:$C$45,MATCH(D15,Categorias!$B$6:$B$45,0)),"Sem grupo"))</f>
        <v>Variável</v>
      </c>
      <c r="P15" s="38" t="n">
        <f aca="false">IF(B15="","",DATE(YEAR(B15),MONTH(B15),1))</f>
        <v>46327</v>
      </c>
    </row>
    <row r="16" customFormat="false" ht="15" hidden="false" customHeight="false" outlineLevel="0" collapsed="false">
      <c r="B16" s="33" t="n">
        <v>46346</v>
      </c>
      <c r="C16" s="30" t="s">
        <v>118</v>
      </c>
      <c r="D16" s="30" t="s">
        <v>75</v>
      </c>
      <c r="E16" s="31" t="n">
        <v>420</v>
      </c>
      <c r="F16" s="30" t="s">
        <v>119</v>
      </c>
      <c r="G16" s="30" t="s">
        <v>21</v>
      </c>
      <c r="H16" s="34" t="str">
        <f aca="false">IF(D16="","",IFERROR(INDEX(Categorias!$D$6:$D$45,MATCH(D16,Categorias!$B$6:$B$45,0))&amp;"",""))</f>
        <v>M</v>
      </c>
      <c r="I16" s="35" t="s">
        <v>72</v>
      </c>
      <c r="J16" s="35" t="s">
        <v>72</v>
      </c>
      <c r="K16" s="35" t="s">
        <v>72</v>
      </c>
      <c r="L16" s="36" t="n">
        <f aca="false">IF(OR(H16="",COUNTIF(I16:K16,"S")+COUNTIF(I16:K16,"N")&lt;3),"",COUNTIF(I16:K16,"S")*IF(H16="S",5,IF(H16="M",4,IF(H16="E",3,2))))</f>
        <v>12</v>
      </c>
      <c r="M16" s="37" t="str">
        <f aca="false">IF(L16="","",IF(L16&gt;=12,"Executar",IF(L16&gt;=8,"Executar com controle",IF(L16&gt;=5,"Postergar","Cancelar"))))</f>
        <v>Executar</v>
      </c>
      <c r="O16" s="28" t="str">
        <f aca="false">IF(D16="","",IFERROR(INDEX(Categorias!$C$6:$C$45,MATCH(D16,Categorias!$B$6:$B$45,0)),"Sem grupo"))</f>
        <v>Variável</v>
      </c>
      <c r="P16" s="38" t="n">
        <f aca="false">IF(B16="","",DATE(YEAR(B16),MONTH(B16),1))</f>
        <v>46327</v>
      </c>
    </row>
    <row r="17" customFormat="false" ht="15" hidden="false" customHeight="false" outlineLevel="0" collapsed="false">
      <c r="B17" s="33" t="n">
        <v>46333</v>
      </c>
      <c r="C17" s="30" t="s">
        <v>120</v>
      </c>
      <c r="D17" s="30" t="s">
        <v>77</v>
      </c>
      <c r="E17" s="31" t="n">
        <v>110</v>
      </c>
      <c r="F17" s="30" t="s">
        <v>112</v>
      </c>
      <c r="G17" s="30" t="s">
        <v>29</v>
      </c>
      <c r="H17" s="34" t="str">
        <f aca="false">IF(D17="","",IFERROR(INDEX(Categorias!$D$6:$D$45,MATCH(D17,Categorias!$B$6:$B$45,0))&amp;"",""))</f>
        <v>D</v>
      </c>
      <c r="I17" s="35" t="s">
        <v>116</v>
      </c>
      <c r="J17" s="35" t="s">
        <v>72</v>
      </c>
      <c r="K17" s="35" t="s">
        <v>116</v>
      </c>
      <c r="L17" s="36" t="n">
        <f aca="false">IF(OR(H17="",COUNTIF(I17:K17,"S")+COUNTIF(I17:K17,"N")&lt;3),"",COUNTIF(I17:K17,"S")*IF(H17="S",5,IF(H17="M",4,IF(H17="E",3,2))))</f>
        <v>2</v>
      </c>
      <c r="M17" s="37" t="str">
        <f aca="false">IF(L17="","",IF(L17&gt;=12,"Executar",IF(L17&gt;=8,"Executar com controle",IF(L17&gt;=5,"Postergar","Cancelar"))))</f>
        <v>Cancelar</v>
      </c>
      <c r="O17" s="28" t="str">
        <f aca="false">IF(D17="","",IFERROR(INDEX(Categorias!$C$6:$C$45,MATCH(D17,Categorias!$B$6:$B$45,0)),"Sem grupo"))</f>
        <v>Variável</v>
      </c>
      <c r="P17" s="38" t="n">
        <f aca="false">IF(B17="","",DATE(YEAR(B17),MONTH(B17),1))</f>
        <v>46327</v>
      </c>
    </row>
    <row r="18" customFormat="false" ht="15" hidden="false" customHeight="false" outlineLevel="0" collapsed="false">
      <c r="B18" s="33" t="n">
        <v>46339</v>
      </c>
      <c r="C18" s="30" t="s">
        <v>121</v>
      </c>
      <c r="D18" s="30" t="s">
        <v>77</v>
      </c>
      <c r="E18" s="31" t="n">
        <v>95</v>
      </c>
      <c r="F18" s="30" t="s">
        <v>112</v>
      </c>
      <c r="G18" s="30" t="s">
        <v>27</v>
      </c>
      <c r="H18" s="34" t="str">
        <f aca="false">IF(D18="","",IFERROR(INDEX(Categorias!$D$6:$D$45,MATCH(D18,Categorias!$B$6:$B$45,0))&amp;"",""))</f>
        <v>D</v>
      </c>
      <c r="I18" s="35" t="s">
        <v>116</v>
      </c>
      <c r="J18" s="35" t="s">
        <v>72</v>
      </c>
      <c r="K18" s="35" t="s">
        <v>116</v>
      </c>
      <c r="L18" s="36" t="n">
        <f aca="false">IF(OR(H18="",COUNTIF(I18:K18,"S")+COUNTIF(I18:K18,"N")&lt;3),"",COUNTIF(I18:K18,"S")*IF(H18="S",5,IF(H18="M",4,IF(H18="E",3,2))))</f>
        <v>2</v>
      </c>
      <c r="M18" s="37" t="str">
        <f aca="false">IF(L18="","",IF(L18&gt;=12,"Executar",IF(L18&gt;=8,"Executar com controle",IF(L18&gt;=5,"Postergar","Cancelar"))))</f>
        <v>Cancelar</v>
      </c>
      <c r="O18" s="28" t="str">
        <f aca="false">IF(D18="","",IFERROR(INDEX(Categorias!$C$6:$C$45,MATCH(D18,Categorias!$B$6:$B$45,0)),"Sem grupo"))</f>
        <v>Variável</v>
      </c>
      <c r="P18" s="38" t="n">
        <f aca="false">IF(B18="","",DATE(YEAR(B18),MONTH(B18),1))</f>
        <v>46327</v>
      </c>
    </row>
    <row r="19" customFormat="false" ht="15" hidden="false" customHeight="false" outlineLevel="0" collapsed="false">
      <c r="B19" s="33" t="n">
        <v>46344</v>
      </c>
      <c r="C19" s="30" t="s">
        <v>122</v>
      </c>
      <c r="D19" s="30" t="s">
        <v>77</v>
      </c>
      <c r="E19" s="31" t="n">
        <v>140</v>
      </c>
      <c r="F19" s="30" t="s">
        <v>105</v>
      </c>
      <c r="G19" s="30" t="s">
        <v>31</v>
      </c>
      <c r="H19" s="34" t="str">
        <f aca="false">IF(D19="","",IFERROR(INDEX(Categorias!$D$6:$D$45,MATCH(D19,Categorias!$B$6:$B$45,0))&amp;"",""))</f>
        <v>D</v>
      </c>
      <c r="I19" s="35" t="s">
        <v>116</v>
      </c>
      <c r="J19" s="35" t="s">
        <v>72</v>
      </c>
      <c r="K19" s="35" t="s">
        <v>116</v>
      </c>
      <c r="L19" s="36" t="n">
        <f aca="false">IF(OR(H19="",COUNTIF(I19:K19,"S")+COUNTIF(I19:K19,"N")&lt;3),"",COUNTIF(I19:K19,"S")*IF(H19="S",5,IF(H19="M",4,IF(H19="E",3,2))))</f>
        <v>2</v>
      </c>
      <c r="M19" s="37" t="str">
        <f aca="false">IF(L19="","",IF(L19&gt;=12,"Executar",IF(L19&gt;=8,"Executar com controle",IF(L19&gt;=5,"Postergar","Cancelar"))))</f>
        <v>Cancelar</v>
      </c>
      <c r="O19" s="28" t="str">
        <f aca="false">IF(D19="","",IFERROR(INDEX(Categorias!$C$6:$C$45,MATCH(D19,Categorias!$B$6:$B$45,0)),"Sem grupo"))</f>
        <v>Variável</v>
      </c>
      <c r="P19" s="38" t="n">
        <f aca="false">IF(B19="","",DATE(YEAR(B19),MONTH(B19),1))</f>
        <v>46327</v>
      </c>
    </row>
    <row r="20" customFormat="false" ht="15" hidden="false" customHeight="false" outlineLevel="0" collapsed="false">
      <c r="B20" s="33" t="n">
        <v>46353</v>
      </c>
      <c r="C20" s="30" t="s">
        <v>123</v>
      </c>
      <c r="D20" s="30" t="s">
        <v>77</v>
      </c>
      <c r="E20" s="31" t="n">
        <v>175</v>
      </c>
      <c r="F20" s="30" t="s">
        <v>112</v>
      </c>
      <c r="G20" s="30" t="s">
        <v>23</v>
      </c>
      <c r="H20" s="34" t="str">
        <f aca="false">IF(D20="","",IFERROR(INDEX(Categorias!$D$6:$D$45,MATCH(D20,Categorias!$B$6:$B$45,0))&amp;"",""))</f>
        <v>D</v>
      </c>
      <c r="I20" s="35" t="s">
        <v>116</v>
      </c>
      <c r="J20" s="35" t="s">
        <v>116</v>
      </c>
      <c r="K20" s="35" t="s">
        <v>116</v>
      </c>
      <c r="L20" s="36" t="n">
        <f aca="false">IF(OR(H20="",COUNTIF(I20:K20,"S")+COUNTIF(I20:K20,"N")&lt;3),"",COUNTIF(I20:K20,"S")*IF(H20="S",5,IF(H20="M",4,IF(H20="E",3,2))))</f>
        <v>0</v>
      </c>
      <c r="M20" s="37" t="str">
        <f aca="false">IF(L20="","",IF(L20&gt;=12,"Executar",IF(L20&gt;=8,"Executar com controle",IF(L20&gt;=5,"Postergar","Cancelar"))))</f>
        <v>Cancelar</v>
      </c>
      <c r="O20" s="28" t="str">
        <f aca="false">IF(D20="","",IFERROR(INDEX(Categorias!$C$6:$C$45,MATCH(D20,Categorias!$B$6:$B$45,0)),"Sem grupo"))</f>
        <v>Variável</v>
      </c>
      <c r="P20" s="38" t="n">
        <f aca="false">IF(B20="","",DATE(YEAR(B20),MONTH(B20),1))</f>
        <v>46327</v>
      </c>
    </row>
    <row r="21" customFormat="false" ht="15" hidden="false" customHeight="false" outlineLevel="0" collapsed="false">
      <c r="B21" s="33" t="n">
        <v>46329</v>
      </c>
      <c r="C21" s="30" t="s">
        <v>124</v>
      </c>
      <c r="D21" s="30" t="s">
        <v>78</v>
      </c>
      <c r="E21" s="31" t="n">
        <v>250</v>
      </c>
      <c r="F21" s="30" t="s">
        <v>112</v>
      </c>
      <c r="G21" s="30" t="s">
        <v>21</v>
      </c>
      <c r="H21" s="34" t="str">
        <f aca="false">IF(D21="","",IFERROR(INDEX(Categorias!$D$6:$D$45,MATCH(D21,Categorias!$B$6:$B$45,0))&amp;"",""))</f>
        <v>M</v>
      </c>
      <c r="I21" s="35" t="s">
        <v>72</v>
      </c>
      <c r="J21" s="35" t="s">
        <v>72</v>
      </c>
      <c r="K21" s="35" t="s">
        <v>72</v>
      </c>
      <c r="L21" s="36" t="n">
        <f aca="false">IF(OR(H21="",COUNTIF(I21:K21,"S")+COUNTIF(I21:K21,"N")&lt;3),"",COUNTIF(I21:K21,"S")*IF(H21="S",5,IF(H21="M",4,IF(H21="E",3,2))))</f>
        <v>12</v>
      </c>
      <c r="M21" s="37" t="str">
        <f aca="false">IF(L21="","",IF(L21&gt;=12,"Executar",IF(L21&gt;=8,"Executar com controle",IF(L21&gt;=5,"Postergar","Cancelar"))))</f>
        <v>Executar</v>
      </c>
      <c r="O21" s="28" t="str">
        <f aca="false">IF(D21="","",IFERROR(INDEX(Categorias!$C$6:$C$45,MATCH(D21,Categorias!$B$6:$B$45,0)),"Sem grupo"))</f>
        <v>Variável</v>
      </c>
      <c r="P21" s="38" t="n">
        <f aca="false">IF(B21="","",DATE(YEAR(B21),MONTH(B21),1))</f>
        <v>46327</v>
      </c>
    </row>
    <row r="22" customFormat="false" ht="15" hidden="false" customHeight="false" outlineLevel="0" collapsed="false">
      <c r="B22" s="33" t="n">
        <v>46348</v>
      </c>
      <c r="C22" s="30" t="s">
        <v>125</v>
      </c>
      <c r="D22" s="30" t="s">
        <v>78</v>
      </c>
      <c r="E22" s="31" t="n">
        <v>100</v>
      </c>
      <c r="F22" s="30" t="s">
        <v>112</v>
      </c>
      <c r="G22" s="30" t="s">
        <v>21</v>
      </c>
      <c r="H22" s="34" t="str">
        <f aca="false">IF(D22="","",IFERROR(INDEX(Categorias!$D$6:$D$45,MATCH(D22,Categorias!$B$6:$B$45,0))&amp;"",""))</f>
        <v>M</v>
      </c>
      <c r="I22" s="35" t="s">
        <v>72</v>
      </c>
      <c r="J22" s="35" t="s">
        <v>72</v>
      </c>
      <c r="K22" s="35" t="s">
        <v>116</v>
      </c>
      <c r="L22" s="36" t="n">
        <f aca="false">IF(OR(H22="",COUNTIF(I22:K22,"S")+COUNTIF(I22:K22,"N")&lt;3),"",COUNTIF(I22:K22,"S")*IF(H22="S",5,IF(H22="M",4,IF(H22="E",3,2))))</f>
        <v>8</v>
      </c>
      <c r="M22" s="37" t="str">
        <f aca="false">IF(L22="","",IF(L22&gt;=12,"Executar",IF(L22&gt;=8,"Executar com controle",IF(L22&gt;=5,"Postergar","Cancelar"))))</f>
        <v>Executar com controle</v>
      </c>
      <c r="O22" s="28" t="str">
        <f aca="false">IF(D22="","",IFERROR(INDEX(Categorias!$C$6:$C$45,MATCH(D22,Categorias!$B$6:$B$45,0)),"Sem grupo"))</f>
        <v>Variável</v>
      </c>
      <c r="P22" s="38" t="n">
        <f aca="false">IF(B22="","",DATE(YEAR(B22),MONTH(B22),1))</f>
        <v>46327</v>
      </c>
    </row>
    <row r="23" customFormat="false" ht="15" hidden="false" customHeight="false" outlineLevel="0" collapsed="false">
      <c r="B23" s="33" t="n">
        <v>46341</v>
      </c>
      <c r="C23" s="30" t="s">
        <v>126</v>
      </c>
      <c r="D23" s="30" t="s">
        <v>79</v>
      </c>
      <c r="E23" s="31" t="n">
        <v>160</v>
      </c>
      <c r="F23" s="30" t="s">
        <v>112</v>
      </c>
      <c r="G23" s="30" t="s">
        <v>29</v>
      </c>
      <c r="H23" s="34" t="str">
        <f aca="false">IF(D23="","",IFERROR(INDEX(Categorias!$D$6:$D$45,MATCH(D23,Categorias!$B$6:$B$45,0))&amp;"",""))</f>
        <v>D</v>
      </c>
      <c r="I23" s="35" t="s">
        <v>116</v>
      </c>
      <c r="J23" s="35" t="s">
        <v>72</v>
      </c>
      <c r="K23" s="35" t="s">
        <v>116</v>
      </c>
      <c r="L23" s="36" t="n">
        <f aca="false">IF(OR(H23="",COUNTIF(I23:K23,"S")+COUNTIF(I23:K23,"N")&lt;3),"",COUNTIF(I23:K23,"S")*IF(H23="S",5,IF(H23="M",4,IF(H23="E",3,2))))</f>
        <v>2</v>
      </c>
      <c r="M23" s="37" t="str">
        <f aca="false">IF(L23="","",IF(L23&gt;=12,"Executar",IF(L23&gt;=8,"Executar com controle",IF(L23&gt;=5,"Postergar","Cancelar"))))</f>
        <v>Cancelar</v>
      </c>
      <c r="O23" s="28" t="str">
        <f aca="false">IF(D23="","",IFERROR(INDEX(Categorias!$C$6:$C$45,MATCH(D23,Categorias!$B$6:$B$45,0)),"Sem grupo"))</f>
        <v>Variável</v>
      </c>
      <c r="P23" s="38" t="n">
        <f aca="false">IF(B23="","",DATE(YEAR(B23),MONTH(B23),1))</f>
        <v>46327</v>
      </c>
    </row>
    <row r="24" customFormat="false" ht="15" hidden="false" customHeight="false" outlineLevel="0" collapsed="false">
      <c r="B24" s="33" t="n">
        <v>46354</v>
      </c>
      <c r="C24" s="30" t="s">
        <v>127</v>
      </c>
      <c r="D24" s="30" t="s">
        <v>80</v>
      </c>
      <c r="E24" s="31" t="n">
        <v>380</v>
      </c>
      <c r="F24" s="30" t="s">
        <v>112</v>
      </c>
      <c r="G24" s="30" t="s">
        <v>23</v>
      </c>
      <c r="H24" s="34" t="str">
        <f aca="false">IF(D24="","",IFERROR(INDEX(Categorias!$D$6:$D$45,MATCH(D24,Categorias!$B$6:$B$45,0))&amp;"",""))</f>
        <v>D</v>
      </c>
      <c r="I24" s="35" t="s">
        <v>116</v>
      </c>
      <c r="J24" s="35" t="s">
        <v>116</v>
      </c>
      <c r="K24" s="35" t="s">
        <v>116</v>
      </c>
      <c r="L24" s="36" t="n">
        <f aca="false">IF(OR(H24="",COUNTIF(I24:K24,"S")+COUNTIF(I24:K24,"N")&lt;3),"",COUNTIF(I24:K24,"S")*IF(H24="S",5,IF(H24="M",4,IF(H24="E",3,2))))</f>
        <v>0</v>
      </c>
      <c r="M24" s="37" t="str">
        <f aca="false">IF(L24="","",IF(L24&gt;=12,"Executar",IF(L24&gt;=8,"Executar com controle",IF(L24&gt;=5,"Postergar","Cancelar"))))</f>
        <v>Cancelar</v>
      </c>
      <c r="O24" s="28" t="str">
        <f aca="false">IF(D24="","",IFERROR(INDEX(Categorias!$C$6:$C$45,MATCH(D24,Categorias!$B$6:$B$45,0)),"Sem grupo"))</f>
        <v>Variável</v>
      </c>
      <c r="P24" s="38" t="n">
        <f aca="false">IF(B24="","",DATE(YEAR(B24),MONTH(B24),1))</f>
        <v>46327</v>
      </c>
    </row>
    <row r="25" customFormat="false" ht="15" hidden="false" customHeight="false" outlineLevel="0" collapsed="false">
      <c r="B25" s="33" t="n">
        <v>46337</v>
      </c>
      <c r="C25" s="30" t="s">
        <v>81</v>
      </c>
      <c r="D25" s="30" t="s">
        <v>81</v>
      </c>
      <c r="E25" s="31" t="n">
        <v>150</v>
      </c>
      <c r="F25" s="30" t="s">
        <v>119</v>
      </c>
      <c r="G25" s="30" t="s">
        <v>21</v>
      </c>
      <c r="H25" s="34" t="str">
        <f aca="false">IF(D25="","",IFERROR(INDEX(Categorias!$D$6:$D$45,MATCH(D25,Categorias!$B$6:$B$45,0))&amp;"",""))</f>
        <v>S</v>
      </c>
      <c r="I25" s="35" t="s">
        <v>72</v>
      </c>
      <c r="J25" s="35" t="s">
        <v>72</v>
      </c>
      <c r="K25" s="35" t="s">
        <v>72</v>
      </c>
      <c r="L25" s="36" t="n">
        <f aca="false">IF(OR(H25="",COUNTIF(I25:K25,"S")+COUNTIF(I25:K25,"N")&lt;3),"",COUNTIF(I25:K25,"S")*IF(H25="S",5,IF(H25="M",4,IF(H25="E",3,2))))</f>
        <v>15</v>
      </c>
      <c r="M25" s="37" t="str">
        <f aca="false">IF(L25="","",IF(L25&gt;=12,"Executar",IF(L25&gt;=8,"Executar com controle",IF(L25&gt;=5,"Postergar","Cancelar"))))</f>
        <v>Executar</v>
      </c>
      <c r="O25" s="28" t="str">
        <f aca="false">IF(D25="","",IFERROR(INDEX(Categorias!$C$6:$C$45,MATCH(D25,Categorias!$B$6:$B$45,0)),"Sem grupo"))</f>
        <v>Variável</v>
      </c>
      <c r="P25" s="38" t="n">
        <f aca="false">IF(B25="","",DATE(YEAR(B25),MONTH(B25),1))</f>
        <v>46327</v>
      </c>
    </row>
    <row r="26" customFormat="false" ht="15" hidden="false" customHeight="false" outlineLevel="0" collapsed="false">
      <c r="B26" s="33" t="n">
        <v>46347</v>
      </c>
      <c r="C26" s="30" t="s">
        <v>128</v>
      </c>
      <c r="D26" s="30" t="s">
        <v>82</v>
      </c>
      <c r="E26" s="31" t="n">
        <v>120</v>
      </c>
      <c r="F26" s="30" t="s">
        <v>105</v>
      </c>
      <c r="G26" s="30" t="s">
        <v>31</v>
      </c>
      <c r="H26" s="34" t="str">
        <f aca="false">IF(D26="","",IFERROR(INDEX(Categorias!$D$6:$D$45,MATCH(D26,Categorias!$B$6:$B$45,0))&amp;"",""))</f>
        <v>D</v>
      </c>
      <c r="I26" s="35" t="s">
        <v>116</v>
      </c>
      <c r="J26" s="35" t="s">
        <v>72</v>
      </c>
      <c r="K26" s="35" t="s">
        <v>72</v>
      </c>
      <c r="L26" s="36" t="n">
        <f aca="false">IF(OR(H26="",COUNTIF(I26:K26,"S")+COUNTIF(I26:K26,"N")&lt;3),"",COUNTIF(I26:K26,"S")*IF(H26="S",5,IF(H26="M",4,IF(H26="E",3,2))))</f>
        <v>4</v>
      </c>
      <c r="M26" s="37" t="str">
        <f aca="false">IF(L26="","",IF(L26&gt;=12,"Executar",IF(L26&gt;=8,"Executar com controle",IF(L26&gt;=5,"Postergar","Cancelar"))))</f>
        <v>Cancelar</v>
      </c>
      <c r="O26" s="28" t="str">
        <f aca="false">IF(D26="","",IFERROR(INDEX(Categorias!$C$6:$C$45,MATCH(D26,Categorias!$B$6:$B$45,0)),"Sem grupo"))</f>
        <v>Variável</v>
      </c>
      <c r="P26" s="38" t="n">
        <f aca="false">IF(B26="","",DATE(YEAR(B26),MONTH(B26),1))</f>
        <v>46327</v>
      </c>
    </row>
    <row r="27" customFormat="false" ht="15" hidden="false" customHeight="false" outlineLevel="0" collapsed="false">
      <c r="B27" s="33" t="n">
        <v>46342</v>
      </c>
      <c r="C27" s="30" t="s">
        <v>129</v>
      </c>
      <c r="D27" s="30" t="s">
        <v>83</v>
      </c>
      <c r="E27" s="31" t="n">
        <v>90</v>
      </c>
      <c r="F27" s="30" t="s">
        <v>105</v>
      </c>
      <c r="G27" s="30" t="s">
        <v>21</v>
      </c>
      <c r="H27" s="34" t="str">
        <f aca="false">IF(D27="","",IFERROR(INDEX(Categorias!$D$6:$D$45,MATCH(D27,Categorias!$B$6:$B$45,0))&amp;"",""))</f>
        <v>E</v>
      </c>
      <c r="I27" s="35" t="s">
        <v>72</v>
      </c>
      <c r="J27" s="35" t="s">
        <v>72</v>
      </c>
      <c r="K27" s="35" t="s">
        <v>72</v>
      </c>
      <c r="L27" s="36" t="n">
        <f aca="false">IF(OR(H27="",COUNTIF(I27:K27,"S")+COUNTIF(I27:K27,"N")&lt;3),"",COUNTIF(I27:K27,"S")*IF(H27="S",5,IF(H27="M",4,IF(H27="E",3,2))))</f>
        <v>9</v>
      </c>
      <c r="M27" s="37" t="str">
        <f aca="false">IF(L27="","",IF(L27&gt;=12,"Executar",IF(L27&gt;=8,"Executar com controle",IF(L27&gt;=5,"Postergar","Cancelar"))))</f>
        <v>Executar com controle</v>
      </c>
      <c r="O27" s="28" t="str">
        <f aca="false">IF(D27="","",IFERROR(INDEX(Categorias!$C$6:$C$45,MATCH(D27,Categorias!$B$6:$B$45,0)),"Sem grupo"))</f>
        <v>Variável</v>
      </c>
      <c r="P27" s="38" t="n">
        <f aca="false">IF(B27="","",DATE(YEAR(B27),MONTH(B27),1))</f>
        <v>46327</v>
      </c>
    </row>
    <row r="28" customFormat="false" ht="15" hidden="false" customHeight="false" outlineLevel="0" collapsed="false">
      <c r="B28" s="33" t="n">
        <v>46336</v>
      </c>
      <c r="C28" s="30" t="s">
        <v>130</v>
      </c>
      <c r="D28" s="30" t="s">
        <v>85</v>
      </c>
      <c r="E28" s="31" t="n">
        <v>520</v>
      </c>
      <c r="F28" s="30" t="s">
        <v>111</v>
      </c>
      <c r="G28" s="30" t="s">
        <v>21</v>
      </c>
      <c r="H28" s="34" t="str">
        <f aca="false">IF(D28="","",IFERROR(INDEX(Categorias!$D$6:$D$45,MATCH(D28,Categorias!$B$6:$B$45,0))&amp;"",""))</f>
        <v>M</v>
      </c>
      <c r="I28" s="35" t="s">
        <v>72</v>
      </c>
      <c r="J28" s="35" t="s">
        <v>72</v>
      </c>
      <c r="K28" s="35" t="s">
        <v>72</v>
      </c>
      <c r="L28" s="36" t="n">
        <f aca="false">IF(OR(H28="",COUNTIF(I28:K28,"S")+COUNTIF(I28:K28,"N")&lt;3),"",COUNTIF(I28:K28,"S")*IF(H28="S",5,IF(H28="M",4,IF(H28="E",3,2))))</f>
        <v>12</v>
      </c>
      <c r="M28" s="37" t="str">
        <f aca="false">IF(L28="","",IF(L28&gt;=12,"Executar",IF(L28&gt;=8,"Executar com controle",IF(L28&gt;=5,"Postergar","Cancelar"))))</f>
        <v>Executar</v>
      </c>
      <c r="O28" s="28" t="str">
        <f aca="false">IF(D28="","",IFERROR(INDEX(Categorias!$C$6:$C$45,MATCH(D28,Categorias!$B$6:$B$45,0)),"Sem grupo"))</f>
        <v>Dívida</v>
      </c>
      <c r="P28" s="38" t="n">
        <f aca="false">IF(B28="","",DATE(YEAR(B28),MONTH(B28),1))</f>
        <v>46327</v>
      </c>
    </row>
    <row r="29" customFormat="false" ht="15" hidden="false" customHeight="false" outlineLevel="0" collapsed="false">
      <c r="B29" s="33" t="n">
        <v>46336</v>
      </c>
      <c r="C29" s="30" t="s">
        <v>131</v>
      </c>
      <c r="D29" s="30" t="s">
        <v>85</v>
      </c>
      <c r="E29" s="31" t="n">
        <v>400</v>
      </c>
      <c r="F29" s="30" t="s">
        <v>112</v>
      </c>
      <c r="G29" s="30" t="s">
        <v>21</v>
      </c>
      <c r="H29" s="34" t="str">
        <f aca="false">IF(D29="","",IFERROR(INDEX(Categorias!$D$6:$D$45,MATCH(D29,Categorias!$B$6:$B$45,0))&amp;"",""))</f>
        <v>M</v>
      </c>
      <c r="I29" s="35" t="s">
        <v>72</v>
      </c>
      <c r="J29" s="35" t="s">
        <v>72</v>
      </c>
      <c r="K29" s="35" t="s">
        <v>72</v>
      </c>
      <c r="L29" s="36" t="n">
        <f aca="false">IF(OR(H29="",COUNTIF(I29:K29,"S")+COUNTIF(I29:K29,"N")&lt;3),"",COUNTIF(I29:K29,"S")*IF(H29="S",5,IF(H29="M",4,IF(H29="E",3,2))))</f>
        <v>12</v>
      </c>
      <c r="M29" s="37" t="str">
        <f aca="false">IF(L29="","",IF(L29&gt;=12,"Executar",IF(L29&gt;=8,"Executar com controle",IF(L29&gt;=5,"Postergar","Cancelar"))))</f>
        <v>Executar</v>
      </c>
      <c r="O29" s="28" t="str">
        <f aca="false">IF(D29="","",IFERROR(INDEX(Categorias!$C$6:$C$45,MATCH(D29,Categorias!$B$6:$B$45,0)),"Sem grupo"))</f>
        <v>Dívida</v>
      </c>
      <c r="P29" s="38" t="n">
        <f aca="false">IF(B29="","",DATE(YEAR(B29),MONTH(B29),1))</f>
        <v>46327</v>
      </c>
    </row>
    <row r="30" customFormat="false" ht="15" hidden="false" customHeight="false" outlineLevel="0" collapsed="false">
      <c r="B30" s="33" t="n">
        <v>46332</v>
      </c>
      <c r="C30" s="30" t="s">
        <v>132</v>
      </c>
      <c r="D30" s="30" t="s">
        <v>88</v>
      </c>
      <c r="E30" s="31" t="n">
        <v>300</v>
      </c>
      <c r="F30" s="30" t="s">
        <v>105</v>
      </c>
      <c r="G30" s="30"/>
      <c r="H30" s="34" t="str">
        <f aca="false">IF(D30="","",IFERROR(INDEX(Categorias!$D$6:$D$45,MATCH(D30,Categorias!$B$6:$B$45,0))&amp;"",""))</f>
        <v/>
      </c>
      <c r="I30" s="35"/>
      <c r="J30" s="35"/>
      <c r="K30" s="35"/>
      <c r="L30" s="36" t="str">
        <f aca="false">IF(OR(H30="",COUNTIF(I30:K30,"S")+COUNTIF(I30:K30,"N")&lt;3),"",COUNTIF(I30:K30,"S")*IF(H30="S",5,IF(H30="M",4,IF(H30="E",3,2))))</f>
        <v/>
      </c>
      <c r="M30" s="37" t="str">
        <f aca="false">IF(L30="","",IF(L30&gt;=12,"Executar",IF(L30&gt;=8,"Executar com controle",IF(L30&gt;=5,"Postergar","Cancelar"))))</f>
        <v/>
      </c>
      <c r="O30" s="28" t="str">
        <f aca="false">IF(D30="","",IFERROR(INDEX(Categorias!$C$6:$C$45,MATCH(D30,Categorias!$B$6:$B$45,0)),"Sem grupo"))</f>
        <v>Guardado</v>
      </c>
      <c r="P30" s="38" t="n">
        <f aca="false">IF(B30="","",DATE(YEAR(B30),MONTH(B30),1))</f>
        <v>46327</v>
      </c>
    </row>
    <row r="31" customFormat="false" ht="15" hidden="false" customHeight="false" outlineLevel="0" collapsed="false">
      <c r="B31" s="33" t="n">
        <v>46332</v>
      </c>
      <c r="C31" s="30" t="s">
        <v>133</v>
      </c>
      <c r="D31" s="30" t="s">
        <v>91</v>
      </c>
      <c r="E31" s="31" t="n">
        <v>150</v>
      </c>
      <c r="F31" s="30" t="s">
        <v>105</v>
      </c>
      <c r="G31" s="30"/>
      <c r="H31" s="34" t="str">
        <f aca="false">IF(D31="","",IFERROR(INDEX(Categorias!$D$6:$D$45,MATCH(D31,Categorias!$B$6:$B$45,0))&amp;"",""))</f>
        <v/>
      </c>
      <c r="I31" s="35"/>
      <c r="J31" s="35"/>
      <c r="K31" s="35"/>
      <c r="L31" s="36" t="str">
        <f aca="false">IF(OR(H31="",COUNTIF(I31:K31,"S")+COUNTIF(I31:K31,"N")&lt;3),"",COUNTIF(I31:K31,"S")*IF(H31="S",5,IF(H31="M",4,IF(H31="E",3,2))))</f>
        <v/>
      </c>
      <c r="M31" s="37" t="str">
        <f aca="false">IF(L31="","",IF(L31&gt;=12,"Executar",IF(L31&gt;=8,"Executar com controle",IF(L31&gt;=5,"Postergar","Cancelar"))))</f>
        <v/>
      </c>
      <c r="O31" s="28" t="str">
        <f aca="false">IF(D31="","",IFERROR(INDEX(Categorias!$C$6:$C$45,MATCH(D31,Categorias!$B$6:$B$45,0)),"Sem grupo"))</f>
        <v>Guardado</v>
      </c>
      <c r="P31" s="38" t="n">
        <f aca="false">IF(B31="","",DATE(YEAR(B31),MONTH(B31),1))</f>
        <v>46327</v>
      </c>
    </row>
    <row r="32" customFormat="false" ht="15" hidden="false" customHeight="false" outlineLevel="0" collapsed="false">
      <c r="B32" s="33"/>
      <c r="C32" s="30"/>
      <c r="D32" s="30"/>
      <c r="E32" s="31"/>
      <c r="F32" s="30"/>
      <c r="G32" s="30"/>
      <c r="H32" s="34" t="str">
        <f aca="false">IF(D32="","",IFERROR(INDEX(Categorias!$D$6:$D$45,MATCH(D32,Categorias!$B$6:$B$45,0))&amp;"",""))</f>
        <v/>
      </c>
      <c r="I32" s="35"/>
      <c r="J32" s="35"/>
      <c r="K32" s="35"/>
      <c r="L32" s="36" t="str">
        <f aca="false">IF(OR(H32="",COUNTIF(I32:K32,"S")+COUNTIF(I32:K32,"N")&lt;3),"",COUNTIF(I32:K32,"S")*IF(H32="S",5,IF(H32="M",4,IF(H32="E",3,2))))</f>
        <v/>
      </c>
      <c r="M32" s="37" t="str">
        <f aca="false">IF(L32="","",IF(L32&gt;=12,"Executar",IF(L32&gt;=8,"Executar com controle",IF(L32&gt;=5,"Postergar","Cancelar"))))</f>
        <v/>
      </c>
      <c r="O32" s="28" t="str">
        <f aca="false">IF(D32="","",IFERROR(INDEX(Categorias!$C$6:$C$45,MATCH(D32,Categorias!$B$6:$B$45,0)),"Sem grupo"))</f>
        <v/>
      </c>
      <c r="P32" s="38" t="str">
        <f aca="false">IF(B32="","",DATE(YEAR(B32),MONTH(B32),1))</f>
        <v/>
      </c>
    </row>
    <row r="33" customFormat="false" ht="15" hidden="false" customHeight="false" outlineLevel="0" collapsed="false">
      <c r="B33" s="33"/>
      <c r="C33" s="30"/>
      <c r="D33" s="30"/>
      <c r="E33" s="31"/>
      <c r="F33" s="30"/>
      <c r="G33" s="30"/>
      <c r="H33" s="34" t="str">
        <f aca="false">IF(D33="","",IFERROR(INDEX(Categorias!$D$6:$D$45,MATCH(D33,Categorias!$B$6:$B$45,0))&amp;"",""))</f>
        <v/>
      </c>
      <c r="I33" s="35"/>
      <c r="J33" s="35"/>
      <c r="K33" s="35"/>
      <c r="L33" s="36" t="str">
        <f aca="false">IF(OR(H33="",COUNTIF(I33:K33,"S")+COUNTIF(I33:K33,"N")&lt;3),"",COUNTIF(I33:K33,"S")*IF(H33="S",5,IF(H33="M",4,IF(H33="E",3,2))))</f>
        <v/>
      </c>
      <c r="M33" s="37" t="str">
        <f aca="false">IF(L33="","",IF(L33&gt;=12,"Executar",IF(L33&gt;=8,"Executar com controle",IF(L33&gt;=5,"Postergar","Cancelar"))))</f>
        <v/>
      </c>
      <c r="O33" s="28" t="str">
        <f aca="false">IF(D33="","",IFERROR(INDEX(Categorias!$C$6:$C$45,MATCH(D33,Categorias!$B$6:$B$45,0)),"Sem grupo"))</f>
        <v/>
      </c>
      <c r="P33" s="38" t="str">
        <f aca="false">IF(B33="","",DATE(YEAR(B33),MONTH(B33),1))</f>
        <v/>
      </c>
    </row>
    <row r="34" customFormat="false" ht="15" hidden="false" customHeight="false" outlineLevel="0" collapsed="false">
      <c r="B34" s="33"/>
      <c r="C34" s="30"/>
      <c r="D34" s="30"/>
      <c r="E34" s="31"/>
      <c r="F34" s="30"/>
      <c r="G34" s="30"/>
      <c r="H34" s="34" t="str">
        <f aca="false">IF(D34="","",IFERROR(INDEX(Categorias!$D$6:$D$45,MATCH(D34,Categorias!$B$6:$B$45,0))&amp;"",""))</f>
        <v/>
      </c>
      <c r="I34" s="35"/>
      <c r="J34" s="35"/>
      <c r="K34" s="35"/>
      <c r="L34" s="36" t="str">
        <f aca="false">IF(OR(H34="",COUNTIF(I34:K34,"S")+COUNTIF(I34:K34,"N")&lt;3),"",COUNTIF(I34:K34,"S")*IF(H34="S",5,IF(H34="M",4,IF(H34="E",3,2))))</f>
        <v/>
      </c>
      <c r="M34" s="37" t="str">
        <f aca="false">IF(L34="","",IF(L34&gt;=12,"Executar",IF(L34&gt;=8,"Executar com controle",IF(L34&gt;=5,"Postergar","Cancelar"))))</f>
        <v/>
      </c>
      <c r="O34" s="28" t="str">
        <f aca="false">IF(D34="","",IFERROR(INDEX(Categorias!$C$6:$C$45,MATCH(D34,Categorias!$B$6:$B$45,0)),"Sem grupo"))</f>
        <v/>
      </c>
      <c r="P34" s="38" t="str">
        <f aca="false">IF(B34="","",DATE(YEAR(B34),MONTH(B34),1))</f>
        <v/>
      </c>
    </row>
    <row r="35" customFormat="false" ht="15" hidden="false" customHeight="false" outlineLevel="0" collapsed="false">
      <c r="B35" s="33"/>
      <c r="C35" s="30"/>
      <c r="D35" s="30"/>
      <c r="E35" s="31"/>
      <c r="F35" s="30"/>
      <c r="G35" s="30"/>
      <c r="H35" s="34" t="str">
        <f aca="false">IF(D35="","",IFERROR(INDEX(Categorias!$D$6:$D$45,MATCH(D35,Categorias!$B$6:$B$45,0))&amp;"",""))</f>
        <v/>
      </c>
      <c r="I35" s="35"/>
      <c r="J35" s="35"/>
      <c r="K35" s="35"/>
      <c r="L35" s="36" t="str">
        <f aca="false">IF(OR(H35="",COUNTIF(I35:K35,"S")+COUNTIF(I35:K35,"N")&lt;3),"",COUNTIF(I35:K35,"S")*IF(H35="S",5,IF(H35="M",4,IF(H35="E",3,2))))</f>
        <v/>
      </c>
      <c r="M35" s="37" t="str">
        <f aca="false">IF(L35="","",IF(L35&gt;=12,"Executar",IF(L35&gt;=8,"Executar com controle",IF(L35&gt;=5,"Postergar","Cancelar"))))</f>
        <v/>
      </c>
      <c r="O35" s="28" t="str">
        <f aca="false">IF(D35="","",IFERROR(INDEX(Categorias!$C$6:$C$45,MATCH(D35,Categorias!$B$6:$B$45,0)),"Sem grupo"))</f>
        <v/>
      </c>
      <c r="P35" s="38" t="str">
        <f aca="false">IF(B35="","",DATE(YEAR(B35),MONTH(B35),1))</f>
        <v/>
      </c>
    </row>
    <row r="36" customFormat="false" ht="15" hidden="false" customHeight="false" outlineLevel="0" collapsed="false">
      <c r="B36" s="33"/>
      <c r="C36" s="30"/>
      <c r="D36" s="30"/>
      <c r="E36" s="31"/>
      <c r="F36" s="30"/>
      <c r="G36" s="30"/>
      <c r="H36" s="34" t="str">
        <f aca="false">IF(D36="","",IFERROR(INDEX(Categorias!$D$6:$D$45,MATCH(D36,Categorias!$B$6:$B$45,0))&amp;"",""))</f>
        <v/>
      </c>
      <c r="I36" s="35"/>
      <c r="J36" s="35"/>
      <c r="K36" s="35"/>
      <c r="L36" s="36" t="str">
        <f aca="false">IF(OR(H36="",COUNTIF(I36:K36,"S")+COUNTIF(I36:K36,"N")&lt;3),"",COUNTIF(I36:K36,"S")*IF(H36="S",5,IF(H36="M",4,IF(H36="E",3,2))))</f>
        <v/>
      </c>
      <c r="M36" s="37" t="str">
        <f aca="false">IF(L36="","",IF(L36&gt;=12,"Executar",IF(L36&gt;=8,"Executar com controle",IF(L36&gt;=5,"Postergar","Cancelar"))))</f>
        <v/>
      </c>
      <c r="O36" s="28" t="str">
        <f aca="false">IF(D36="","",IFERROR(INDEX(Categorias!$C$6:$C$45,MATCH(D36,Categorias!$B$6:$B$45,0)),"Sem grupo"))</f>
        <v/>
      </c>
      <c r="P36" s="38" t="str">
        <f aca="false">IF(B36="","",DATE(YEAR(B36),MONTH(B36),1))</f>
        <v/>
      </c>
    </row>
    <row r="37" customFormat="false" ht="15" hidden="false" customHeight="false" outlineLevel="0" collapsed="false">
      <c r="B37" s="33"/>
      <c r="C37" s="30"/>
      <c r="D37" s="30"/>
      <c r="E37" s="31"/>
      <c r="F37" s="30"/>
      <c r="G37" s="30"/>
      <c r="H37" s="34" t="str">
        <f aca="false">IF(D37="","",IFERROR(INDEX(Categorias!$D$6:$D$45,MATCH(D37,Categorias!$B$6:$B$45,0))&amp;"",""))</f>
        <v/>
      </c>
      <c r="I37" s="35"/>
      <c r="J37" s="35"/>
      <c r="K37" s="35"/>
      <c r="L37" s="36" t="str">
        <f aca="false">IF(OR(H37="",COUNTIF(I37:K37,"S")+COUNTIF(I37:K37,"N")&lt;3),"",COUNTIF(I37:K37,"S")*IF(H37="S",5,IF(H37="M",4,IF(H37="E",3,2))))</f>
        <v/>
      </c>
      <c r="M37" s="37" t="str">
        <f aca="false">IF(L37="","",IF(L37&gt;=12,"Executar",IF(L37&gt;=8,"Executar com controle",IF(L37&gt;=5,"Postergar","Cancelar"))))</f>
        <v/>
      </c>
      <c r="O37" s="28" t="str">
        <f aca="false">IF(D37="","",IFERROR(INDEX(Categorias!$C$6:$C$45,MATCH(D37,Categorias!$B$6:$B$45,0)),"Sem grupo"))</f>
        <v/>
      </c>
      <c r="P37" s="38" t="str">
        <f aca="false">IF(B37="","",DATE(YEAR(B37),MONTH(B37),1))</f>
        <v/>
      </c>
    </row>
    <row r="38" customFormat="false" ht="15" hidden="false" customHeight="false" outlineLevel="0" collapsed="false">
      <c r="B38" s="33"/>
      <c r="C38" s="30"/>
      <c r="D38" s="30"/>
      <c r="E38" s="31"/>
      <c r="F38" s="30"/>
      <c r="G38" s="30"/>
      <c r="H38" s="34" t="str">
        <f aca="false">IF(D38="","",IFERROR(INDEX(Categorias!$D$6:$D$45,MATCH(D38,Categorias!$B$6:$B$45,0))&amp;"",""))</f>
        <v/>
      </c>
      <c r="I38" s="35"/>
      <c r="J38" s="35"/>
      <c r="K38" s="35"/>
      <c r="L38" s="36" t="str">
        <f aca="false">IF(OR(H38="",COUNTIF(I38:K38,"S")+COUNTIF(I38:K38,"N")&lt;3),"",COUNTIF(I38:K38,"S")*IF(H38="S",5,IF(H38="M",4,IF(H38="E",3,2))))</f>
        <v/>
      </c>
      <c r="M38" s="37" t="str">
        <f aca="false">IF(L38="","",IF(L38&gt;=12,"Executar",IF(L38&gt;=8,"Executar com controle",IF(L38&gt;=5,"Postergar","Cancelar"))))</f>
        <v/>
      </c>
      <c r="O38" s="28" t="str">
        <f aca="false">IF(D38="","",IFERROR(INDEX(Categorias!$C$6:$C$45,MATCH(D38,Categorias!$B$6:$B$45,0)),"Sem grupo"))</f>
        <v/>
      </c>
      <c r="P38" s="38" t="str">
        <f aca="false">IF(B38="","",DATE(YEAR(B38),MONTH(B38),1))</f>
        <v/>
      </c>
    </row>
    <row r="39" customFormat="false" ht="15" hidden="false" customHeight="false" outlineLevel="0" collapsed="false">
      <c r="B39" s="33"/>
      <c r="C39" s="30"/>
      <c r="D39" s="30"/>
      <c r="E39" s="31"/>
      <c r="F39" s="30"/>
      <c r="G39" s="30"/>
      <c r="H39" s="34" t="str">
        <f aca="false">IF(D39="","",IFERROR(INDEX(Categorias!$D$6:$D$45,MATCH(D39,Categorias!$B$6:$B$45,0))&amp;"",""))</f>
        <v/>
      </c>
      <c r="I39" s="35"/>
      <c r="J39" s="35"/>
      <c r="K39" s="35"/>
      <c r="L39" s="36" t="str">
        <f aca="false">IF(OR(H39="",COUNTIF(I39:K39,"S")+COUNTIF(I39:K39,"N")&lt;3),"",COUNTIF(I39:K39,"S")*IF(H39="S",5,IF(H39="M",4,IF(H39="E",3,2))))</f>
        <v/>
      </c>
      <c r="M39" s="37" t="str">
        <f aca="false">IF(L39="","",IF(L39&gt;=12,"Executar",IF(L39&gt;=8,"Executar com controle",IF(L39&gt;=5,"Postergar","Cancelar"))))</f>
        <v/>
      </c>
      <c r="O39" s="28" t="str">
        <f aca="false">IF(D39="","",IFERROR(INDEX(Categorias!$C$6:$C$45,MATCH(D39,Categorias!$B$6:$B$45,0)),"Sem grupo"))</f>
        <v/>
      </c>
      <c r="P39" s="38" t="str">
        <f aca="false">IF(B39="","",DATE(YEAR(B39),MONTH(B39),1))</f>
        <v/>
      </c>
    </row>
    <row r="40" customFormat="false" ht="15" hidden="false" customHeight="false" outlineLevel="0" collapsed="false">
      <c r="B40" s="33"/>
      <c r="C40" s="30"/>
      <c r="D40" s="30"/>
      <c r="E40" s="31"/>
      <c r="F40" s="30"/>
      <c r="G40" s="30"/>
      <c r="H40" s="34" t="str">
        <f aca="false">IF(D40="","",IFERROR(INDEX(Categorias!$D$6:$D$45,MATCH(D40,Categorias!$B$6:$B$45,0))&amp;"",""))</f>
        <v/>
      </c>
      <c r="I40" s="35"/>
      <c r="J40" s="35"/>
      <c r="K40" s="35"/>
      <c r="L40" s="36" t="str">
        <f aca="false">IF(OR(H40="",COUNTIF(I40:K40,"S")+COUNTIF(I40:K40,"N")&lt;3),"",COUNTIF(I40:K40,"S")*IF(H40="S",5,IF(H40="M",4,IF(H40="E",3,2))))</f>
        <v/>
      </c>
      <c r="M40" s="37" t="str">
        <f aca="false">IF(L40="","",IF(L40&gt;=12,"Executar",IF(L40&gt;=8,"Executar com controle",IF(L40&gt;=5,"Postergar","Cancelar"))))</f>
        <v/>
      </c>
      <c r="O40" s="28" t="str">
        <f aca="false">IF(D40="","",IFERROR(INDEX(Categorias!$C$6:$C$45,MATCH(D40,Categorias!$B$6:$B$45,0)),"Sem grupo"))</f>
        <v/>
      </c>
      <c r="P40" s="38" t="str">
        <f aca="false">IF(B40="","",DATE(YEAR(B40),MONTH(B40),1))</f>
        <v/>
      </c>
    </row>
    <row r="41" customFormat="false" ht="15" hidden="false" customHeight="false" outlineLevel="0" collapsed="false">
      <c r="B41" s="33"/>
      <c r="C41" s="30"/>
      <c r="D41" s="30"/>
      <c r="E41" s="31"/>
      <c r="F41" s="30"/>
      <c r="G41" s="30"/>
      <c r="H41" s="34" t="str">
        <f aca="false">IF(D41="","",IFERROR(INDEX(Categorias!$D$6:$D$45,MATCH(D41,Categorias!$B$6:$B$45,0))&amp;"",""))</f>
        <v/>
      </c>
      <c r="I41" s="35"/>
      <c r="J41" s="35"/>
      <c r="K41" s="35"/>
      <c r="L41" s="36" t="str">
        <f aca="false">IF(OR(H41="",COUNTIF(I41:K41,"S")+COUNTIF(I41:K41,"N")&lt;3),"",COUNTIF(I41:K41,"S")*IF(H41="S",5,IF(H41="M",4,IF(H41="E",3,2))))</f>
        <v/>
      </c>
      <c r="M41" s="37" t="str">
        <f aca="false">IF(L41="","",IF(L41&gt;=12,"Executar",IF(L41&gt;=8,"Executar com controle",IF(L41&gt;=5,"Postergar","Cancelar"))))</f>
        <v/>
      </c>
      <c r="O41" s="28" t="str">
        <f aca="false">IF(D41="","",IFERROR(INDEX(Categorias!$C$6:$C$45,MATCH(D41,Categorias!$B$6:$B$45,0)),"Sem grupo"))</f>
        <v/>
      </c>
      <c r="P41" s="38" t="str">
        <f aca="false">IF(B41="","",DATE(YEAR(B41),MONTH(B41),1))</f>
        <v/>
      </c>
    </row>
    <row r="42" customFormat="false" ht="15" hidden="false" customHeight="false" outlineLevel="0" collapsed="false">
      <c r="B42" s="33"/>
      <c r="C42" s="30"/>
      <c r="D42" s="30"/>
      <c r="E42" s="31"/>
      <c r="F42" s="30"/>
      <c r="G42" s="30"/>
      <c r="H42" s="34" t="str">
        <f aca="false">IF(D42="","",IFERROR(INDEX(Categorias!$D$6:$D$45,MATCH(D42,Categorias!$B$6:$B$45,0))&amp;"",""))</f>
        <v/>
      </c>
      <c r="I42" s="35"/>
      <c r="J42" s="35"/>
      <c r="K42" s="35"/>
      <c r="L42" s="36" t="str">
        <f aca="false">IF(OR(H42="",COUNTIF(I42:K42,"S")+COUNTIF(I42:K42,"N")&lt;3),"",COUNTIF(I42:K42,"S")*IF(H42="S",5,IF(H42="M",4,IF(H42="E",3,2))))</f>
        <v/>
      </c>
      <c r="M42" s="37" t="str">
        <f aca="false">IF(L42="","",IF(L42&gt;=12,"Executar",IF(L42&gt;=8,"Executar com controle",IF(L42&gt;=5,"Postergar","Cancelar"))))</f>
        <v/>
      </c>
      <c r="O42" s="28" t="str">
        <f aca="false">IF(D42="","",IFERROR(INDEX(Categorias!$C$6:$C$45,MATCH(D42,Categorias!$B$6:$B$45,0)),"Sem grupo"))</f>
        <v/>
      </c>
      <c r="P42" s="38" t="str">
        <f aca="false">IF(B42="","",DATE(YEAR(B42),MONTH(B42),1))</f>
        <v/>
      </c>
    </row>
    <row r="43" customFormat="false" ht="15" hidden="false" customHeight="false" outlineLevel="0" collapsed="false">
      <c r="B43" s="33"/>
      <c r="C43" s="30"/>
      <c r="D43" s="30"/>
      <c r="E43" s="31"/>
      <c r="F43" s="30"/>
      <c r="G43" s="30"/>
      <c r="H43" s="34" t="str">
        <f aca="false">IF(D43="","",IFERROR(INDEX(Categorias!$D$6:$D$45,MATCH(D43,Categorias!$B$6:$B$45,0))&amp;"",""))</f>
        <v/>
      </c>
      <c r="I43" s="35"/>
      <c r="J43" s="35"/>
      <c r="K43" s="35"/>
      <c r="L43" s="36" t="str">
        <f aca="false">IF(OR(H43="",COUNTIF(I43:K43,"S")+COUNTIF(I43:K43,"N")&lt;3),"",COUNTIF(I43:K43,"S")*IF(H43="S",5,IF(H43="M",4,IF(H43="E",3,2))))</f>
        <v/>
      </c>
      <c r="M43" s="37" t="str">
        <f aca="false">IF(L43="","",IF(L43&gt;=12,"Executar",IF(L43&gt;=8,"Executar com controle",IF(L43&gt;=5,"Postergar","Cancelar"))))</f>
        <v/>
      </c>
      <c r="O43" s="28" t="str">
        <f aca="false">IF(D43="","",IFERROR(INDEX(Categorias!$C$6:$C$45,MATCH(D43,Categorias!$B$6:$B$45,0)),"Sem grupo"))</f>
        <v/>
      </c>
      <c r="P43" s="38" t="str">
        <f aca="false">IF(B43="","",DATE(YEAR(B43),MONTH(B43),1))</f>
        <v/>
      </c>
    </row>
    <row r="44" customFormat="false" ht="15" hidden="false" customHeight="false" outlineLevel="0" collapsed="false">
      <c r="B44" s="33"/>
      <c r="C44" s="30"/>
      <c r="D44" s="30"/>
      <c r="E44" s="31"/>
      <c r="F44" s="30"/>
      <c r="G44" s="30"/>
      <c r="H44" s="34" t="str">
        <f aca="false">IF(D44="","",IFERROR(INDEX(Categorias!$D$6:$D$45,MATCH(D44,Categorias!$B$6:$B$45,0))&amp;"",""))</f>
        <v/>
      </c>
      <c r="I44" s="35"/>
      <c r="J44" s="35"/>
      <c r="K44" s="35"/>
      <c r="L44" s="36" t="str">
        <f aca="false">IF(OR(H44="",COUNTIF(I44:K44,"S")+COUNTIF(I44:K44,"N")&lt;3),"",COUNTIF(I44:K44,"S")*IF(H44="S",5,IF(H44="M",4,IF(H44="E",3,2))))</f>
        <v/>
      </c>
      <c r="M44" s="37" t="str">
        <f aca="false">IF(L44="","",IF(L44&gt;=12,"Executar",IF(L44&gt;=8,"Executar com controle",IF(L44&gt;=5,"Postergar","Cancelar"))))</f>
        <v/>
      </c>
      <c r="O44" s="28" t="str">
        <f aca="false">IF(D44="","",IFERROR(INDEX(Categorias!$C$6:$C$45,MATCH(D44,Categorias!$B$6:$B$45,0)),"Sem grupo"))</f>
        <v/>
      </c>
      <c r="P44" s="38" t="str">
        <f aca="false">IF(B44="","",DATE(YEAR(B44),MONTH(B44),1))</f>
        <v/>
      </c>
    </row>
    <row r="45" customFormat="false" ht="15" hidden="false" customHeight="false" outlineLevel="0" collapsed="false">
      <c r="B45" s="33"/>
      <c r="C45" s="30"/>
      <c r="D45" s="30"/>
      <c r="E45" s="31"/>
      <c r="F45" s="30"/>
      <c r="G45" s="30"/>
      <c r="H45" s="34" t="str">
        <f aca="false">IF(D45="","",IFERROR(INDEX(Categorias!$D$6:$D$45,MATCH(D45,Categorias!$B$6:$B$45,0))&amp;"",""))</f>
        <v/>
      </c>
      <c r="I45" s="35"/>
      <c r="J45" s="35"/>
      <c r="K45" s="35"/>
      <c r="L45" s="36" t="str">
        <f aca="false">IF(OR(H45="",COUNTIF(I45:K45,"S")+COUNTIF(I45:K45,"N")&lt;3),"",COUNTIF(I45:K45,"S")*IF(H45="S",5,IF(H45="M",4,IF(H45="E",3,2))))</f>
        <v/>
      </c>
      <c r="M45" s="37" t="str">
        <f aca="false">IF(L45="","",IF(L45&gt;=12,"Executar",IF(L45&gt;=8,"Executar com controle",IF(L45&gt;=5,"Postergar","Cancelar"))))</f>
        <v/>
      </c>
      <c r="O45" s="28" t="str">
        <f aca="false">IF(D45="","",IFERROR(INDEX(Categorias!$C$6:$C$45,MATCH(D45,Categorias!$B$6:$B$45,0)),"Sem grupo"))</f>
        <v/>
      </c>
      <c r="P45" s="38" t="str">
        <f aca="false">IF(B45="","",DATE(YEAR(B45),MONTH(B45),1))</f>
        <v/>
      </c>
    </row>
    <row r="46" customFormat="false" ht="15" hidden="false" customHeight="false" outlineLevel="0" collapsed="false">
      <c r="B46" s="33"/>
      <c r="C46" s="30"/>
      <c r="D46" s="30"/>
      <c r="E46" s="31"/>
      <c r="F46" s="30"/>
      <c r="G46" s="30"/>
      <c r="H46" s="34" t="str">
        <f aca="false">IF(D46="","",IFERROR(INDEX(Categorias!$D$6:$D$45,MATCH(D46,Categorias!$B$6:$B$45,0))&amp;"",""))</f>
        <v/>
      </c>
      <c r="I46" s="35"/>
      <c r="J46" s="35"/>
      <c r="K46" s="35"/>
      <c r="L46" s="36" t="str">
        <f aca="false">IF(OR(H46="",COUNTIF(I46:K46,"S")+COUNTIF(I46:K46,"N")&lt;3),"",COUNTIF(I46:K46,"S")*IF(H46="S",5,IF(H46="M",4,IF(H46="E",3,2))))</f>
        <v/>
      </c>
      <c r="M46" s="37" t="str">
        <f aca="false">IF(L46="","",IF(L46&gt;=12,"Executar",IF(L46&gt;=8,"Executar com controle",IF(L46&gt;=5,"Postergar","Cancelar"))))</f>
        <v/>
      </c>
      <c r="O46" s="28" t="str">
        <f aca="false">IF(D46="","",IFERROR(INDEX(Categorias!$C$6:$C$45,MATCH(D46,Categorias!$B$6:$B$45,0)),"Sem grupo"))</f>
        <v/>
      </c>
      <c r="P46" s="38" t="str">
        <f aca="false">IF(B46="","",DATE(YEAR(B46),MONTH(B46),1))</f>
        <v/>
      </c>
    </row>
    <row r="47" customFormat="false" ht="15" hidden="false" customHeight="false" outlineLevel="0" collapsed="false">
      <c r="B47" s="33"/>
      <c r="C47" s="30"/>
      <c r="D47" s="30"/>
      <c r="E47" s="31"/>
      <c r="F47" s="30"/>
      <c r="G47" s="30"/>
      <c r="H47" s="34" t="str">
        <f aca="false">IF(D47="","",IFERROR(INDEX(Categorias!$D$6:$D$45,MATCH(D47,Categorias!$B$6:$B$45,0))&amp;"",""))</f>
        <v/>
      </c>
      <c r="I47" s="35"/>
      <c r="J47" s="35"/>
      <c r="K47" s="35"/>
      <c r="L47" s="36" t="str">
        <f aca="false">IF(OR(H47="",COUNTIF(I47:K47,"S")+COUNTIF(I47:K47,"N")&lt;3),"",COUNTIF(I47:K47,"S")*IF(H47="S",5,IF(H47="M",4,IF(H47="E",3,2))))</f>
        <v/>
      </c>
      <c r="M47" s="37" t="str">
        <f aca="false">IF(L47="","",IF(L47&gt;=12,"Executar",IF(L47&gt;=8,"Executar com controle",IF(L47&gt;=5,"Postergar","Cancelar"))))</f>
        <v/>
      </c>
      <c r="O47" s="28" t="str">
        <f aca="false">IF(D47="","",IFERROR(INDEX(Categorias!$C$6:$C$45,MATCH(D47,Categorias!$B$6:$B$45,0)),"Sem grupo"))</f>
        <v/>
      </c>
      <c r="P47" s="38" t="str">
        <f aca="false">IF(B47="","",DATE(YEAR(B47),MONTH(B47),1))</f>
        <v/>
      </c>
    </row>
    <row r="48" customFormat="false" ht="15" hidden="false" customHeight="false" outlineLevel="0" collapsed="false">
      <c r="B48" s="33"/>
      <c r="C48" s="30"/>
      <c r="D48" s="30"/>
      <c r="E48" s="31"/>
      <c r="F48" s="30"/>
      <c r="G48" s="30"/>
      <c r="H48" s="34" t="str">
        <f aca="false">IF(D48="","",IFERROR(INDEX(Categorias!$D$6:$D$45,MATCH(D48,Categorias!$B$6:$B$45,0))&amp;"",""))</f>
        <v/>
      </c>
      <c r="I48" s="35"/>
      <c r="J48" s="35"/>
      <c r="K48" s="35"/>
      <c r="L48" s="36" t="str">
        <f aca="false">IF(OR(H48="",COUNTIF(I48:K48,"S")+COUNTIF(I48:K48,"N")&lt;3),"",COUNTIF(I48:K48,"S")*IF(H48="S",5,IF(H48="M",4,IF(H48="E",3,2))))</f>
        <v/>
      </c>
      <c r="M48" s="37" t="str">
        <f aca="false">IF(L48="","",IF(L48&gt;=12,"Executar",IF(L48&gt;=8,"Executar com controle",IF(L48&gt;=5,"Postergar","Cancelar"))))</f>
        <v/>
      </c>
      <c r="O48" s="28" t="str">
        <f aca="false">IF(D48="","",IFERROR(INDEX(Categorias!$C$6:$C$45,MATCH(D48,Categorias!$B$6:$B$45,0)),"Sem grupo"))</f>
        <v/>
      </c>
      <c r="P48" s="38" t="str">
        <f aca="false">IF(B48="","",DATE(YEAR(B48),MONTH(B48),1))</f>
        <v/>
      </c>
    </row>
    <row r="49" customFormat="false" ht="15" hidden="false" customHeight="false" outlineLevel="0" collapsed="false">
      <c r="B49" s="33"/>
      <c r="C49" s="30"/>
      <c r="D49" s="30"/>
      <c r="E49" s="31"/>
      <c r="F49" s="30"/>
      <c r="G49" s="30"/>
      <c r="H49" s="34" t="str">
        <f aca="false">IF(D49="","",IFERROR(INDEX(Categorias!$D$6:$D$45,MATCH(D49,Categorias!$B$6:$B$45,0))&amp;"",""))</f>
        <v/>
      </c>
      <c r="I49" s="35"/>
      <c r="J49" s="35"/>
      <c r="K49" s="35"/>
      <c r="L49" s="36" t="str">
        <f aca="false">IF(OR(H49="",COUNTIF(I49:K49,"S")+COUNTIF(I49:K49,"N")&lt;3),"",COUNTIF(I49:K49,"S")*IF(H49="S",5,IF(H49="M",4,IF(H49="E",3,2))))</f>
        <v/>
      </c>
      <c r="M49" s="37" t="str">
        <f aca="false">IF(L49="","",IF(L49&gt;=12,"Executar",IF(L49&gt;=8,"Executar com controle",IF(L49&gt;=5,"Postergar","Cancelar"))))</f>
        <v/>
      </c>
      <c r="O49" s="28" t="str">
        <f aca="false">IF(D49="","",IFERROR(INDEX(Categorias!$C$6:$C$45,MATCH(D49,Categorias!$B$6:$B$45,0)),"Sem grupo"))</f>
        <v/>
      </c>
      <c r="P49" s="38" t="str">
        <f aca="false">IF(B49="","",DATE(YEAR(B49),MONTH(B49),1))</f>
        <v/>
      </c>
    </row>
    <row r="50" customFormat="false" ht="15" hidden="false" customHeight="false" outlineLevel="0" collapsed="false">
      <c r="B50" s="33"/>
      <c r="C50" s="30"/>
      <c r="D50" s="30"/>
      <c r="E50" s="31"/>
      <c r="F50" s="30"/>
      <c r="G50" s="30"/>
      <c r="H50" s="34" t="str">
        <f aca="false">IF(D50="","",IFERROR(INDEX(Categorias!$D$6:$D$45,MATCH(D50,Categorias!$B$6:$B$45,0))&amp;"",""))</f>
        <v/>
      </c>
      <c r="I50" s="35"/>
      <c r="J50" s="35"/>
      <c r="K50" s="35"/>
      <c r="L50" s="36" t="str">
        <f aca="false">IF(OR(H50="",COUNTIF(I50:K50,"S")+COUNTIF(I50:K50,"N")&lt;3),"",COUNTIF(I50:K50,"S")*IF(H50="S",5,IF(H50="M",4,IF(H50="E",3,2))))</f>
        <v/>
      </c>
      <c r="M50" s="37" t="str">
        <f aca="false">IF(L50="","",IF(L50&gt;=12,"Executar",IF(L50&gt;=8,"Executar com controle",IF(L50&gt;=5,"Postergar","Cancelar"))))</f>
        <v/>
      </c>
      <c r="O50" s="28" t="str">
        <f aca="false">IF(D50="","",IFERROR(INDEX(Categorias!$C$6:$C$45,MATCH(D50,Categorias!$B$6:$B$45,0)),"Sem grupo"))</f>
        <v/>
      </c>
      <c r="P50" s="38" t="str">
        <f aca="false">IF(B50="","",DATE(YEAR(B50),MONTH(B50),1))</f>
        <v/>
      </c>
    </row>
    <row r="51" customFormat="false" ht="15" hidden="false" customHeight="false" outlineLevel="0" collapsed="false">
      <c r="B51" s="33"/>
      <c r="C51" s="30"/>
      <c r="D51" s="30"/>
      <c r="E51" s="31"/>
      <c r="F51" s="30"/>
      <c r="G51" s="30"/>
      <c r="H51" s="34" t="str">
        <f aca="false">IF(D51="","",IFERROR(INDEX(Categorias!$D$6:$D$45,MATCH(D51,Categorias!$B$6:$B$45,0))&amp;"",""))</f>
        <v/>
      </c>
      <c r="I51" s="35"/>
      <c r="J51" s="35"/>
      <c r="K51" s="35"/>
      <c r="L51" s="36" t="str">
        <f aca="false">IF(OR(H51="",COUNTIF(I51:K51,"S")+COUNTIF(I51:K51,"N")&lt;3),"",COUNTIF(I51:K51,"S")*IF(H51="S",5,IF(H51="M",4,IF(H51="E",3,2))))</f>
        <v/>
      </c>
      <c r="M51" s="37" t="str">
        <f aca="false">IF(L51="","",IF(L51&gt;=12,"Executar",IF(L51&gt;=8,"Executar com controle",IF(L51&gt;=5,"Postergar","Cancelar"))))</f>
        <v/>
      </c>
      <c r="O51" s="28" t="str">
        <f aca="false">IF(D51="","",IFERROR(INDEX(Categorias!$C$6:$C$45,MATCH(D51,Categorias!$B$6:$B$45,0)),"Sem grupo"))</f>
        <v/>
      </c>
      <c r="P51" s="38" t="str">
        <f aca="false">IF(B51="","",DATE(YEAR(B51),MONTH(B51),1))</f>
        <v/>
      </c>
    </row>
    <row r="52" customFormat="false" ht="15" hidden="false" customHeight="false" outlineLevel="0" collapsed="false">
      <c r="B52" s="33"/>
      <c r="C52" s="30"/>
      <c r="D52" s="30"/>
      <c r="E52" s="31"/>
      <c r="F52" s="30"/>
      <c r="G52" s="30"/>
      <c r="H52" s="34" t="str">
        <f aca="false">IF(D52="","",IFERROR(INDEX(Categorias!$D$6:$D$45,MATCH(D52,Categorias!$B$6:$B$45,0))&amp;"",""))</f>
        <v/>
      </c>
      <c r="I52" s="35"/>
      <c r="J52" s="35"/>
      <c r="K52" s="35"/>
      <c r="L52" s="36" t="str">
        <f aca="false">IF(OR(H52="",COUNTIF(I52:K52,"S")+COUNTIF(I52:K52,"N")&lt;3),"",COUNTIF(I52:K52,"S")*IF(H52="S",5,IF(H52="M",4,IF(H52="E",3,2))))</f>
        <v/>
      </c>
      <c r="M52" s="37" t="str">
        <f aca="false">IF(L52="","",IF(L52&gt;=12,"Executar",IF(L52&gt;=8,"Executar com controle",IF(L52&gt;=5,"Postergar","Cancelar"))))</f>
        <v/>
      </c>
      <c r="O52" s="28" t="str">
        <f aca="false">IF(D52="","",IFERROR(INDEX(Categorias!$C$6:$C$45,MATCH(D52,Categorias!$B$6:$B$45,0)),"Sem grupo"))</f>
        <v/>
      </c>
      <c r="P52" s="38" t="str">
        <f aca="false">IF(B52="","",DATE(YEAR(B52),MONTH(B52),1))</f>
        <v/>
      </c>
    </row>
    <row r="53" customFormat="false" ht="15" hidden="false" customHeight="false" outlineLevel="0" collapsed="false">
      <c r="B53" s="33"/>
      <c r="C53" s="30"/>
      <c r="D53" s="30"/>
      <c r="E53" s="31"/>
      <c r="F53" s="30"/>
      <c r="G53" s="30"/>
      <c r="H53" s="34" t="str">
        <f aca="false">IF(D53="","",IFERROR(INDEX(Categorias!$D$6:$D$45,MATCH(D53,Categorias!$B$6:$B$45,0))&amp;"",""))</f>
        <v/>
      </c>
      <c r="I53" s="35"/>
      <c r="J53" s="35"/>
      <c r="K53" s="35"/>
      <c r="L53" s="36" t="str">
        <f aca="false">IF(OR(H53="",COUNTIF(I53:K53,"S")+COUNTIF(I53:K53,"N")&lt;3),"",COUNTIF(I53:K53,"S")*IF(H53="S",5,IF(H53="M",4,IF(H53="E",3,2))))</f>
        <v/>
      </c>
      <c r="M53" s="37" t="str">
        <f aca="false">IF(L53="","",IF(L53&gt;=12,"Executar",IF(L53&gt;=8,"Executar com controle",IF(L53&gt;=5,"Postergar","Cancelar"))))</f>
        <v/>
      </c>
      <c r="O53" s="28" t="str">
        <f aca="false">IF(D53="","",IFERROR(INDEX(Categorias!$C$6:$C$45,MATCH(D53,Categorias!$B$6:$B$45,0)),"Sem grupo"))</f>
        <v/>
      </c>
      <c r="P53" s="38" t="str">
        <f aca="false">IF(B53="","",DATE(YEAR(B53),MONTH(B53),1))</f>
        <v/>
      </c>
    </row>
    <row r="54" customFormat="false" ht="15" hidden="false" customHeight="false" outlineLevel="0" collapsed="false">
      <c r="B54" s="33"/>
      <c r="C54" s="30"/>
      <c r="D54" s="30"/>
      <c r="E54" s="31"/>
      <c r="F54" s="30"/>
      <c r="G54" s="30"/>
      <c r="H54" s="34" t="str">
        <f aca="false">IF(D54="","",IFERROR(INDEX(Categorias!$D$6:$D$45,MATCH(D54,Categorias!$B$6:$B$45,0))&amp;"",""))</f>
        <v/>
      </c>
      <c r="I54" s="35"/>
      <c r="J54" s="35"/>
      <c r="K54" s="35"/>
      <c r="L54" s="36" t="str">
        <f aca="false">IF(OR(H54="",COUNTIF(I54:K54,"S")+COUNTIF(I54:K54,"N")&lt;3),"",COUNTIF(I54:K54,"S")*IF(H54="S",5,IF(H54="M",4,IF(H54="E",3,2))))</f>
        <v/>
      </c>
      <c r="M54" s="37" t="str">
        <f aca="false">IF(L54="","",IF(L54&gt;=12,"Executar",IF(L54&gt;=8,"Executar com controle",IF(L54&gt;=5,"Postergar","Cancelar"))))</f>
        <v/>
      </c>
      <c r="O54" s="28" t="str">
        <f aca="false">IF(D54="","",IFERROR(INDEX(Categorias!$C$6:$C$45,MATCH(D54,Categorias!$B$6:$B$45,0)),"Sem grupo"))</f>
        <v/>
      </c>
      <c r="P54" s="38" t="str">
        <f aca="false">IF(B54="","",DATE(YEAR(B54),MONTH(B54),1))</f>
        <v/>
      </c>
    </row>
    <row r="55" customFormat="false" ht="15" hidden="false" customHeight="false" outlineLevel="0" collapsed="false">
      <c r="B55" s="33"/>
      <c r="C55" s="30"/>
      <c r="D55" s="30"/>
      <c r="E55" s="31"/>
      <c r="F55" s="30"/>
      <c r="G55" s="30"/>
      <c r="H55" s="34" t="str">
        <f aca="false">IF(D55="","",IFERROR(INDEX(Categorias!$D$6:$D$45,MATCH(D55,Categorias!$B$6:$B$45,0))&amp;"",""))</f>
        <v/>
      </c>
      <c r="I55" s="35"/>
      <c r="J55" s="35"/>
      <c r="K55" s="35"/>
      <c r="L55" s="36" t="str">
        <f aca="false">IF(OR(H55="",COUNTIF(I55:K55,"S")+COUNTIF(I55:K55,"N")&lt;3),"",COUNTIF(I55:K55,"S")*IF(H55="S",5,IF(H55="M",4,IF(H55="E",3,2))))</f>
        <v/>
      </c>
      <c r="M55" s="37" t="str">
        <f aca="false">IF(L55="","",IF(L55&gt;=12,"Executar",IF(L55&gt;=8,"Executar com controle",IF(L55&gt;=5,"Postergar","Cancelar"))))</f>
        <v/>
      </c>
      <c r="O55" s="28" t="str">
        <f aca="false">IF(D55="","",IFERROR(INDEX(Categorias!$C$6:$C$45,MATCH(D55,Categorias!$B$6:$B$45,0)),"Sem grupo"))</f>
        <v/>
      </c>
      <c r="P55" s="38" t="str">
        <f aca="false">IF(B55="","",DATE(YEAR(B55),MONTH(B55),1))</f>
        <v/>
      </c>
    </row>
    <row r="56" customFormat="false" ht="15" hidden="false" customHeight="false" outlineLevel="0" collapsed="false">
      <c r="B56" s="33"/>
      <c r="C56" s="30"/>
      <c r="D56" s="30"/>
      <c r="E56" s="31"/>
      <c r="F56" s="30"/>
      <c r="G56" s="30"/>
      <c r="H56" s="34" t="str">
        <f aca="false">IF(D56="","",IFERROR(INDEX(Categorias!$D$6:$D$45,MATCH(D56,Categorias!$B$6:$B$45,0))&amp;"",""))</f>
        <v/>
      </c>
      <c r="I56" s="35"/>
      <c r="J56" s="35"/>
      <c r="K56" s="35"/>
      <c r="L56" s="36" t="str">
        <f aca="false">IF(OR(H56="",COUNTIF(I56:K56,"S")+COUNTIF(I56:K56,"N")&lt;3),"",COUNTIF(I56:K56,"S")*IF(H56="S",5,IF(H56="M",4,IF(H56="E",3,2))))</f>
        <v/>
      </c>
      <c r="M56" s="37" t="str">
        <f aca="false">IF(L56="","",IF(L56&gt;=12,"Executar",IF(L56&gt;=8,"Executar com controle",IF(L56&gt;=5,"Postergar","Cancelar"))))</f>
        <v/>
      </c>
      <c r="O56" s="28" t="str">
        <f aca="false">IF(D56="","",IFERROR(INDEX(Categorias!$C$6:$C$45,MATCH(D56,Categorias!$B$6:$B$45,0)),"Sem grupo"))</f>
        <v/>
      </c>
      <c r="P56" s="38" t="str">
        <f aca="false">IF(B56="","",DATE(YEAR(B56),MONTH(B56),1))</f>
        <v/>
      </c>
    </row>
    <row r="57" customFormat="false" ht="15" hidden="false" customHeight="false" outlineLevel="0" collapsed="false">
      <c r="B57" s="33"/>
      <c r="C57" s="30"/>
      <c r="D57" s="30"/>
      <c r="E57" s="31"/>
      <c r="F57" s="30"/>
      <c r="G57" s="30"/>
      <c r="H57" s="34" t="str">
        <f aca="false">IF(D57="","",IFERROR(INDEX(Categorias!$D$6:$D$45,MATCH(D57,Categorias!$B$6:$B$45,0))&amp;"",""))</f>
        <v/>
      </c>
      <c r="I57" s="35"/>
      <c r="J57" s="35"/>
      <c r="K57" s="35"/>
      <c r="L57" s="36" t="str">
        <f aca="false">IF(OR(H57="",COUNTIF(I57:K57,"S")+COUNTIF(I57:K57,"N")&lt;3),"",COUNTIF(I57:K57,"S")*IF(H57="S",5,IF(H57="M",4,IF(H57="E",3,2))))</f>
        <v/>
      </c>
      <c r="M57" s="37" t="str">
        <f aca="false">IF(L57="","",IF(L57&gt;=12,"Executar",IF(L57&gt;=8,"Executar com controle",IF(L57&gt;=5,"Postergar","Cancelar"))))</f>
        <v/>
      </c>
      <c r="O57" s="28" t="str">
        <f aca="false">IF(D57="","",IFERROR(INDEX(Categorias!$C$6:$C$45,MATCH(D57,Categorias!$B$6:$B$45,0)),"Sem grupo"))</f>
        <v/>
      </c>
      <c r="P57" s="38" t="str">
        <f aca="false">IF(B57="","",DATE(YEAR(B57),MONTH(B57),1))</f>
        <v/>
      </c>
    </row>
    <row r="58" customFormat="false" ht="15" hidden="false" customHeight="false" outlineLevel="0" collapsed="false">
      <c r="B58" s="33"/>
      <c r="C58" s="30"/>
      <c r="D58" s="30"/>
      <c r="E58" s="31"/>
      <c r="F58" s="30"/>
      <c r="G58" s="30"/>
      <c r="H58" s="34" t="str">
        <f aca="false">IF(D58="","",IFERROR(INDEX(Categorias!$D$6:$D$45,MATCH(D58,Categorias!$B$6:$B$45,0))&amp;"",""))</f>
        <v/>
      </c>
      <c r="I58" s="35"/>
      <c r="J58" s="35"/>
      <c r="K58" s="35"/>
      <c r="L58" s="36" t="str">
        <f aca="false">IF(OR(H58="",COUNTIF(I58:K58,"S")+COUNTIF(I58:K58,"N")&lt;3),"",COUNTIF(I58:K58,"S")*IF(H58="S",5,IF(H58="M",4,IF(H58="E",3,2))))</f>
        <v/>
      </c>
      <c r="M58" s="37" t="str">
        <f aca="false">IF(L58="","",IF(L58&gt;=12,"Executar",IF(L58&gt;=8,"Executar com controle",IF(L58&gt;=5,"Postergar","Cancelar"))))</f>
        <v/>
      </c>
      <c r="O58" s="28" t="str">
        <f aca="false">IF(D58="","",IFERROR(INDEX(Categorias!$C$6:$C$45,MATCH(D58,Categorias!$B$6:$B$45,0)),"Sem grupo"))</f>
        <v/>
      </c>
      <c r="P58" s="38" t="str">
        <f aca="false">IF(B58="","",DATE(YEAR(B58),MONTH(B58),1))</f>
        <v/>
      </c>
    </row>
    <row r="59" customFormat="false" ht="15" hidden="false" customHeight="false" outlineLevel="0" collapsed="false">
      <c r="B59" s="33"/>
      <c r="C59" s="30"/>
      <c r="D59" s="30"/>
      <c r="E59" s="31"/>
      <c r="F59" s="30"/>
      <c r="G59" s="30"/>
      <c r="H59" s="34" t="str">
        <f aca="false">IF(D59="","",IFERROR(INDEX(Categorias!$D$6:$D$45,MATCH(D59,Categorias!$B$6:$B$45,0))&amp;"",""))</f>
        <v/>
      </c>
      <c r="I59" s="35"/>
      <c r="J59" s="35"/>
      <c r="K59" s="35"/>
      <c r="L59" s="36" t="str">
        <f aca="false">IF(OR(H59="",COUNTIF(I59:K59,"S")+COUNTIF(I59:K59,"N")&lt;3),"",COUNTIF(I59:K59,"S")*IF(H59="S",5,IF(H59="M",4,IF(H59="E",3,2))))</f>
        <v/>
      </c>
      <c r="M59" s="37" t="str">
        <f aca="false">IF(L59="","",IF(L59&gt;=12,"Executar",IF(L59&gt;=8,"Executar com controle",IF(L59&gt;=5,"Postergar","Cancelar"))))</f>
        <v/>
      </c>
      <c r="O59" s="28" t="str">
        <f aca="false">IF(D59="","",IFERROR(INDEX(Categorias!$C$6:$C$45,MATCH(D59,Categorias!$B$6:$B$45,0)),"Sem grupo"))</f>
        <v/>
      </c>
      <c r="P59" s="38" t="str">
        <f aca="false">IF(B59="","",DATE(YEAR(B59),MONTH(B59),1))</f>
        <v/>
      </c>
    </row>
    <row r="60" customFormat="false" ht="15" hidden="false" customHeight="false" outlineLevel="0" collapsed="false">
      <c r="B60" s="33"/>
      <c r="C60" s="30"/>
      <c r="D60" s="30"/>
      <c r="E60" s="31"/>
      <c r="F60" s="30"/>
      <c r="G60" s="30"/>
      <c r="H60" s="34" t="str">
        <f aca="false">IF(D60="","",IFERROR(INDEX(Categorias!$D$6:$D$45,MATCH(D60,Categorias!$B$6:$B$45,0))&amp;"",""))</f>
        <v/>
      </c>
      <c r="I60" s="35"/>
      <c r="J60" s="35"/>
      <c r="K60" s="35"/>
      <c r="L60" s="36" t="str">
        <f aca="false">IF(OR(H60="",COUNTIF(I60:K60,"S")+COUNTIF(I60:K60,"N")&lt;3),"",COUNTIF(I60:K60,"S")*IF(H60="S",5,IF(H60="M",4,IF(H60="E",3,2))))</f>
        <v/>
      </c>
      <c r="M60" s="37" t="str">
        <f aca="false">IF(L60="","",IF(L60&gt;=12,"Executar",IF(L60&gt;=8,"Executar com controle",IF(L60&gt;=5,"Postergar","Cancelar"))))</f>
        <v/>
      </c>
      <c r="O60" s="28" t="str">
        <f aca="false">IF(D60="","",IFERROR(INDEX(Categorias!$C$6:$C$45,MATCH(D60,Categorias!$B$6:$B$45,0)),"Sem grupo"))</f>
        <v/>
      </c>
      <c r="P60" s="38" t="str">
        <f aca="false">IF(B60="","",DATE(YEAR(B60),MONTH(B60),1))</f>
        <v/>
      </c>
    </row>
    <row r="61" customFormat="false" ht="15" hidden="false" customHeight="false" outlineLevel="0" collapsed="false">
      <c r="B61" s="33"/>
      <c r="C61" s="30"/>
      <c r="D61" s="30"/>
      <c r="E61" s="31"/>
      <c r="F61" s="30"/>
      <c r="G61" s="30"/>
      <c r="H61" s="34" t="str">
        <f aca="false">IF(D61="","",IFERROR(INDEX(Categorias!$D$6:$D$45,MATCH(D61,Categorias!$B$6:$B$45,0))&amp;"",""))</f>
        <v/>
      </c>
      <c r="I61" s="35"/>
      <c r="J61" s="35"/>
      <c r="K61" s="35"/>
      <c r="L61" s="36" t="str">
        <f aca="false">IF(OR(H61="",COUNTIF(I61:K61,"S")+COUNTIF(I61:K61,"N")&lt;3),"",COUNTIF(I61:K61,"S")*IF(H61="S",5,IF(H61="M",4,IF(H61="E",3,2))))</f>
        <v/>
      </c>
      <c r="M61" s="37" t="str">
        <f aca="false">IF(L61="","",IF(L61&gt;=12,"Executar",IF(L61&gt;=8,"Executar com controle",IF(L61&gt;=5,"Postergar","Cancelar"))))</f>
        <v/>
      </c>
      <c r="O61" s="28" t="str">
        <f aca="false">IF(D61="","",IFERROR(INDEX(Categorias!$C$6:$C$45,MATCH(D61,Categorias!$B$6:$B$45,0)),"Sem grupo"))</f>
        <v/>
      </c>
      <c r="P61" s="38" t="str">
        <f aca="false">IF(B61="","",DATE(YEAR(B61),MONTH(B61),1))</f>
        <v/>
      </c>
    </row>
    <row r="62" customFormat="false" ht="15" hidden="false" customHeight="false" outlineLevel="0" collapsed="false">
      <c r="B62" s="33"/>
      <c r="C62" s="30"/>
      <c r="D62" s="30"/>
      <c r="E62" s="31"/>
      <c r="F62" s="30"/>
      <c r="G62" s="30"/>
      <c r="H62" s="34" t="str">
        <f aca="false">IF(D62="","",IFERROR(INDEX(Categorias!$D$6:$D$45,MATCH(D62,Categorias!$B$6:$B$45,0))&amp;"",""))</f>
        <v/>
      </c>
      <c r="I62" s="35"/>
      <c r="J62" s="35"/>
      <c r="K62" s="35"/>
      <c r="L62" s="36" t="str">
        <f aca="false">IF(OR(H62="",COUNTIF(I62:K62,"S")+COUNTIF(I62:K62,"N")&lt;3),"",COUNTIF(I62:K62,"S")*IF(H62="S",5,IF(H62="M",4,IF(H62="E",3,2))))</f>
        <v/>
      </c>
      <c r="M62" s="37" t="str">
        <f aca="false">IF(L62="","",IF(L62&gt;=12,"Executar",IF(L62&gt;=8,"Executar com controle",IF(L62&gt;=5,"Postergar","Cancelar"))))</f>
        <v/>
      </c>
      <c r="O62" s="28" t="str">
        <f aca="false">IF(D62="","",IFERROR(INDEX(Categorias!$C$6:$C$45,MATCH(D62,Categorias!$B$6:$B$45,0)),"Sem grupo"))</f>
        <v/>
      </c>
      <c r="P62" s="38" t="str">
        <f aca="false">IF(B62="","",DATE(YEAR(B62),MONTH(B62),1))</f>
        <v/>
      </c>
    </row>
    <row r="63" customFormat="false" ht="15" hidden="false" customHeight="false" outlineLevel="0" collapsed="false">
      <c r="B63" s="33"/>
      <c r="C63" s="30"/>
      <c r="D63" s="30"/>
      <c r="E63" s="31"/>
      <c r="F63" s="30"/>
      <c r="G63" s="30"/>
      <c r="H63" s="34" t="str">
        <f aca="false">IF(D63="","",IFERROR(INDEX(Categorias!$D$6:$D$45,MATCH(D63,Categorias!$B$6:$B$45,0))&amp;"",""))</f>
        <v/>
      </c>
      <c r="I63" s="35"/>
      <c r="J63" s="35"/>
      <c r="K63" s="35"/>
      <c r="L63" s="36" t="str">
        <f aca="false">IF(OR(H63="",COUNTIF(I63:K63,"S")+COUNTIF(I63:K63,"N")&lt;3),"",COUNTIF(I63:K63,"S")*IF(H63="S",5,IF(H63="M",4,IF(H63="E",3,2))))</f>
        <v/>
      </c>
      <c r="M63" s="37" t="str">
        <f aca="false">IF(L63="","",IF(L63&gt;=12,"Executar",IF(L63&gt;=8,"Executar com controle",IF(L63&gt;=5,"Postergar","Cancelar"))))</f>
        <v/>
      </c>
      <c r="O63" s="28" t="str">
        <f aca="false">IF(D63="","",IFERROR(INDEX(Categorias!$C$6:$C$45,MATCH(D63,Categorias!$B$6:$B$45,0)),"Sem grupo"))</f>
        <v/>
      </c>
      <c r="P63" s="38" t="str">
        <f aca="false">IF(B63="","",DATE(YEAR(B63),MONTH(B63),1))</f>
        <v/>
      </c>
    </row>
    <row r="64" customFormat="false" ht="15" hidden="false" customHeight="false" outlineLevel="0" collapsed="false">
      <c r="B64" s="33"/>
      <c r="C64" s="30"/>
      <c r="D64" s="30"/>
      <c r="E64" s="31"/>
      <c r="F64" s="30"/>
      <c r="G64" s="30"/>
      <c r="H64" s="34" t="str">
        <f aca="false">IF(D64="","",IFERROR(INDEX(Categorias!$D$6:$D$45,MATCH(D64,Categorias!$B$6:$B$45,0))&amp;"",""))</f>
        <v/>
      </c>
      <c r="I64" s="35"/>
      <c r="J64" s="35"/>
      <c r="K64" s="35"/>
      <c r="L64" s="36" t="str">
        <f aca="false">IF(OR(H64="",COUNTIF(I64:K64,"S")+COUNTIF(I64:K64,"N")&lt;3),"",COUNTIF(I64:K64,"S")*IF(H64="S",5,IF(H64="M",4,IF(H64="E",3,2))))</f>
        <v/>
      </c>
      <c r="M64" s="37" t="str">
        <f aca="false">IF(L64="","",IF(L64&gt;=12,"Executar",IF(L64&gt;=8,"Executar com controle",IF(L64&gt;=5,"Postergar","Cancelar"))))</f>
        <v/>
      </c>
      <c r="O64" s="28" t="str">
        <f aca="false">IF(D64="","",IFERROR(INDEX(Categorias!$C$6:$C$45,MATCH(D64,Categorias!$B$6:$B$45,0)),"Sem grupo"))</f>
        <v/>
      </c>
      <c r="P64" s="38" t="str">
        <f aca="false">IF(B64="","",DATE(YEAR(B64),MONTH(B64),1))</f>
        <v/>
      </c>
    </row>
    <row r="65" customFormat="false" ht="15" hidden="false" customHeight="false" outlineLevel="0" collapsed="false">
      <c r="B65" s="33"/>
      <c r="C65" s="30"/>
      <c r="D65" s="30"/>
      <c r="E65" s="31"/>
      <c r="F65" s="30"/>
      <c r="G65" s="30"/>
      <c r="H65" s="34" t="str">
        <f aca="false">IF(D65="","",IFERROR(INDEX(Categorias!$D$6:$D$45,MATCH(D65,Categorias!$B$6:$B$45,0))&amp;"",""))</f>
        <v/>
      </c>
      <c r="I65" s="35"/>
      <c r="J65" s="35"/>
      <c r="K65" s="35"/>
      <c r="L65" s="36" t="str">
        <f aca="false">IF(OR(H65="",COUNTIF(I65:K65,"S")+COUNTIF(I65:K65,"N")&lt;3),"",COUNTIF(I65:K65,"S")*IF(H65="S",5,IF(H65="M",4,IF(H65="E",3,2))))</f>
        <v/>
      </c>
      <c r="M65" s="37" t="str">
        <f aca="false">IF(L65="","",IF(L65&gt;=12,"Executar",IF(L65&gt;=8,"Executar com controle",IF(L65&gt;=5,"Postergar","Cancelar"))))</f>
        <v/>
      </c>
      <c r="O65" s="28" t="str">
        <f aca="false">IF(D65="","",IFERROR(INDEX(Categorias!$C$6:$C$45,MATCH(D65,Categorias!$B$6:$B$45,0)),"Sem grupo"))</f>
        <v/>
      </c>
      <c r="P65" s="38" t="str">
        <f aca="false">IF(B65="","",DATE(YEAR(B65),MONTH(B65),1))</f>
        <v/>
      </c>
    </row>
    <row r="66" customFormat="false" ht="15" hidden="false" customHeight="false" outlineLevel="0" collapsed="false">
      <c r="B66" s="33"/>
      <c r="C66" s="30"/>
      <c r="D66" s="30"/>
      <c r="E66" s="31"/>
      <c r="F66" s="30"/>
      <c r="G66" s="30"/>
      <c r="H66" s="34" t="str">
        <f aca="false">IF(D66="","",IFERROR(INDEX(Categorias!$D$6:$D$45,MATCH(D66,Categorias!$B$6:$B$45,0))&amp;"",""))</f>
        <v/>
      </c>
      <c r="I66" s="35"/>
      <c r="J66" s="35"/>
      <c r="K66" s="35"/>
      <c r="L66" s="36" t="str">
        <f aca="false">IF(OR(H66="",COUNTIF(I66:K66,"S")+COUNTIF(I66:K66,"N")&lt;3),"",COUNTIF(I66:K66,"S")*IF(H66="S",5,IF(H66="M",4,IF(H66="E",3,2))))</f>
        <v/>
      </c>
      <c r="M66" s="37" t="str">
        <f aca="false">IF(L66="","",IF(L66&gt;=12,"Executar",IF(L66&gt;=8,"Executar com controle",IF(L66&gt;=5,"Postergar","Cancelar"))))</f>
        <v/>
      </c>
      <c r="O66" s="28" t="str">
        <f aca="false">IF(D66="","",IFERROR(INDEX(Categorias!$C$6:$C$45,MATCH(D66,Categorias!$B$6:$B$45,0)),"Sem grupo"))</f>
        <v/>
      </c>
      <c r="P66" s="38" t="str">
        <f aca="false">IF(B66="","",DATE(YEAR(B66),MONTH(B66),1))</f>
        <v/>
      </c>
    </row>
    <row r="67" customFormat="false" ht="15" hidden="false" customHeight="false" outlineLevel="0" collapsed="false">
      <c r="B67" s="33"/>
      <c r="C67" s="30"/>
      <c r="D67" s="30"/>
      <c r="E67" s="31"/>
      <c r="F67" s="30"/>
      <c r="G67" s="30"/>
      <c r="H67" s="34" t="str">
        <f aca="false">IF(D67="","",IFERROR(INDEX(Categorias!$D$6:$D$45,MATCH(D67,Categorias!$B$6:$B$45,0))&amp;"",""))</f>
        <v/>
      </c>
      <c r="I67" s="35"/>
      <c r="J67" s="35"/>
      <c r="K67" s="35"/>
      <c r="L67" s="36" t="str">
        <f aca="false">IF(OR(H67="",COUNTIF(I67:K67,"S")+COUNTIF(I67:K67,"N")&lt;3),"",COUNTIF(I67:K67,"S")*IF(H67="S",5,IF(H67="M",4,IF(H67="E",3,2))))</f>
        <v/>
      </c>
      <c r="M67" s="37" t="str">
        <f aca="false">IF(L67="","",IF(L67&gt;=12,"Executar",IF(L67&gt;=8,"Executar com controle",IF(L67&gt;=5,"Postergar","Cancelar"))))</f>
        <v/>
      </c>
      <c r="O67" s="28" t="str">
        <f aca="false">IF(D67="","",IFERROR(INDEX(Categorias!$C$6:$C$45,MATCH(D67,Categorias!$B$6:$B$45,0)),"Sem grupo"))</f>
        <v/>
      </c>
      <c r="P67" s="38" t="str">
        <f aca="false">IF(B67="","",DATE(YEAR(B67),MONTH(B67),1))</f>
        <v/>
      </c>
    </row>
    <row r="68" customFormat="false" ht="15" hidden="false" customHeight="false" outlineLevel="0" collapsed="false">
      <c r="B68" s="33"/>
      <c r="C68" s="30"/>
      <c r="D68" s="30"/>
      <c r="E68" s="31"/>
      <c r="F68" s="30"/>
      <c r="G68" s="30"/>
      <c r="H68" s="34" t="str">
        <f aca="false">IF(D68="","",IFERROR(INDEX(Categorias!$D$6:$D$45,MATCH(D68,Categorias!$B$6:$B$45,0))&amp;"",""))</f>
        <v/>
      </c>
      <c r="I68" s="35"/>
      <c r="J68" s="35"/>
      <c r="K68" s="35"/>
      <c r="L68" s="36" t="str">
        <f aca="false">IF(OR(H68="",COUNTIF(I68:K68,"S")+COUNTIF(I68:K68,"N")&lt;3),"",COUNTIF(I68:K68,"S")*IF(H68="S",5,IF(H68="M",4,IF(H68="E",3,2))))</f>
        <v/>
      </c>
      <c r="M68" s="37" t="str">
        <f aca="false">IF(L68="","",IF(L68&gt;=12,"Executar",IF(L68&gt;=8,"Executar com controle",IF(L68&gt;=5,"Postergar","Cancelar"))))</f>
        <v/>
      </c>
      <c r="O68" s="28" t="str">
        <f aca="false">IF(D68="","",IFERROR(INDEX(Categorias!$C$6:$C$45,MATCH(D68,Categorias!$B$6:$B$45,0)),"Sem grupo"))</f>
        <v/>
      </c>
      <c r="P68" s="38" t="str">
        <f aca="false">IF(B68="","",DATE(YEAR(B68),MONTH(B68),1))</f>
        <v/>
      </c>
    </row>
    <row r="69" customFormat="false" ht="15" hidden="false" customHeight="false" outlineLevel="0" collapsed="false">
      <c r="B69" s="33"/>
      <c r="C69" s="30"/>
      <c r="D69" s="30"/>
      <c r="E69" s="31"/>
      <c r="F69" s="30"/>
      <c r="G69" s="30"/>
      <c r="H69" s="34" t="str">
        <f aca="false">IF(D69="","",IFERROR(INDEX(Categorias!$D$6:$D$45,MATCH(D69,Categorias!$B$6:$B$45,0))&amp;"",""))</f>
        <v/>
      </c>
      <c r="I69" s="35"/>
      <c r="J69" s="35"/>
      <c r="K69" s="35"/>
      <c r="L69" s="36" t="str">
        <f aca="false">IF(OR(H69="",COUNTIF(I69:K69,"S")+COUNTIF(I69:K69,"N")&lt;3),"",COUNTIF(I69:K69,"S")*IF(H69="S",5,IF(H69="M",4,IF(H69="E",3,2))))</f>
        <v/>
      </c>
      <c r="M69" s="37" t="str">
        <f aca="false">IF(L69="","",IF(L69&gt;=12,"Executar",IF(L69&gt;=8,"Executar com controle",IF(L69&gt;=5,"Postergar","Cancelar"))))</f>
        <v/>
      </c>
      <c r="O69" s="28" t="str">
        <f aca="false">IF(D69="","",IFERROR(INDEX(Categorias!$C$6:$C$45,MATCH(D69,Categorias!$B$6:$B$45,0)),"Sem grupo"))</f>
        <v/>
      </c>
      <c r="P69" s="38" t="str">
        <f aca="false">IF(B69="","",DATE(YEAR(B69),MONTH(B69),1))</f>
        <v/>
      </c>
    </row>
    <row r="70" customFormat="false" ht="15" hidden="false" customHeight="false" outlineLevel="0" collapsed="false">
      <c r="B70" s="33"/>
      <c r="C70" s="30"/>
      <c r="D70" s="30"/>
      <c r="E70" s="31"/>
      <c r="F70" s="30"/>
      <c r="G70" s="30"/>
      <c r="H70" s="34" t="str">
        <f aca="false">IF(D70="","",IFERROR(INDEX(Categorias!$D$6:$D$45,MATCH(D70,Categorias!$B$6:$B$45,0))&amp;"",""))</f>
        <v/>
      </c>
      <c r="I70" s="35"/>
      <c r="J70" s="35"/>
      <c r="K70" s="35"/>
      <c r="L70" s="36" t="str">
        <f aca="false">IF(OR(H70="",COUNTIF(I70:K70,"S")+COUNTIF(I70:K70,"N")&lt;3),"",COUNTIF(I70:K70,"S")*IF(H70="S",5,IF(H70="M",4,IF(H70="E",3,2))))</f>
        <v/>
      </c>
      <c r="M70" s="37" t="str">
        <f aca="false">IF(L70="","",IF(L70&gt;=12,"Executar",IF(L70&gt;=8,"Executar com controle",IF(L70&gt;=5,"Postergar","Cancelar"))))</f>
        <v/>
      </c>
      <c r="O70" s="28" t="str">
        <f aca="false">IF(D70="","",IFERROR(INDEX(Categorias!$C$6:$C$45,MATCH(D70,Categorias!$B$6:$B$45,0)),"Sem grupo"))</f>
        <v/>
      </c>
      <c r="P70" s="38" t="str">
        <f aca="false">IF(B70="","",DATE(YEAR(B70),MONTH(B70),1))</f>
        <v/>
      </c>
    </row>
    <row r="71" customFormat="false" ht="15" hidden="false" customHeight="false" outlineLevel="0" collapsed="false">
      <c r="B71" s="33"/>
      <c r="C71" s="30"/>
      <c r="D71" s="30"/>
      <c r="E71" s="31"/>
      <c r="F71" s="30"/>
      <c r="G71" s="30"/>
      <c r="H71" s="34" t="str">
        <f aca="false">IF(D71="","",IFERROR(INDEX(Categorias!$D$6:$D$45,MATCH(D71,Categorias!$B$6:$B$45,0))&amp;"",""))</f>
        <v/>
      </c>
      <c r="I71" s="35"/>
      <c r="J71" s="35"/>
      <c r="K71" s="35"/>
      <c r="L71" s="36" t="str">
        <f aca="false">IF(OR(H71="",COUNTIF(I71:K71,"S")+COUNTIF(I71:K71,"N")&lt;3),"",COUNTIF(I71:K71,"S")*IF(H71="S",5,IF(H71="M",4,IF(H71="E",3,2))))</f>
        <v/>
      </c>
      <c r="M71" s="37" t="str">
        <f aca="false">IF(L71="","",IF(L71&gt;=12,"Executar",IF(L71&gt;=8,"Executar com controle",IF(L71&gt;=5,"Postergar","Cancelar"))))</f>
        <v/>
      </c>
      <c r="O71" s="28" t="str">
        <f aca="false">IF(D71="","",IFERROR(INDEX(Categorias!$C$6:$C$45,MATCH(D71,Categorias!$B$6:$B$45,0)),"Sem grupo"))</f>
        <v/>
      </c>
      <c r="P71" s="38" t="str">
        <f aca="false">IF(B71="","",DATE(YEAR(B71),MONTH(B71),1))</f>
        <v/>
      </c>
    </row>
    <row r="72" customFormat="false" ht="15" hidden="false" customHeight="false" outlineLevel="0" collapsed="false">
      <c r="B72" s="33"/>
      <c r="C72" s="30"/>
      <c r="D72" s="30"/>
      <c r="E72" s="31"/>
      <c r="F72" s="30"/>
      <c r="G72" s="30"/>
      <c r="H72" s="34" t="str">
        <f aca="false">IF(D72="","",IFERROR(INDEX(Categorias!$D$6:$D$45,MATCH(D72,Categorias!$B$6:$B$45,0))&amp;"",""))</f>
        <v/>
      </c>
      <c r="I72" s="35"/>
      <c r="J72" s="35"/>
      <c r="K72" s="35"/>
      <c r="L72" s="36" t="str">
        <f aca="false">IF(OR(H72="",COUNTIF(I72:K72,"S")+COUNTIF(I72:K72,"N")&lt;3),"",COUNTIF(I72:K72,"S")*IF(H72="S",5,IF(H72="M",4,IF(H72="E",3,2))))</f>
        <v/>
      </c>
      <c r="M72" s="37" t="str">
        <f aca="false">IF(L72="","",IF(L72&gt;=12,"Executar",IF(L72&gt;=8,"Executar com controle",IF(L72&gt;=5,"Postergar","Cancelar"))))</f>
        <v/>
      </c>
      <c r="O72" s="28" t="str">
        <f aca="false">IF(D72="","",IFERROR(INDEX(Categorias!$C$6:$C$45,MATCH(D72,Categorias!$B$6:$B$45,0)),"Sem grupo"))</f>
        <v/>
      </c>
      <c r="P72" s="38" t="str">
        <f aca="false">IF(B72="","",DATE(YEAR(B72),MONTH(B72),1))</f>
        <v/>
      </c>
    </row>
    <row r="73" customFormat="false" ht="15" hidden="false" customHeight="false" outlineLevel="0" collapsed="false">
      <c r="B73" s="33"/>
      <c r="C73" s="30"/>
      <c r="D73" s="30"/>
      <c r="E73" s="31"/>
      <c r="F73" s="30"/>
      <c r="G73" s="30"/>
      <c r="H73" s="34" t="str">
        <f aca="false">IF(D73="","",IFERROR(INDEX(Categorias!$D$6:$D$45,MATCH(D73,Categorias!$B$6:$B$45,0))&amp;"",""))</f>
        <v/>
      </c>
      <c r="I73" s="35"/>
      <c r="J73" s="35"/>
      <c r="K73" s="35"/>
      <c r="L73" s="36" t="str">
        <f aca="false">IF(OR(H73="",COUNTIF(I73:K73,"S")+COUNTIF(I73:K73,"N")&lt;3),"",COUNTIF(I73:K73,"S")*IF(H73="S",5,IF(H73="M",4,IF(H73="E",3,2))))</f>
        <v/>
      </c>
      <c r="M73" s="37" t="str">
        <f aca="false">IF(L73="","",IF(L73&gt;=12,"Executar",IF(L73&gt;=8,"Executar com controle",IF(L73&gt;=5,"Postergar","Cancelar"))))</f>
        <v/>
      </c>
      <c r="O73" s="28" t="str">
        <f aca="false">IF(D73="","",IFERROR(INDEX(Categorias!$C$6:$C$45,MATCH(D73,Categorias!$B$6:$B$45,0)),"Sem grupo"))</f>
        <v/>
      </c>
      <c r="P73" s="38" t="str">
        <f aca="false">IF(B73="","",DATE(YEAR(B73),MONTH(B73),1))</f>
        <v/>
      </c>
    </row>
    <row r="74" customFormat="false" ht="15" hidden="false" customHeight="false" outlineLevel="0" collapsed="false">
      <c r="B74" s="33"/>
      <c r="C74" s="30"/>
      <c r="D74" s="30"/>
      <c r="E74" s="31"/>
      <c r="F74" s="30"/>
      <c r="G74" s="30"/>
      <c r="H74" s="34" t="str">
        <f aca="false">IF(D74="","",IFERROR(INDEX(Categorias!$D$6:$D$45,MATCH(D74,Categorias!$B$6:$B$45,0))&amp;"",""))</f>
        <v/>
      </c>
      <c r="I74" s="35"/>
      <c r="J74" s="35"/>
      <c r="K74" s="35"/>
      <c r="L74" s="36" t="str">
        <f aca="false">IF(OR(H74="",COUNTIF(I74:K74,"S")+COUNTIF(I74:K74,"N")&lt;3),"",COUNTIF(I74:K74,"S")*IF(H74="S",5,IF(H74="M",4,IF(H74="E",3,2))))</f>
        <v/>
      </c>
      <c r="M74" s="37" t="str">
        <f aca="false">IF(L74="","",IF(L74&gt;=12,"Executar",IF(L74&gt;=8,"Executar com controle",IF(L74&gt;=5,"Postergar","Cancelar"))))</f>
        <v/>
      </c>
      <c r="O74" s="28" t="str">
        <f aca="false">IF(D74="","",IFERROR(INDEX(Categorias!$C$6:$C$45,MATCH(D74,Categorias!$B$6:$B$45,0)),"Sem grupo"))</f>
        <v/>
      </c>
      <c r="P74" s="38" t="str">
        <f aca="false">IF(B74="","",DATE(YEAR(B74),MONTH(B74),1))</f>
        <v/>
      </c>
    </row>
    <row r="75" customFormat="false" ht="15" hidden="false" customHeight="false" outlineLevel="0" collapsed="false">
      <c r="B75" s="33"/>
      <c r="C75" s="30"/>
      <c r="D75" s="30"/>
      <c r="E75" s="31"/>
      <c r="F75" s="30"/>
      <c r="G75" s="30"/>
      <c r="H75" s="34" t="str">
        <f aca="false">IF(D75="","",IFERROR(INDEX(Categorias!$D$6:$D$45,MATCH(D75,Categorias!$B$6:$B$45,0))&amp;"",""))</f>
        <v/>
      </c>
      <c r="I75" s="35"/>
      <c r="J75" s="35"/>
      <c r="K75" s="35"/>
      <c r="L75" s="36" t="str">
        <f aca="false">IF(OR(H75="",COUNTIF(I75:K75,"S")+COUNTIF(I75:K75,"N")&lt;3),"",COUNTIF(I75:K75,"S")*IF(H75="S",5,IF(H75="M",4,IF(H75="E",3,2))))</f>
        <v/>
      </c>
      <c r="M75" s="37" t="str">
        <f aca="false">IF(L75="","",IF(L75&gt;=12,"Executar",IF(L75&gt;=8,"Executar com controle",IF(L75&gt;=5,"Postergar","Cancelar"))))</f>
        <v/>
      </c>
      <c r="O75" s="28" t="str">
        <f aca="false">IF(D75="","",IFERROR(INDEX(Categorias!$C$6:$C$45,MATCH(D75,Categorias!$B$6:$B$45,0)),"Sem grupo"))</f>
        <v/>
      </c>
      <c r="P75" s="38" t="str">
        <f aca="false">IF(B75="","",DATE(YEAR(B75),MONTH(B75),1))</f>
        <v/>
      </c>
    </row>
    <row r="76" customFormat="false" ht="15" hidden="false" customHeight="false" outlineLevel="0" collapsed="false">
      <c r="B76" s="33"/>
      <c r="C76" s="30"/>
      <c r="D76" s="30"/>
      <c r="E76" s="31"/>
      <c r="F76" s="30"/>
      <c r="G76" s="30"/>
      <c r="H76" s="34" t="str">
        <f aca="false">IF(D76="","",IFERROR(INDEX(Categorias!$D$6:$D$45,MATCH(D76,Categorias!$B$6:$B$45,0))&amp;"",""))</f>
        <v/>
      </c>
      <c r="I76" s="35"/>
      <c r="J76" s="35"/>
      <c r="K76" s="35"/>
      <c r="L76" s="36" t="str">
        <f aca="false">IF(OR(H76="",COUNTIF(I76:K76,"S")+COUNTIF(I76:K76,"N")&lt;3),"",COUNTIF(I76:K76,"S")*IF(H76="S",5,IF(H76="M",4,IF(H76="E",3,2))))</f>
        <v/>
      </c>
      <c r="M76" s="37" t="str">
        <f aca="false">IF(L76="","",IF(L76&gt;=12,"Executar",IF(L76&gt;=8,"Executar com controle",IF(L76&gt;=5,"Postergar","Cancelar"))))</f>
        <v/>
      </c>
      <c r="O76" s="28" t="str">
        <f aca="false">IF(D76="","",IFERROR(INDEX(Categorias!$C$6:$C$45,MATCH(D76,Categorias!$B$6:$B$45,0)),"Sem grupo"))</f>
        <v/>
      </c>
      <c r="P76" s="38" t="str">
        <f aca="false">IF(B76="","",DATE(YEAR(B76),MONTH(B76),1))</f>
        <v/>
      </c>
    </row>
    <row r="77" customFormat="false" ht="15" hidden="false" customHeight="false" outlineLevel="0" collapsed="false">
      <c r="B77" s="33"/>
      <c r="C77" s="30"/>
      <c r="D77" s="30"/>
      <c r="E77" s="31"/>
      <c r="F77" s="30"/>
      <c r="G77" s="30"/>
      <c r="H77" s="34" t="str">
        <f aca="false">IF(D77="","",IFERROR(INDEX(Categorias!$D$6:$D$45,MATCH(D77,Categorias!$B$6:$B$45,0))&amp;"",""))</f>
        <v/>
      </c>
      <c r="I77" s="35"/>
      <c r="J77" s="35"/>
      <c r="K77" s="35"/>
      <c r="L77" s="36" t="str">
        <f aca="false">IF(OR(H77="",COUNTIF(I77:K77,"S")+COUNTIF(I77:K77,"N")&lt;3),"",COUNTIF(I77:K77,"S")*IF(H77="S",5,IF(H77="M",4,IF(H77="E",3,2))))</f>
        <v/>
      </c>
      <c r="M77" s="37" t="str">
        <f aca="false">IF(L77="","",IF(L77&gt;=12,"Executar",IF(L77&gt;=8,"Executar com controle",IF(L77&gt;=5,"Postergar","Cancelar"))))</f>
        <v/>
      </c>
      <c r="O77" s="28" t="str">
        <f aca="false">IF(D77="","",IFERROR(INDEX(Categorias!$C$6:$C$45,MATCH(D77,Categorias!$B$6:$B$45,0)),"Sem grupo"))</f>
        <v/>
      </c>
      <c r="P77" s="38" t="str">
        <f aca="false">IF(B77="","",DATE(YEAR(B77),MONTH(B77),1))</f>
        <v/>
      </c>
    </row>
    <row r="78" customFormat="false" ht="15" hidden="false" customHeight="false" outlineLevel="0" collapsed="false">
      <c r="B78" s="33"/>
      <c r="C78" s="30"/>
      <c r="D78" s="30"/>
      <c r="E78" s="31"/>
      <c r="F78" s="30"/>
      <c r="G78" s="30"/>
      <c r="H78" s="34" t="str">
        <f aca="false">IF(D78="","",IFERROR(INDEX(Categorias!$D$6:$D$45,MATCH(D78,Categorias!$B$6:$B$45,0))&amp;"",""))</f>
        <v/>
      </c>
      <c r="I78" s="35"/>
      <c r="J78" s="35"/>
      <c r="K78" s="35"/>
      <c r="L78" s="36" t="str">
        <f aca="false">IF(OR(H78="",COUNTIF(I78:K78,"S")+COUNTIF(I78:K78,"N")&lt;3),"",COUNTIF(I78:K78,"S")*IF(H78="S",5,IF(H78="M",4,IF(H78="E",3,2))))</f>
        <v/>
      </c>
      <c r="M78" s="37" t="str">
        <f aca="false">IF(L78="","",IF(L78&gt;=12,"Executar",IF(L78&gt;=8,"Executar com controle",IF(L78&gt;=5,"Postergar","Cancelar"))))</f>
        <v/>
      </c>
      <c r="O78" s="28" t="str">
        <f aca="false">IF(D78="","",IFERROR(INDEX(Categorias!$C$6:$C$45,MATCH(D78,Categorias!$B$6:$B$45,0)),"Sem grupo"))</f>
        <v/>
      </c>
      <c r="P78" s="38" t="str">
        <f aca="false">IF(B78="","",DATE(YEAR(B78),MONTH(B78),1))</f>
        <v/>
      </c>
    </row>
    <row r="79" customFormat="false" ht="15" hidden="false" customHeight="false" outlineLevel="0" collapsed="false">
      <c r="B79" s="33"/>
      <c r="C79" s="30"/>
      <c r="D79" s="30"/>
      <c r="E79" s="31"/>
      <c r="F79" s="30"/>
      <c r="G79" s="30"/>
      <c r="H79" s="34" t="str">
        <f aca="false">IF(D79="","",IFERROR(INDEX(Categorias!$D$6:$D$45,MATCH(D79,Categorias!$B$6:$B$45,0))&amp;"",""))</f>
        <v/>
      </c>
      <c r="I79" s="35"/>
      <c r="J79" s="35"/>
      <c r="K79" s="35"/>
      <c r="L79" s="36" t="str">
        <f aca="false">IF(OR(H79="",COUNTIF(I79:K79,"S")+COUNTIF(I79:K79,"N")&lt;3),"",COUNTIF(I79:K79,"S")*IF(H79="S",5,IF(H79="M",4,IF(H79="E",3,2))))</f>
        <v/>
      </c>
      <c r="M79" s="37" t="str">
        <f aca="false">IF(L79="","",IF(L79&gt;=12,"Executar",IF(L79&gt;=8,"Executar com controle",IF(L79&gt;=5,"Postergar","Cancelar"))))</f>
        <v/>
      </c>
      <c r="O79" s="28" t="str">
        <f aca="false">IF(D79="","",IFERROR(INDEX(Categorias!$C$6:$C$45,MATCH(D79,Categorias!$B$6:$B$45,0)),"Sem grupo"))</f>
        <v/>
      </c>
      <c r="P79" s="38" t="str">
        <f aca="false">IF(B79="","",DATE(YEAR(B79),MONTH(B79),1))</f>
        <v/>
      </c>
    </row>
    <row r="80" customFormat="false" ht="15" hidden="false" customHeight="false" outlineLevel="0" collapsed="false">
      <c r="B80" s="33"/>
      <c r="C80" s="30"/>
      <c r="D80" s="30"/>
      <c r="E80" s="31"/>
      <c r="F80" s="30"/>
      <c r="G80" s="30"/>
      <c r="H80" s="34" t="str">
        <f aca="false">IF(D80="","",IFERROR(INDEX(Categorias!$D$6:$D$45,MATCH(D80,Categorias!$B$6:$B$45,0))&amp;"",""))</f>
        <v/>
      </c>
      <c r="I80" s="35"/>
      <c r="J80" s="35"/>
      <c r="K80" s="35"/>
      <c r="L80" s="36" t="str">
        <f aca="false">IF(OR(H80="",COUNTIF(I80:K80,"S")+COUNTIF(I80:K80,"N")&lt;3),"",COUNTIF(I80:K80,"S")*IF(H80="S",5,IF(H80="M",4,IF(H80="E",3,2))))</f>
        <v/>
      </c>
      <c r="M80" s="37" t="str">
        <f aca="false">IF(L80="","",IF(L80&gt;=12,"Executar",IF(L80&gt;=8,"Executar com controle",IF(L80&gt;=5,"Postergar","Cancelar"))))</f>
        <v/>
      </c>
      <c r="O80" s="28" t="str">
        <f aca="false">IF(D80="","",IFERROR(INDEX(Categorias!$C$6:$C$45,MATCH(D80,Categorias!$B$6:$B$45,0)),"Sem grupo"))</f>
        <v/>
      </c>
      <c r="P80" s="38" t="str">
        <f aca="false">IF(B80="","",DATE(YEAR(B80),MONTH(B80),1))</f>
        <v/>
      </c>
    </row>
    <row r="81" customFormat="false" ht="15" hidden="false" customHeight="false" outlineLevel="0" collapsed="false">
      <c r="B81" s="33"/>
      <c r="C81" s="30"/>
      <c r="D81" s="30"/>
      <c r="E81" s="31"/>
      <c r="F81" s="30"/>
      <c r="G81" s="30"/>
      <c r="H81" s="34" t="str">
        <f aca="false">IF(D81="","",IFERROR(INDEX(Categorias!$D$6:$D$45,MATCH(D81,Categorias!$B$6:$B$45,0))&amp;"",""))</f>
        <v/>
      </c>
      <c r="I81" s="35"/>
      <c r="J81" s="35"/>
      <c r="K81" s="35"/>
      <c r="L81" s="36" t="str">
        <f aca="false">IF(OR(H81="",COUNTIF(I81:K81,"S")+COUNTIF(I81:K81,"N")&lt;3),"",COUNTIF(I81:K81,"S")*IF(H81="S",5,IF(H81="M",4,IF(H81="E",3,2))))</f>
        <v/>
      </c>
      <c r="M81" s="37" t="str">
        <f aca="false">IF(L81="","",IF(L81&gt;=12,"Executar",IF(L81&gt;=8,"Executar com controle",IF(L81&gt;=5,"Postergar","Cancelar"))))</f>
        <v/>
      </c>
      <c r="O81" s="28" t="str">
        <f aca="false">IF(D81="","",IFERROR(INDEX(Categorias!$C$6:$C$45,MATCH(D81,Categorias!$B$6:$B$45,0)),"Sem grupo"))</f>
        <v/>
      </c>
      <c r="P81" s="38" t="str">
        <f aca="false">IF(B81="","",DATE(YEAR(B81),MONTH(B81),1))</f>
        <v/>
      </c>
    </row>
    <row r="82" customFormat="false" ht="15" hidden="false" customHeight="false" outlineLevel="0" collapsed="false">
      <c r="B82" s="33"/>
      <c r="C82" s="30"/>
      <c r="D82" s="30"/>
      <c r="E82" s="31"/>
      <c r="F82" s="30"/>
      <c r="G82" s="30"/>
      <c r="H82" s="34" t="str">
        <f aca="false">IF(D82="","",IFERROR(INDEX(Categorias!$D$6:$D$45,MATCH(D82,Categorias!$B$6:$B$45,0))&amp;"",""))</f>
        <v/>
      </c>
      <c r="I82" s="35"/>
      <c r="J82" s="35"/>
      <c r="K82" s="35"/>
      <c r="L82" s="36" t="str">
        <f aca="false">IF(OR(H82="",COUNTIF(I82:K82,"S")+COUNTIF(I82:K82,"N")&lt;3),"",COUNTIF(I82:K82,"S")*IF(H82="S",5,IF(H82="M",4,IF(H82="E",3,2))))</f>
        <v/>
      </c>
      <c r="M82" s="37" t="str">
        <f aca="false">IF(L82="","",IF(L82&gt;=12,"Executar",IF(L82&gt;=8,"Executar com controle",IF(L82&gt;=5,"Postergar","Cancelar"))))</f>
        <v/>
      </c>
      <c r="O82" s="28" t="str">
        <f aca="false">IF(D82="","",IFERROR(INDEX(Categorias!$C$6:$C$45,MATCH(D82,Categorias!$B$6:$B$45,0)),"Sem grupo"))</f>
        <v/>
      </c>
      <c r="P82" s="38" t="str">
        <f aca="false">IF(B82="","",DATE(YEAR(B82),MONTH(B82),1))</f>
        <v/>
      </c>
    </row>
    <row r="83" customFormat="false" ht="15" hidden="false" customHeight="false" outlineLevel="0" collapsed="false">
      <c r="B83" s="33"/>
      <c r="C83" s="30"/>
      <c r="D83" s="30"/>
      <c r="E83" s="31"/>
      <c r="F83" s="30"/>
      <c r="G83" s="30"/>
      <c r="H83" s="34" t="str">
        <f aca="false">IF(D83="","",IFERROR(INDEX(Categorias!$D$6:$D$45,MATCH(D83,Categorias!$B$6:$B$45,0))&amp;"",""))</f>
        <v/>
      </c>
      <c r="I83" s="35"/>
      <c r="J83" s="35"/>
      <c r="K83" s="35"/>
      <c r="L83" s="36" t="str">
        <f aca="false">IF(OR(H83="",COUNTIF(I83:K83,"S")+COUNTIF(I83:K83,"N")&lt;3),"",COUNTIF(I83:K83,"S")*IF(H83="S",5,IF(H83="M",4,IF(H83="E",3,2))))</f>
        <v/>
      </c>
      <c r="M83" s="37" t="str">
        <f aca="false">IF(L83="","",IF(L83&gt;=12,"Executar",IF(L83&gt;=8,"Executar com controle",IF(L83&gt;=5,"Postergar","Cancelar"))))</f>
        <v/>
      </c>
      <c r="O83" s="28" t="str">
        <f aca="false">IF(D83="","",IFERROR(INDEX(Categorias!$C$6:$C$45,MATCH(D83,Categorias!$B$6:$B$45,0)),"Sem grupo"))</f>
        <v/>
      </c>
      <c r="P83" s="38" t="str">
        <f aca="false">IF(B83="","",DATE(YEAR(B83),MONTH(B83),1))</f>
        <v/>
      </c>
    </row>
    <row r="84" customFormat="false" ht="15" hidden="false" customHeight="false" outlineLevel="0" collapsed="false">
      <c r="B84" s="33"/>
      <c r="C84" s="30"/>
      <c r="D84" s="30"/>
      <c r="E84" s="31"/>
      <c r="F84" s="30"/>
      <c r="G84" s="30"/>
      <c r="H84" s="34" t="str">
        <f aca="false">IF(D84="","",IFERROR(INDEX(Categorias!$D$6:$D$45,MATCH(D84,Categorias!$B$6:$B$45,0))&amp;"",""))</f>
        <v/>
      </c>
      <c r="I84" s="35"/>
      <c r="J84" s="35"/>
      <c r="K84" s="35"/>
      <c r="L84" s="36" t="str">
        <f aca="false">IF(OR(H84="",COUNTIF(I84:K84,"S")+COUNTIF(I84:K84,"N")&lt;3),"",COUNTIF(I84:K84,"S")*IF(H84="S",5,IF(H84="M",4,IF(H84="E",3,2))))</f>
        <v/>
      </c>
      <c r="M84" s="37" t="str">
        <f aca="false">IF(L84="","",IF(L84&gt;=12,"Executar",IF(L84&gt;=8,"Executar com controle",IF(L84&gt;=5,"Postergar","Cancelar"))))</f>
        <v/>
      </c>
      <c r="O84" s="28" t="str">
        <f aca="false">IF(D84="","",IFERROR(INDEX(Categorias!$C$6:$C$45,MATCH(D84,Categorias!$B$6:$B$45,0)),"Sem grupo"))</f>
        <v/>
      </c>
      <c r="P84" s="38" t="str">
        <f aca="false">IF(B84="","",DATE(YEAR(B84),MONTH(B84),1))</f>
        <v/>
      </c>
    </row>
    <row r="85" customFormat="false" ht="15" hidden="false" customHeight="false" outlineLevel="0" collapsed="false">
      <c r="B85" s="33"/>
      <c r="C85" s="30"/>
      <c r="D85" s="30"/>
      <c r="E85" s="31"/>
      <c r="F85" s="30"/>
      <c r="G85" s="30"/>
      <c r="H85" s="34" t="str">
        <f aca="false">IF(D85="","",IFERROR(INDEX(Categorias!$D$6:$D$45,MATCH(D85,Categorias!$B$6:$B$45,0))&amp;"",""))</f>
        <v/>
      </c>
      <c r="I85" s="35"/>
      <c r="J85" s="35"/>
      <c r="K85" s="35"/>
      <c r="L85" s="36" t="str">
        <f aca="false">IF(OR(H85="",COUNTIF(I85:K85,"S")+COUNTIF(I85:K85,"N")&lt;3),"",COUNTIF(I85:K85,"S")*IF(H85="S",5,IF(H85="M",4,IF(H85="E",3,2))))</f>
        <v/>
      </c>
      <c r="M85" s="37" t="str">
        <f aca="false">IF(L85="","",IF(L85&gt;=12,"Executar",IF(L85&gt;=8,"Executar com controle",IF(L85&gt;=5,"Postergar","Cancelar"))))</f>
        <v/>
      </c>
      <c r="O85" s="28" t="str">
        <f aca="false">IF(D85="","",IFERROR(INDEX(Categorias!$C$6:$C$45,MATCH(D85,Categorias!$B$6:$B$45,0)),"Sem grupo"))</f>
        <v/>
      </c>
      <c r="P85" s="38" t="str">
        <f aca="false">IF(B85="","",DATE(YEAR(B85),MONTH(B85),1))</f>
        <v/>
      </c>
    </row>
    <row r="86" customFormat="false" ht="15" hidden="false" customHeight="false" outlineLevel="0" collapsed="false">
      <c r="B86" s="33"/>
      <c r="C86" s="30"/>
      <c r="D86" s="30"/>
      <c r="E86" s="31"/>
      <c r="F86" s="30"/>
      <c r="G86" s="30"/>
      <c r="H86" s="34" t="str">
        <f aca="false">IF(D86="","",IFERROR(INDEX(Categorias!$D$6:$D$45,MATCH(D86,Categorias!$B$6:$B$45,0))&amp;"",""))</f>
        <v/>
      </c>
      <c r="I86" s="35"/>
      <c r="J86" s="35"/>
      <c r="K86" s="35"/>
      <c r="L86" s="36" t="str">
        <f aca="false">IF(OR(H86="",COUNTIF(I86:K86,"S")+COUNTIF(I86:K86,"N")&lt;3),"",COUNTIF(I86:K86,"S")*IF(H86="S",5,IF(H86="M",4,IF(H86="E",3,2))))</f>
        <v/>
      </c>
      <c r="M86" s="37" t="str">
        <f aca="false">IF(L86="","",IF(L86&gt;=12,"Executar",IF(L86&gt;=8,"Executar com controle",IF(L86&gt;=5,"Postergar","Cancelar"))))</f>
        <v/>
      </c>
      <c r="O86" s="28" t="str">
        <f aca="false">IF(D86="","",IFERROR(INDEX(Categorias!$C$6:$C$45,MATCH(D86,Categorias!$B$6:$B$45,0)),"Sem grupo"))</f>
        <v/>
      </c>
      <c r="P86" s="38" t="str">
        <f aca="false">IF(B86="","",DATE(YEAR(B86),MONTH(B86),1))</f>
        <v/>
      </c>
    </row>
    <row r="87" customFormat="false" ht="15" hidden="false" customHeight="false" outlineLevel="0" collapsed="false">
      <c r="B87" s="33"/>
      <c r="C87" s="30"/>
      <c r="D87" s="30"/>
      <c r="E87" s="31"/>
      <c r="F87" s="30"/>
      <c r="G87" s="30"/>
      <c r="H87" s="34" t="str">
        <f aca="false">IF(D87="","",IFERROR(INDEX(Categorias!$D$6:$D$45,MATCH(D87,Categorias!$B$6:$B$45,0))&amp;"",""))</f>
        <v/>
      </c>
      <c r="I87" s="35"/>
      <c r="J87" s="35"/>
      <c r="K87" s="35"/>
      <c r="L87" s="36" t="str">
        <f aca="false">IF(OR(H87="",COUNTIF(I87:K87,"S")+COUNTIF(I87:K87,"N")&lt;3),"",COUNTIF(I87:K87,"S")*IF(H87="S",5,IF(H87="M",4,IF(H87="E",3,2))))</f>
        <v/>
      </c>
      <c r="M87" s="37" t="str">
        <f aca="false">IF(L87="","",IF(L87&gt;=12,"Executar",IF(L87&gt;=8,"Executar com controle",IF(L87&gt;=5,"Postergar","Cancelar"))))</f>
        <v/>
      </c>
      <c r="O87" s="28" t="str">
        <f aca="false">IF(D87="","",IFERROR(INDEX(Categorias!$C$6:$C$45,MATCH(D87,Categorias!$B$6:$B$45,0)),"Sem grupo"))</f>
        <v/>
      </c>
      <c r="P87" s="38" t="str">
        <f aca="false">IF(B87="","",DATE(YEAR(B87),MONTH(B87),1))</f>
        <v/>
      </c>
    </row>
    <row r="88" customFormat="false" ht="15" hidden="false" customHeight="false" outlineLevel="0" collapsed="false">
      <c r="B88" s="33"/>
      <c r="C88" s="30"/>
      <c r="D88" s="30"/>
      <c r="E88" s="31"/>
      <c r="F88" s="30"/>
      <c r="G88" s="30"/>
      <c r="H88" s="34" t="str">
        <f aca="false">IF(D88="","",IFERROR(INDEX(Categorias!$D$6:$D$45,MATCH(D88,Categorias!$B$6:$B$45,0))&amp;"",""))</f>
        <v/>
      </c>
      <c r="I88" s="35"/>
      <c r="J88" s="35"/>
      <c r="K88" s="35"/>
      <c r="L88" s="36" t="str">
        <f aca="false">IF(OR(H88="",COUNTIF(I88:K88,"S")+COUNTIF(I88:K88,"N")&lt;3),"",COUNTIF(I88:K88,"S")*IF(H88="S",5,IF(H88="M",4,IF(H88="E",3,2))))</f>
        <v/>
      </c>
      <c r="M88" s="37" t="str">
        <f aca="false">IF(L88="","",IF(L88&gt;=12,"Executar",IF(L88&gt;=8,"Executar com controle",IF(L88&gt;=5,"Postergar","Cancelar"))))</f>
        <v/>
      </c>
      <c r="O88" s="28" t="str">
        <f aca="false">IF(D88="","",IFERROR(INDEX(Categorias!$C$6:$C$45,MATCH(D88,Categorias!$B$6:$B$45,0)),"Sem grupo"))</f>
        <v/>
      </c>
      <c r="P88" s="38" t="str">
        <f aca="false">IF(B88="","",DATE(YEAR(B88),MONTH(B88),1))</f>
        <v/>
      </c>
    </row>
    <row r="89" customFormat="false" ht="15" hidden="false" customHeight="false" outlineLevel="0" collapsed="false">
      <c r="B89" s="33"/>
      <c r="C89" s="30"/>
      <c r="D89" s="30"/>
      <c r="E89" s="31"/>
      <c r="F89" s="30"/>
      <c r="G89" s="30"/>
      <c r="H89" s="34" t="str">
        <f aca="false">IF(D89="","",IFERROR(INDEX(Categorias!$D$6:$D$45,MATCH(D89,Categorias!$B$6:$B$45,0))&amp;"",""))</f>
        <v/>
      </c>
      <c r="I89" s="35"/>
      <c r="J89" s="35"/>
      <c r="K89" s="35"/>
      <c r="L89" s="36" t="str">
        <f aca="false">IF(OR(H89="",COUNTIF(I89:K89,"S")+COUNTIF(I89:K89,"N")&lt;3),"",COUNTIF(I89:K89,"S")*IF(H89="S",5,IF(H89="M",4,IF(H89="E",3,2))))</f>
        <v/>
      </c>
      <c r="M89" s="37" t="str">
        <f aca="false">IF(L89="","",IF(L89&gt;=12,"Executar",IF(L89&gt;=8,"Executar com controle",IF(L89&gt;=5,"Postergar","Cancelar"))))</f>
        <v/>
      </c>
      <c r="O89" s="28" t="str">
        <f aca="false">IF(D89="","",IFERROR(INDEX(Categorias!$C$6:$C$45,MATCH(D89,Categorias!$B$6:$B$45,0)),"Sem grupo"))</f>
        <v/>
      </c>
      <c r="P89" s="38" t="str">
        <f aca="false">IF(B89="","",DATE(YEAR(B89),MONTH(B89),1))</f>
        <v/>
      </c>
    </row>
    <row r="90" customFormat="false" ht="15" hidden="false" customHeight="false" outlineLevel="0" collapsed="false">
      <c r="B90" s="33"/>
      <c r="C90" s="30"/>
      <c r="D90" s="30"/>
      <c r="E90" s="31"/>
      <c r="F90" s="30"/>
      <c r="G90" s="30"/>
      <c r="H90" s="34" t="str">
        <f aca="false">IF(D90="","",IFERROR(INDEX(Categorias!$D$6:$D$45,MATCH(D90,Categorias!$B$6:$B$45,0))&amp;"",""))</f>
        <v/>
      </c>
      <c r="I90" s="35"/>
      <c r="J90" s="35"/>
      <c r="K90" s="35"/>
      <c r="L90" s="36" t="str">
        <f aca="false">IF(OR(H90="",COUNTIF(I90:K90,"S")+COUNTIF(I90:K90,"N")&lt;3),"",COUNTIF(I90:K90,"S")*IF(H90="S",5,IF(H90="M",4,IF(H90="E",3,2))))</f>
        <v/>
      </c>
      <c r="M90" s="37" t="str">
        <f aca="false">IF(L90="","",IF(L90&gt;=12,"Executar",IF(L90&gt;=8,"Executar com controle",IF(L90&gt;=5,"Postergar","Cancelar"))))</f>
        <v/>
      </c>
      <c r="O90" s="28" t="str">
        <f aca="false">IF(D90="","",IFERROR(INDEX(Categorias!$C$6:$C$45,MATCH(D90,Categorias!$B$6:$B$45,0)),"Sem grupo"))</f>
        <v/>
      </c>
      <c r="P90" s="38" t="str">
        <f aca="false">IF(B90="","",DATE(YEAR(B90),MONTH(B90),1))</f>
        <v/>
      </c>
    </row>
    <row r="91" customFormat="false" ht="15" hidden="false" customHeight="false" outlineLevel="0" collapsed="false">
      <c r="B91" s="33"/>
      <c r="C91" s="30"/>
      <c r="D91" s="30"/>
      <c r="E91" s="31"/>
      <c r="F91" s="30"/>
      <c r="G91" s="30"/>
      <c r="H91" s="34" t="str">
        <f aca="false">IF(D91="","",IFERROR(INDEX(Categorias!$D$6:$D$45,MATCH(D91,Categorias!$B$6:$B$45,0))&amp;"",""))</f>
        <v/>
      </c>
      <c r="I91" s="35"/>
      <c r="J91" s="35"/>
      <c r="K91" s="35"/>
      <c r="L91" s="36" t="str">
        <f aca="false">IF(OR(H91="",COUNTIF(I91:K91,"S")+COUNTIF(I91:K91,"N")&lt;3),"",COUNTIF(I91:K91,"S")*IF(H91="S",5,IF(H91="M",4,IF(H91="E",3,2))))</f>
        <v/>
      </c>
      <c r="M91" s="37" t="str">
        <f aca="false">IF(L91="","",IF(L91&gt;=12,"Executar",IF(L91&gt;=8,"Executar com controle",IF(L91&gt;=5,"Postergar","Cancelar"))))</f>
        <v/>
      </c>
      <c r="O91" s="28" t="str">
        <f aca="false">IF(D91="","",IFERROR(INDEX(Categorias!$C$6:$C$45,MATCH(D91,Categorias!$B$6:$B$45,0)),"Sem grupo"))</f>
        <v/>
      </c>
      <c r="P91" s="38" t="str">
        <f aca="false">IF(B91="","",DATE(YEAR(B91),MONTH(B91),1))</f>
        <v/>
      </c>
    </row>
    <row r="92" customFormat="false" ht="15" hidden="false" customHeight="false" outlineLevel="0" collapsed="false">
      <c r="B92" s="33"/>
      <c r="C92" s="30"/>
      <c r="D92" s="30"/>
      <c r="E92" s="31"/>
      <c r="F92" s="30"/>
      <c r="G92" s="30"/>
      <c r="H92" s="34" t="str">
        <f aca="false">IF(D92="","",IFERROR(INDEX(Categorias!$D$6:$D$45,MATCH(D92,Categorias!$B$6:$B$45,0))&amp;"",""))</f>
        <v/>
      </c>
      <c r="I92" s="35"/>
      <c r="J92" s="35"/>
      <c r="K92" s="35"/>
      <c r="L92" s="36" t="str">
        <f aca="false">IF(OR(H92="",COUNTIF(I92:K92,"S")+COUNTIF(I92:K92,"N")&lt;3),"",COUNTIF(I92:K92,"S")*IF(H92="S",5,IF(H92="M",4,IF(H92="E",3,2))))</f>
        <v/>
      </c>
      <c r="M92" s="37" t="str">
        <f aca="false">IF(L92="","",IF(L92&gt;=12,"Executar",IF(L92&gt;=8,"Executar com controle",IF(L92&gt;=5,"Postergar","Cancelar"))))</f>
        <v/>
      </c>
      <c r="O92" s="28" t="str">
        <f aca="false">IF(D92="","",IFERROR(INDEX(Categorias!$C$6:$C$45,MATCH(D92,Categorias!$B$6:$B$45,0)),"Sem grupo"))</f>
        <v/>
      </c>
      <c r="P92" s="38" t="str">
        <f aca="false">IF(B92="","",DATE(YEAR(B92),MONTH(B92),1))</f>
        <v/>
      </c>
    </row>
    <row r="93" customFormat="false" ht="15" hidden="false" customHeight="false" outlineLevel="0" collapsed="false">
      <c r="B93" s="33"/>
      <c r="C93" s="30"/>
      <c r="D93" s="30"/>
      <c r="E93" s="31"/>
      <c r="F93" s="30"/>
      <c r="G93" s="30"/>
      <c r="H93" s="34" t="str">
        <f aca="false">IF(D93="","",IFERROR(INDEX(Categorias!$D$6:$D$45,MATCH(D93,Categorias!$B$6:$B$45,0))&amp;"",""))</f>
        <v/>
      </c>
      <c r="I93" s="35"/>
      <c r="J93" s="35"/>
      <c r="K93" s="35"/>
      <c r="L93" s="36" t="str">
        <f aca="false">IF(OR(H93="",COUNTIF(I93:K93,"S")+COUNTIF(I93:K93,"N")&lt;3),"",COUNTIF(I93:K93,"S")*IF(H93="S",5,IF(H93="M",4,IF(H93="E",3,2))))</f>
        <v/>
      </c>
      <c r="M93" s="37" t="str">
        <f aca="false">IF(L93="","",IF(L93&gt;=12,"Executar",IF(L93&gt;=8,"Executar com controle",IF(L93&gt;=5,"Postergar","Cancelar"))))</f>
        <v/>
      </c>
      <c r="O93" s="28" t="str">
        <f aca="false">IF(D93="","",IFERROR(INDEX(Categorias!$C$6:$C$45,MATCH(D93,Categorias!$B$6:$B$45,0)),"Sem grupo"))</f>
        <v/>
      </c>
      <c r="P93" s="38" t="str">
        <f aca="false">IF(B93="","",DATE(YEAR(B93),MONTH(B93),1))</f>
        <v/>
      </c>
    </row>
    <row r="94" customFormat="false" ht="15" hidden="false" customHeight="false" outlineLevel="0" collapsed="false">
      <c r="B94" s="33"/>
      <c r="C94" s="30"/>
      <c r="D94" s="30"/>
      <c r="E94" s="31"/>
      <c r="F94" s="30"/>
      <c r="G94" s="30"/>
      <c r="H94" s="34" t="str">
        <f aca="false">IF(D94="","",IFERROR(INDEX(Categorias!$D$6:$D$45,MATCH(D94,Categorias!$B$6:$B$45,0))&amp;"",""))</f>
        <v/>
      </c>
      <c r="I94" s="35"/>
      <c r="J94" s="35"/>
      <c r="K94" s="35"/>
      <c r="L94" s="36" t="str">
        <f aca="false">IF(OR(H94="",COUNTIF(I94:K94,"S")+COUNTIF(I94:K94,"N")&lt;3),"",COUNTIF(I94:K94,"S")*IF(H94="S",5,IF(H94="M",4,IF(H94="E",3,2))))</f>
        <v/>
      </c>
      <c r="M94" s="37" t="str">
        <f aca="false">IF(L94="","",IF(L94&gt;=12,"Executar",IF(L94&gt;=8,"Executar com controle",IF(L94&gt;=5,"Postergar","Cancelar"))))</f>
        <v/>
      </c>
      <c r="O94" s="28" t="str">
        <f aca="false">IF(D94="","",IFERROR(INDEX(Categorias!$C$6:$C$45,MATCH(D94,Categorias!$B$6:$B$45,0)),"Sem grupo"))</f>
        <v/>
      </c>
      <c r="P94" s="38" t="str">
        <f aca="false">IF(B94="","",DATE(YEAR(B94),MONTH(B94),1))</f>
        <v/>
      </c>
    </row>
    <row r="95" customFormat="false" ht="15" hidden="false" customHeight="false" outlineLevel="0" collapsed="false">
      <c r="B95" s="33"/>
      <c r="C95" s="30"/>
      <c r="D95" s="30"/>
      <c r="E95" s="31"/>
      <c r="F95" s="30"/>
      <c r="G95" s="30"/>
      <c r="H95" s="34" t="str">
        <f aca="false">IF(D95="","",IFERROR(INDEX(Categorias!$D$6:$D$45,MATCH(D95,Categorias!$B$6:$B$45,0))&amp;"",""))</f>
        <v/>
      </c>
      <c r="I95" s="35"/>
      <c r="J95" s="35"/>
      <c r="K95" s="35"/>
      <c r="L95" s="36" t="str">
        <f aca="false">IF(OR(H95="",COUNTIF(I95:K95,"S")+COUNTIF(I95:K95,"N")&lt;3),"",COUNTIF(I95:K95,"S")*IF(H95="S",5,IF(H95="M",4,IF(H95="E",3,2))))</f>
        <v/>
      </c>
      <c r="M95" s="37" t="str">
        <f aca="false">IF(L95="","",IF(L95&gt;=12,"Executar",IF(L95&gt;=8,"Executar com controle",IF(L95&gt;=5,"Postergar","Cancelar"))))</f>
        <v/>
      </c>
      <c r="O95" s="28" t="str">
        <f aca="false">IF(D95="","",IFERROR(INDEX(Categorias!$C$6:$C$45,MATCH(D95,Categorias!$B$6:$B$45,0)),"Sem grupo"))</f>
        <v/>
      </c>
      <c r="P95" s="38" t="str">
        <f aca="false">IF(B95="","",DATE(YEAR(B95),MONTH(B95),1))</f>
        <v/>
      </c>
    </row>
    <row r="96" customFormat="false" ht="15" hidden="false" customHeight="false" outlineLevel="0" collapsed="false">
      <c r="B96" s="33"/>
      <c r="C96" s="30"/>
      <c r="D96" s="30"/>
      <c r="E96" s="31"/>
      <c r="F96" s="30"/>
      <c r="G96" s="30"/>
      <c r="H96" s="34" t="str">
        <f aca="false">IF(D96="","",IFERROR(INDEX(Categorias!$D$6:$D$45,MATCH(D96,Categorias!$B$6:$B$45,0))&amp;"",""))</f>
        <v/>
      </c>
      <c r="I96" s="35"/>
      <c r="J96" s="35"/>
      <c r="K96" s="35"/>
      <c r="L96" s="36" t="str">
        <f aca="false">IF(OR(H96="",COUNTIF(I96:K96,"S")+COUNTIF(I96:K96,"N")&lt;3),"",COUNTIF(I96:K96,"S")*IF(H96="S",5,IF(H96="M",4,IF(H96="E",3,2))))</f>
        <v/>
      </c>
      <c r="M96" s="37" t="str">
        <f aca="false">IF(L96="","",IF(L96&gt;=12,"Executar",IF(L96&gt;=8,"Executar com controle",IF(L96&gt;=5,"Postergar","Cancelar"))))</f>
        <v/>
      </c>
      <c r="O96" s="28" t="str">
        <f aca="false">IF(D96="","",IFERROR(INDEX(Categorias!$C$6:$C$45,MATCH(D96,Categorias!$B$6:$B$45,0)),"Sem grupo"))</f>
        <v/>
      </c>
      <c r="P96" s="38" t="str">
        <f aca="false">IF(B96="","",DATE(YEAR(B96),MONTH(B96),1))</f>
        <v/>
      </c>
    </row>
    <row r="97" customFormat="false" ht="15" hidden="false" customHeight="false" outlineLevel="0" collapsed="false">
      <c r="B97" s="33"/>
      <c r="C97" s="30"/>
      <c r="D97" s="30"/>
      <c r="E97" s="31"/>
      <c r="F97" s="30"/>
      <c r="G97" s="30"/>
      <c r="H97" s="34" t="str">
        <f aca="false">IF(D97="","",IFERROR(INDEX(Categorias!$D$6:$D$45,MATCH(D97,Categorias!$B$6:$B$45,0))&amp;"",""))</f>
        <v/>
      </c>
      <c r="I97" s="35"/>
      <c r="J97" s="35"/>
      <c r="K97" s="35"/>
      <c r="L97" s="36" t="str">
        <f aca="false">IF(OR(H97="",COUNTIF(I97:K97,"S")+COUNTIF(I97:K97,"N")&lt;3),"",COUNTIF(I97:K97,"S")*IF(H97="S",5,IF(H97="M",4,IF(H97="E",3,2))))</f>
        <v/>
      </c>
      <c r="M97" s="37" t="str">
        <f aca="false">IF(L97="","",IF(L97&gt;=12,"Executar",IF(L97&gt;=8,"Executar com controle",IF(L97&gt;=5,"Postergar","Cancelar"))))</f>
        <v/>
      </c>
      <c r="O97" s="28" t="str">
        <f aca="false">IF(D97="","",IFERROR(INDEX(Categorias!$C$6:$C$45,MATCH(D97,Categorias!$B$6:$B$45,0)),"Sem grupo"))</f>
        <v/>
      </c>
      <c r="P97" s="38" t="str">
        <f aca="false">IF(B97="","",DATE(YEAR(B97),MONTH(B97),1))</f>
        <v/>
      </c>
    </row>
    <row r="98" customFormat="false" ht="15" hidden="false" customHeight="false" outlineLevel="0" collapsed="false">
      <c r="B98" s="33"/>
      <c r="C98" s="30"/>
      <c r="D98" s="30"/>
      <c r="E98" s="31"/>
      <c r="F98" s="30"/>
      <c r="G98" s="30"/>
      <c r="H98" s="34" t="str">
        <f aca="false">IF(D98="","",IFERROR(INDEX(Categorias!$D$6:$D$45,MATCH(D98,Categorias!$B$6:$B$45,0))&amp;"",""))</f>
        <v/>
      </c>
      <c r="I98" s="35"/>
      <c r="J98" s="35"/>
      <c r="K98" s="35"/>
      <c r="L98" s="36" t="str">
        <f aca="false">IF(OR(H98="",COUNTIF(I98:K98,"S")+COUNTIF(I98:K98,"N")&lt;3),"",COUNTIF(I98:K98,"S")*IF(H98="S",5,IF(H98="M",4,IF(H98="E",3,2))))</f>
        <v/>
      </c>
      <c r="M98" s="37" t="str">
        <f aca="false">IF(L98="","",IF(L98&gt;=12,"Executar",IF(L98&gt;=8,"Executar com controle",IF(L98&gt;=5,"Postergar","Cancelar"))))</f>
        <v/>
      </c>
      <c r="O98" s="28" t="str">
        <f aca="false">IF(D98="","",IFERROR(INDEX(Categorias!$C$6:$C$45,MATCH(D98,Categorias!$B$6:$B$45,0)),"Sem grupo"))</f>
        <v/>
      </c>
      <c r="P98" s="38" t="str">
        <f aca="false">IF(B98="","",DATE(YEAR(B98),MONTH(B98),1))</f>
        <v/>
      </c>
    </row>
    <row r="99" customFormat="false" ht="15" hidden="false" customHeight="false" outlineLevel="0" collapsed="false">
      <c r="B99" s="33"/>
      <c r="C99" s="30"/>
      <c r="D99" s="30"/>
      <c r="E99" s="31"/>
      <c r="F99" s="30"/>
      <c r="G99" s="30"/>
      <c r="H99" s="34" t="str">
        <f aca="false">IF(D99="","",IFERROR(INDEX(Categorias!$D$6:$D$45,MATCH(D99,Categorias!$B$6:$B$45,0))&amp;"",""))</f>
        <v/>
      </c>
      <c r="I99" s="35"/>
      <c r="J99" s="35"/>
      <c r="K99" s="35"/>
      <c r="L99" s="36" t="str">
        <f aca="false">IF(OR(H99="",COUNTIF(I99:K99,"S")+COUNTIF(I99:K99,"N")&lt;3),"",COUNTIF(I99:K99,"S")*IF(H99="S",5,IF(H99="M",4,IF(H99="E",3,2))))</f>
        <v/>
      </c>
      <c r="M99" s="37" t="str">
        <f aca="false">IF(L99="","",IF(L99&gt;=12,"Executar",IF(L99&gt;=8,"Executar com controle",IF(L99&gt;=5,"Postergar","Cancelar"))))</f>
        <v/>
      </c>
      <c r="O99" s="28" t="str">
        <f aca="false">IF(D99="","",IFERROR(INDEX(Categorias!$C$6:$C$45,MATCH(D99,Categorias!$B$6:$B$45,0)),"Sem grupo"))</f>
        <v/>
      </c>
      <c r="P99" s="38" t="str">
        <f aca="false">IF(B99="","",DATE(YEAR(B99),MONTH(B99),1))</f>
        <v/>
      </c>
    </row>
    <row r="100" customFormat="false" ht="15" hidden="false" customHeight="false" outlineLevel="0" collapsed="false">
      <c r="B100" s="33"/>
      <c r="C100" s="30"/>
      <c r="D100" s="30"/>
      <c r="E100" s="31"/>
      <c r="F100" s="30"/>
      <c r="G100" s="30"/>
      <c r="H100" s="34" t="str">
        <f aca="false">IF(D100="","",IFERROR(INDEX(Categorias!$D$6:$D$45,MATCH(D100,Categorias!$B$6:$B$45,0))&amp;"",""))</f>
        <v/>
      </c>
      <c r="I100" s="35"/>
      <c r="J100" s="35"/>
      <c r="K100" s="35"/>
      <c r="L100" s="36" t="str">
        <f aca="false">IF(OR(H100="",COUNTIF(I100:K100,"S")+COUNTIF(I100:K100,"N")&lt;3),"",COUNTIF(I100:K100,"S")*IF(H100="S",5,IF(H100="M",4,IF(H100="E",3,2))))</f>
        <v/>
      </c>
      <c r="M100" s="37" t="str">
        <f aca="false">IF(L100="","",IF(L100&gt;=12,"Executar",IF(L100&gt;=8,"Executar com controle",IF(L100&gt;=5,"Postergar","Cancelar"))))</f>
        <v/>
      </c>
      <c r="O100" s="28" t="str">
        <f aca="false">IF(D100="","",IFERROR(INDEX(Categorias!$C$6:$C$45,MATCH(D100,Categorias!$B$6:$B$45,0)),"Sem grupo"))</f>
        <v/>
      </c>
      <c r="P100" s="38" t="str">
        <f aca="false">IF(B100="","",DATE(YEAR(B100),MONTH(B100),1))</f>
        <v/>
      </c>
    </row>
    <row r="101" customFormat="false" ht="15" hidden="false" customHeight="false" outlineLevel="0" collapsed="false">
      <c r="B101" s="33"/>
      <c r="C101" s="30"/>
      <c r="D101" s="30"/>
      <c r="E101" s="31"/>
      <c r="F101" s="30"/>
      <c r="G101" s="30"/>
      <c r="H101" s="34" t="str">
        <f aca="false">IF(D101="","",IFERROR(INDEX(Categorias!$D$6:$D$45,MATCH(D101,Categorias!$B$6:$B$45,0))&amp;"",""))</f>
        <v/>
      </c>
      <c r="I101" s="35"/>
      <c r="J101" s="35"/>
      <c r="K101" s="35"/>
      <c r="L101" s="36" t="str">
        <f aca="false">IF(OR(H101="",COUNTIF(I101:K101,"S")+COUNTIF(I101:K101,"N")&lt;3),"",COUNTIF(I101:K101,"S")*IF(H101="S",5,IF(H101="M",4,IF(H101="E",3,2))))</f>
        <v/>
      </c>
      <c r="M101" s="37" t="str">
        <f aca="false">IF(L101="","",IF(L101&gt;=12,"Executar",IF(L101&gt;=8,"Executar com controle",IF(L101&gt;=5,"Postergar","Cancelar"))))</f>
        <v/>
      </c>
      <c r="O101" s="28" t="str">
        <f aca="false">IF(D101="","",IFERROR(INDEX(Categorias!$C$6:$C$45,MATCH(D101,Categorias!$B$6:$B$45,0)),"Sem grupo"))</f>
        <v/>
      </c>
      <c r="P101" s="38" t="str">
        <f aca="false">IF(B101="","",DATE(YEAR(B101),MONTH(B101),1))</f>
        <v/>
      </c>
    </row>
    <row r="102" customFormat="false" ht="15" hidden="false" customHeight="false" outlineLevel="0" collapsed="false">
      <c r="B102" s="33"/>
      <c r="C102" s="30"/>
      <c r="D102" s="30"/>
      <c r="E102" s="31"/>
      <c r="F102" s="30"/>
      <c r="G102" s="30"/>
      <c r="H102" s="34" t="str">
        <f aca="false">IF(D102="","",IFERROR(INDEX(Categorias!$D$6:$D$45,MATCH(D102,Categorias!$B$6:$B$45,0))&amp;"",""))</f>
        <v/>
      </c>
      <c r="I102" s="35"/>
      <c r="J102" s="35"/>
      <c r="K102" s="35"/>
      <c r="L102" s="36" t="str">
        <f aca="false">IF(OR(H102="",COUNTIF(I102:K102,"S")+COUNTIF(I102:K102,"N")&lt;3),"",COUNTIF(I102:K102,"S")*IF(H102="S",5,IF(H102="M",4,IF(H102="E",3,2))))</f>
        <v/>
      </c>
      <c r="M102" s="37" t="str">
        <f aca="false">IF(L102="","",IF(L102&gt;=12,"Executar",IF(L102&gt;=8,"Executar com controle",IF(L102&gt;=5,"Postergar","Cancelar"))))</f>
        <v/>
      </c>
      <c r="O102" s="28" t="str">
        <f aca="false">IF(D102="","",IFERROR(INDEX(Categorias!$C$6:$C$45,MATCH(D102,Categorias!$B$6:$B$45,0)),"Sem grupo"))</f>
        <v/>
      </c>
      <c r="P102" s="38" t="str">
        <f aca="false">IF(B102="","",DATE(YEAR(B102),MONTH(B102),1))</f>
        <v/>
      </c>
    </row>
    <row r="103" customFormat="false" ht="15" hidden="false" customHeight="false" outlineLevel="0" collapsed="false">
      <c r="B103" s="33"/>
      <c r="C103" s="30"/>
      <c r="D103" s="30"/>
      <c r="E103" s="31"/>
      <c r="F103" s="30"/>
      <c r="G103" s="30"/>
      <c r="H103" s="34" t="str">
        <f aca="false">IF(D103="","",IFERROR(INDEX(Categorias!$D$6:$D$45,MATCH(D103,Categorias!$B$6:$B$45,0))&amp;"",""))</f>
        <v/>
      </c>
      <c r="I103" s="35"/>
      <c r="J103" s="35"/>
      <c r="K103" s="35"/>
      <c r="L103" s="36" t="str">
        <f aca="false">IF(OR(H103="",COUNTIF(I103:K103,"S")+COUNTIF(I103:K103,"N")&lt;3),"",COUNTIF(I103:K103,"S")*IF(H103="S",5,IF(H103="M",4,IF(H103="E",3,2))))</f>
        <v/>
      </c>
      <c r="M103" s="37" t="str">
        <f aca="false">IF(L103="","",IF(L103&gt;=12,"Executar",IF(L103&gt;=8,"Executar com controle",IF(L103&gt;=5,"Postergar","Cancelar"))))</f>
        <v/>
      </c>
      <c r="O103" s="28" t="str">
        <f aca="false">IF(D103="","",IFERROR(INDEX(Categorias!$C$6:$C$45,MATCH(D103,Categorias!$B$6:$B$45,0)),"Sem grupo"))</f>
        <v/>
      </c>
      <c r="P103" s="38" t="str">
        <f aca="false">IF(B103="","",DATE(YEAR(B103),MONTH(B103),1))</f>
        <v/>
      </c>
    </row>
    <row r="104" customFormat="false" ht="15" hidden="false" customHeight="false" outlineLevel="0" collapsed="false">
      <c r="B104" s="33"/>
      <c r="C104" s="30"/>
      <c r="D104" s="30"/>
      <c r="E104" s="31"/>
      <c r="F104" s="30"/>
      <c r="G104" s="30"/>
      <c r="H104" s="34" t="str">
        <f aca="false">IF(D104="","",IFERROR(INDEX(Categorias!$D$6:$D$45,MATCH(D104,Categorias!$B$6:$B$45,0))&amp;"",""))</f>
        <v/>
      </c>
      <c r="I104" s="35"/>
      <c r="J104" s="35"/>
      <c r="K104" s="35"/>
      <c r="L104" s="36" t="str">
        <f aca="false">IF(OR(H104="",COUNTIF(I104:K104,"S")+COUNTIF(I104:K104,"N")&lt;3),"",COUNTIF(I104:K104,"S")*IF(H104="S",5,IF(H104="M",4,IF(H104="E",3,2))))</f>
        <v/>
      </c>
      <c r="M104" s="37" t="str">
        <f aca="false">IF(L104="","",IF(L104&gt;=12,"Executar",IF(L104&gt;=8,"Executar com controle",IF(L104&gt;=5,"Postergar","Cancelar"))))</f>
        <v/>
      </c>
      <c r="O104" s="28" t="str">
        <f aca="false">IF(D104="","",IFERROR(INDEX(Categorias!$C$6:$C$45,MATCH(D104,Categorias!$B$6:$B$45,0)),"Sem grupo"))</f>
        <v/>
      </c>
      <c r="P104" s="38" t="str">
        <f aca="false">IF(B104="","",DATE(YEAR(B104),MONTH(B104),1))</f>
        <v/>
      </c>
    </row>
    <row r="105" customFormat="false" ht="15" hidden="false" customHeight="false" outlineLevel="0" collapsed="false">
      <c r="B105" s="33"/>
      <c r="C105" s="30"/>
      <c r="D105" s="30"/>
      <c r="E105" s="31"/>
      <c r="F105" s="30"/>
      <c r="G105" s="30"/>
      <c r="H105" s="34" t="str">
        <f aca="false">IF(D105="","",IFERROR(INDEX(Categorias!$D$6:$D$45,MATCH(D105,Categorias!$B$6:$B$45,0))&amp;"",""))</f>
        <v/>
      </c>
      <c r="I105" s="35"/>
      <c r="J105" s="35"/>
      <c r="K105" s="35"/>
      <c r="L105" s="36" t="str">
        <f aca="false">IF(OR(H105="",COUNTIF(I105:K105,"S")+COUNTIF(I105:K105,"N")&lt;3),"",COUNTIF(I105:K105,"S")*IF(H105="S",5,IF(H105="M",4,IF(H105="E",3,2))))</f>
        <v/>
      </c>
      <c r="M105" s="37" t="str">
        <f aca="false">IF(L105="","",IF(L105&gt;=12,"Executar",IF(L105&gt;=8,"Executar com controle",IF(L105&gt;=5,"Postergar","Cancelar"))))</f>
        <v/>
      </c>
      <c r="O105" s="28" t="str">
        <f aca="false">IF(D105="","",IFERROR(INDEX(Categorias!$C$6:$C$45,MATCH(D105,Categorias!$B$6:$B$45,0)),"Sem grupo"))</f>
        <v/>
      </c>
      <c r="P105" s="38" t="str">
        <f aca="false">IF(B105="","",DATE(YEAR(B105),MONTH(B105),1))</f>
        <v/>
      </c>
    </row>
    <row r="106" customFormat="false" ht="15" hidden="false" customHeight="false" outlineLevel="0" collapsed="false">
      <c r="B106" s="33"/>
      <c r="C106" s="30"/>
      <c r="D106" s="30"/>
      <c r="E106" s="31"/>
      <c r="F106" s="30"/>
      <c r="G106" s="30"/>
      <c r="H106" s="34" t="str">
        <f aca="false">IF(D106="","",IFERROR(INDEX(Categorias!$D$6:$D$45,MATCH(D106,Categorias!$B$6:$B$45,0))&amp;"",""))</f>
        <v/>
      </c>
      <c r="I106" s="35"/>
      <c r="J106" s="35"/>
      <c r="K106" s="35"/>
      <c r="L106" s="36" t="str">
        <f aca="false">IF(OR(H106="",COUNTIF(I106:K106,"S")+COUNTIF(I106:K106,"N")&lt;3),"",COUNTIF(I106:K106,"S")*IF(H106="S",5,IF(H106="M",4,IF(H106="E",3,2))))</f>
        <v/>
      </c>
      <c r="M106" s="37" t="str">
        <f aca="false">IF(L106="","",IF(L106&gt;=12,"Executar",IF(L106&gt;=8,"Executar com controle",IF(L106&gt;=5,"Postergar","Cancelar"))))</f>
        <v/>
      </c>
      <c r="O106" s="28" t="str">
        <f aca="false">IF(D106="","",IFERROR(INDEX(Categorias!$C$6:$C$45,MATCH(D106,Categorias!$B$6:$B$45,0)),"Sem grupo"))</f>
        <v/>
      </c>
      <c r="P106" s="38" t="str">
        <f aca="false">IF(B106="","",DATE(YEAR(B106),MONTH(B106),1))</f>
        <v/>
      </c>
    </row>
    <row r="107" customFormat="false" ht="15" hidden="false" customHeight="false" outlineLevel="0" collapsed="false">
      <c r="B107" s="33"/>
      <c r="C107" s="30"/>
      <c r="D107" s="30"/>
      <c r="E107" s="31"/>
      <c r="F107" s="30"/>
      <c r="G107" s="30"/>
      <c r="H107" s="34" t="str">
        <f aca="false">IF(D107="","",IFERROR(INDEX(Categorias!$D$6:$D$45,MATCH(D107,Categorias!$B$6:$B$45,0))&amp;"",""))</f>
        <v/>
      </c>
      <c r="I107" s="35"/>
      <c r="J107" s="35"/>
      <c r="K107" s="35"/>
      <c r="L107" s="36" t="str">
        <f aca="false">IF(OR(H107="",COUNTIF(I107:K107,"S")+COUNTIF(I107:K107,"N")&lt;3),"",COUNTIF(I107:K107,"S")*IF(H107="S",5,IF(H107="M",4,IF(H107="E",3,2))))</f>
        <v/>
      </c>
      <c r="M107" s="37" t="str">
        <f aca="false">IF(L107="","",IF(L107&gt;=12,"Executar",IF(L107&gt;=8,"Executar com controle",IF(L107&gt;=5,"Postergar","Cancelar"))))</f>
        <v/>
      </c>
      <c r="O107" s="28" t="str">
        <f aca="false">IF(D107="","",IFERROR(INDEX(Categorias!$C$6:$C$45,MATCH(D107,Categorias!$B$6:$B$45,0)),"Sem grupo"))</f>
        <v/>
      </c>
      <c r="P107" s="38" t="str">
        <f aca="false">IF(B107="","",DATE(YEAR(B107),MONTH(B107),1))</f>
        <v/>
      </c>
    </row>
    <row r="108" customFormat="false" ht="15" hidden="false" customHeight="false" outlineLevel="0" collapsed="false">
      <c r="B108" s="33"/>
      <c r="C108" s="30"/>
      <c r="D108" s="30"/>
      <c r="E108" s="31"/>
      <c r="F108" s="30"/>
      <c r="G108" s="30"/>
      <c r="H108" s="34" t="str">
        <f aca="false">IF(D108="","",IFERROR(INDEX(Categorias!$D$6:$D$45,MATCH(D108,Categorias!$B$6:$B$45,0))&amp;"",""))</f>
        <v/>
      </c>
      <c r="I108" s="35"/>
      <c r="J108" s="35"/>
      <c r="K108" s="35"/>
      <c r="L108" s="36" t="str">
        <f aca="false">IF(OR(H108="",COUNTIF(I108:K108,"S")+COUNTIF(I108:K108,"N")&lt;3),"",COUNTIF(I108:K108,"S")*IF(H108="S",5,IF(H108="M",4,IF(H108="E",3,2))))</f>
        <v/>
      </c>
      <c r="M108" s="37" t="str">
        <f aca="false">IF(L108="","",IF(L108&gt;=12,"Executar",IF(L108&gt;=8,"Executar com controle",IF(L108&gt;=5,"Postergar","Cancelar"))))</f>
        <v/>
      </c>
      <c r="O108" s="28" t="str">
        <f aca="false">IF(D108="","",IFERROR(INDEX(Categorias!$C$6:$C$45,MATCH(D108,Categorias!$B$6:$B$45,0)),"Sem grupo"))</f>
        <v/>
      </c>
      <c r="P108" s="38" t="str">
        <f aca="false">IF(B108="","",DATE(YEAR(B108),MONTH(B108),1))</f>
        <v/>
      </c>
    </row>
    <row r="109" customFormat="false" ht="15" hidden="false" customHeight="false" outlineLevel="0" collapsed="false">
      <c r="B109" s="33"/>
      <c r="C109" s="30"/>
      <c r="D109" s="30"/>
      <c r="E109" s="31"/>
      <c r="F109" s="30"/>
      <c r="G109" s="30"/>
      <c r="H109" s="34" t="str">
        <f aca="false">IF(D109="","",IFERROR(INDEX(Categorias!$D$6:$D$45,MATCH(D109,Categorias!$B$6:$B$45,0))&amp;"",""))</f>
        <v/>
      </c>
      <c r="I109" s="35"/>
      <c r="J109" s="35"/>
      <c r="K109" s="35"/>
      <c r="L109" s="36" t="str">
        <f aca="false">IF(OR(H109="",COUNTIF(I109:K109,"S")+COUNTIF(I109:K109,"N")&lt;3),"",COUNTIF(I109:K109,"S")*IF(H109="S",5,IF(H109="M",4,IF(H109="E",3,2))))</f>
        <v/>
      </c>
      <c r="M109" s="37" t="str">
        <f aca="false">IF(L109="","",IF(L109&gt;=12,"Executar",IF(L109&gt;=8,"Executar com controle",IF(L109&gt;=5,"Postergar","Cancelar"))))</f>
        <v/>
      </c>
      <c r="O109" s="28" t="str">
        <f aca="false">IF(D109="","",IFERROR(INDEX(Categorias!$C$6:$C$45,MATCH(D109,Categorias!$B$6:$B$45,0)),"Sem grupo"))</f>
        <v/>
      </c>
      <c r="P109" s="38" t="str">
        <f aca="false">IF(B109="","",DATE(YEAR(B109),MONTH(B109),1))</f>
        <v/>
      </c>
    </row>
    <row r="110" customFormat="false" ht="15" hidden="false" customHeight="false" outlineLevel="0" collapsed="false">
      <c r="B110" s="33"/>
      <c r="C110" s="30"/>
      <c r="D110" s="30"/>
      <c r="E110" s="31"/>
      <c r="F110" s="30"/>
      <c r="G110" s="30"/>
      <c r="H110" s="34" t="str">
        <f aca="false">IF(D110="","",IFERROR(INDEX(Categorias!$D$6:$D$45,MATCH(D110,Categorias!$B$6:$B$45,0))&amp;"",""))</f>
        <v/>
      </c>
      <c r="I110" s="35"/>
      <c r="J110" s="35"/>
      <c r="K110" s="35"/>
      <c r="L110" s="36" t="str">
        <f aca="false">IF(OR(H110="",COUNTIF(I110:K110,"S")+COUNTIF(I110:K110,"N")&lt;3),"",COUNTIF(I110:K110,"S")*IF(H110="S",5,IF(H110="M",4,IF(H110="E",3,2))))</f>
        <v/>
      </c>
      <c r="M110" s="37" t="str">
        <f aca="false">IF(L110="","",IF(L110&gt;=12,"Executar",IF(L110&gt;=8,"Executar com controle",IF(L110&gt;=5,"Postergar","Cancelar"))))</f>
        <v/>
      </c>
      <c r="O110" s="28" t="str">
        <f aca="false">IF(D110="","",IFERROR(INDEX(Categorias!$C$6:$C$45,MATCH(D110,Categorias!$B$6:$B$45,0)),"Sem grupo"))</f>
        <v/>
      </c>
      <c r="P110" s="38" t="str">
        <f aca="false">IF(B110="","",DATE(YEAR(B110),MONTH(B110),1))</f>
        <v/>
      </c>
    </row>
    <row r="111" customFormat="false" ht="15" hidden="false" customHeight="false" outlineLevel="0" collapsed="false">
      <c r="B111" s="33"/>
      <c r="C111" s="30"/>
      <c r="D111" s="30"/>
      <c r="E111" s="31"/>
      <c r="F111" s="30"/>
      <c r="G111" s="30"/>
      <c r="H111" s="34" t="str">
        <f aca="false">IF(D111="","",IFERROR(INDEX(Categorias!$D$6:$D$45,MATCH(D111,Categorias!$B$6:$B$45,0))&amp;"",""))</f>
        <v/>
      </c>
      <c r="I111" s="35"/>
      <c r="J111" s="35"/>
      <c r="K111" s="35"/>
      <c r="L111" s="36" t="str">
        <f aca="false">IF(OR(H111="",COUNTIF(I111:K111,"S")+COUNTIF(I111:K111,"N")&lt;3),"",COUNTIF(I111:K111,"S")*IF(H111="S",5,IF(H111="M",4,IF(H111="E",3,2))))</f>
        <v/>
      </c>
      <c r="M111" s="37" t="str">
        <f aca="false">IF(L111="","",IF(L111&gt;=12,"Executar",IF(L111&gt;=8,"Executar com controle",IF(L111&gt;=5,"Postergar","Cancelar"))))</f>
        <v/>
      </c>
      <c r="O111" s="28" t="str">
        <f aca="false">IF(D111="","",IFERROR(INDEX(Categorias!$C$6:$C$45,MATCH(D111,Categorias!$B$6:$B$45,0)),"Sem grupo"))</f>
        <v/>
      </c>
      <c r="P111" s="38" t="str">
        <f aca="false">IF(B111="","",DATE(YEAR(B111),MONTH(B111),1))</f>
        <v/>
      </c>
    </row>
    <row r="112" customFormat="false" ht="15" hidden="false" customHeight="false" outlineLevel="0" collapsed="false">
      <c r="B112" s="33"/>
      <c r="C112" s="30"/>
      <c r="D112" s="30"/>
      <c r="E112" s="31"/>
      <c r="F112" s="30"/>
      <c r="G112" s="30"/>
      <c r="H112" s="34" t="str">
        <f aca="false">IF(D112="","",IFERROR(INDEX(Categorias!$D$6:$D$45,MATCH(D112,Categorias!$B$6:$B$45,0))&amp;"",""))</f>
        <v/>
      </c>
      <c r="I112" s="35"/>
      <c r="J112" s="35"/>
      <c r="K112" s="35"/>
      <c r="L112" s="36" t="str">
        <f aca="false">IF(OR(H112="",COUNTIF(I112:K112,"S")+COUNTIF(I112:K112,"N")&lt;3),"",COUNTIF(I112:K112,"S")*IF(H112="S",5,IF(H112="M",4,IF(H112="E",3,2))))</f>
        <v/>
      </c>
      <c r="M112" s="37" t="str">
        <f aca="false">IF(L112="","",IF(L112&gt;=12,"Executar",IF(L112&gt;=8,"Executar com controle",IF(L112&gt;=5,"Postergar","Cancelar"))))</f>
        <v/>
      </c>
      <c r="O112" s="28" t="str">
        <f aca="false">IF(D112="","",IFERROR(INDEX(Categorias!$C$6:$C$45,MATCH(D112,Categorias!$B$6:$B$45,0)),"Sem grupo"))</f>
        <v/>
      </c>
      <c r="P112" s="38" t="str">
        <f aca="false">IF(B112="","",DATE(YEAR(B112),MONTH(B112),1))</f>
        <v/>
      </c>
    </row>
    <row r="113" customFormat="false" ht="15" hidden="false" customHeight="false" outlineLevel="0" collapsed="false">
      <c r="B113" s="33"/>
      <c r="C113" s="30"/>
      <c r="D113" s="30"/>
      <c r="E113" s="31"/>
      <c r="F113" s="30"/>
      <c r="G113" s="30"/>
      <c r="H113" s="34" t="str">
        <f aca="false">IF(D113="","",IFERROR(INDEX(Categorias!$D$6:$D$45,MATCH(D113,Categorias!$B$6:$B$45,0))&amp;"",""))</f>
        <v/>
      </c>
      <c r="I113" s="35"/>
      <c r="J113" s="35"/>
      <c r="K113" s="35"/>
      <c r="L113" s="36" t="str">
        <f aca="false">IF(OR(H113="",COUNTIF(I113:K113,"S")+COUNTIF(I113:K113,"N")&lt;3),"",COUNTIF(I113:K113,"S")*IF(H113="S",5,IF(H113="M",4,IF(H113="E",3,2))))</f>
        <v/>
      </c>
      <c r="M113" s="37" t="str">
        <f aca="false">IF(L113="","",IF(L113&gt;=12,"Executar",IF(L113&gt;=8,"Executar com controle",IF(L113&gt;=5,"Postergar","Cancelar"))))</f>
        <v/>
      </c>
      <c r="O113" s="28" t="str">
        <f aca="false">IF(D113="","",IFERROR(INDEX(Categorias!$C$6:$C$45,MATCH(D113,Categorias!$B$6:$B$45,0)),"Sem grupo"))</f>
        <v/>
      </c>
      <c r="P113" s="38" t="str">
        <f aca="false">IF(B113="","",DATE(YEAR(B113),MONTH(B113),1))</f>
        <v/>
      </c>
    </row>
    <row r="114" customFormat="false" ht="15" hidden="false" customHeight="false" outlineLevel="0" collapsed="false">
      <c r="B114" s="33"/>
      <c r="C114" s="30"/>
      <c r="D114" s="30"/>
      <c r="E114" s="31"/>
      <c r="F114" s="30"/>
      <c r="G114" s="30"/>
      <c r="H114" s="34" t="str">
        <f aca="false">IF(D114="","",IFERROR(INDEX(Categorias!$D$6:$D$45,MATCH(D114,Categorias!$B$6:$B$45,0))&amp;"",""))</f>
        <v/>
      </c>
      <c r="I114" s="35"/>
      <c r="J114" s="35"/>
      <c r="K114" s="35"/>
      <c r="L114" s="36" t="str">
        <f aca="false">IF(OR(H114="",COUNTIF(I114:K114,"S")+COUNTIF(I114:K114,"N")&lt;3),"",COUNTIF(I114:K114,"S")*IF(H114="S",5,IF(H114="M",4,IF(H114="E",3,2))))</f>
        <v/>
      </c>
      <c r="M114" s="37" t="str">
        <f aca="false">IF(L114="","",IF(L114&gt;=12,"Executar",IF(L114&gt;=8,"Executar com controle",IF(L114&gt;=5,"Postergar","Cancelar"))))</f>
        <v/>
      </c>
      <c r="O114" s="28" t="str">
        <f aca="false">IF(D114="","",IFERROR(INDEX(Categorias!$C$6:$C$45,MATCH(D114,Categorias!$B$6:$B$45,0)),"Sem grupo"))</f>
        <v/>
      </c>
      <c r="P114" s="38" t="str">
        <f aca="false">IF(B114="","",DATE(YEAR(B114),MONTH(B114),1))</f>
        <v/>
      </c>
    </row>
    <row r="115" customFormat="false" ht="15" hidden="false" customHeight="false" outlineLevel="0" collapsed="false">
      <c r="B115" s="33"/>
      <c r="C115" s="30"/>
      <c r="D115" s="30"/>
      <c r="E115" s="31"/>
      <c r="F115" s="30"/>
      <c r="G115" s="30"/>
      <c r="H115" s="34" t="str">
        <f aca="false">IF(D115="","",IFERROR(INDEX(Categorias!$D$6:$D$45,MATCH(D115,Categorias!$B$6:$B$45,0))&amp;"",""))</f>
        <v/>
      </c>
      <c r="I115" s="35"/>
      <c r="J115" s="35"/>
      <c r="K115" s="35"/>
      <c r="L115" s="36" t="str">
        <f aca="false">IF(OR(H115="",COUNTIF(I115:K115,"S")+COUNTIF(I115:K115,"N")&lt;3),"",COUNTIF(I115:K115,"S")*IF(H115="S",5,IF(H115="M",4,IF(H115="E",3,2))))</f>
        <v/>
      </c>
      <c r="M115" s="37" t="str">
        <f aca="false">IF(L115="","",IF(L115&gt;=12,"Executar",IF(L115&gt;=8,"Executar com controle",IF(L115&gt;=5,"Postergar","Cancelar"))))</f>
        <v/>
      </c>
      <c r="O115" s="28" t="str">
        <f aca="false">IF(D115="","",IFERROR(INDEX(Categorias!$C$6:$C$45,MATCH(D115,Categorias!$B$6:$B$45,0)),"Sem grupo"))</f>
        <v/>
      </c>
      <c r="P115" s="38" t="str">
        <f aca="false">IF(B115="","",DATE(YEAR(B115),MONTH(B115),1))</f>
        <v/>
      </c>
    </row>
    <row r="116" customFormat="false" ht="15" hidden="false" customHeight="false" outlineLevel="0" collapsed="false">
      <c r="B116" s="33"/>
      <c r="C116" s="30"/>
      <c r="D116" s="30"/>
      <c r="E116" s="31"/>
      <c r="F116" s="30"/>
      <c r="G116" s="30"/>
      <c r="H116" s="34" t="str">
        <f aca="false">IF(D116="","",IFERROR(INDEX(Categorias!$D$6:$D$45,MATCH(D116,Categorias!$B$6:$B$45,0))&amp;"",""))</f>
        <v/>
      </c>
      <c r="I116" s="35"/>
      <c r="J116" s="35"/>
      <c r="K116" s="35"/>
      <c r="L116" s="36" t="str">
        <f aca="false">IF(OR(H116="",COUNTIF(I116:K116,"S")+COUNTIF(I116:K116,"N")&lt;3),"",COUNTIF(I116:K116,"S")*IF(H116="S",5,IF(H116="M",4,IF(H116="E",3,2))))</f>
        <v/>
      </c>
      <c r="M116" s="37" t="str">
        <f aca="false">IF(L116="","",IF(L116&gt;=12,"Executar",IF(L116&gt;=8,"Executar com controle",IF(L116&gt;=5,"Postergar","Cancelar"))))</f>
        <v/>
      </c>
      <c r="O116" s="28" t="str">
        <f aca="false">IF(D116="","",IFERROR(INDEX(Categorias!$C$6:$C$45,MATCH(D116,Categorias!$B$6:$B$45,0)),"Sem grupo"))</f>
        <v/>
      </c>
      <c r="P116" s="38" t="str">
        <f aca="false">IF(B116="","",DATE(YEAR(B116),MONTH(B116),1))</f>
        <v/>
      </c>
    </row>
    <row r="117" customFormat="false" ht="15" hidden="false" customHeight="false" outlineLevel="0" collapsed="false">
      <c r="B117" s="33"/>
      <c r="C117" s="30"/>
      <c r="D117" s="30"/>
      <c r="E117" s="31"/>
      <c r="F117" s="30"/>
      <c r="G117" s="30"/>
      <c r="H117" s="34" t="str">
        <f aca="false">IF(D117="","",IFERROR(INDEX(Categorias!$D$6:$D$45,MATCH(D117,Categorias!$B$6:$B$45,0))&amp;"",""))</f>
        <v/>
      </c>
      <c r="I117" s="35"/>
      <c r="J117" s="35"/>
      <c r="K117" s="35"/>
      <c r="L117" s="36" t="str">
        <f aca="false">IF(OR(H117="",COUNTIF(I117:K117,"S")+COUNTIF(I117:K117,"N")&lt;3),"",COUNTIF(I117:K117,"S")*IF(H117="S",5,IF(H117="M",4,IF(H117="E",3,2))))</f>
        <v/>
      </c>
      <c r="M117" s="37" t="str">
        <f aca="false">IF(L117="","",IF(L117&gt;=12,"Executar",IF(L117&gt;=8,"Executar com controle",IF(L117&gt;=5,"Postergar","Cancelar"))))</f>
        <v/>
      </c>
      <c r="O117" s="28" t="str">
        <f aca="false">IF(D117="","",IFERROR(INDEX(Categorias!$C$6:$C$45,MATCH(D117,Categorias!$B$6:$B$45,0)),"Sem grupo"))</f>
        <v/>
      </c>
      <c r="P117" s="38" t="str">
        <f aca="false">IF(B117="","",DATE(YEAR(B117),MONTH(B117),1))</f>
        <v/>
      </c>
    </row>
    <row r="118" customFormat="false" ht="15" hidden="false" customHeight="false" outlineLevel="0" collapsed="false">
      <c r="B118" s="33"/>
      <c r="C118" s="30"/>
      <c r="D118" s="30"/>
      <c r="E118" s="31"/>
      <c r="F118" s="30"/>
      <c r="G118" s="30"/>
      <c r="H118" s="34" t="str">
        <f aca="false">IF(D118="","",IFERROR(INDEX(Categorias!$D$6:$D$45,MATCH(D118,Categorias!$B$6:$B$45,0))&amp;"",""))</f>
        <v/>
      </c>
      <c r="I118" s="35"/>
      <c r="J118" s="35"/>
      <c r="K118" s="35"/>
      <c r="L118" s="36" t="str">
        <f aca="false">IF(OR(H118="",COUNTIF(I118:K118,"S")+COUNTIF(I118:K118,"N")&lt;3),"",COUNTIF(I118:K118,"S")*IF(H118="S",5,IF(H118="M",4,IF(H118="E",3,2))))</f>
        <v/>
      </c>
      <c r="M118" s="37" t="str">
        <f aca="false">IF(L118="","",IF(L118&gt;=12,"Executar",IF(L118&gt;=8,"Executar com controle",IF(L118&gt;=5,"Postergar","Cancelar"))))</f>
        <v/>
      </c>
      <c r="O118" s="28" t="str">
        <f aca="false">IF(D118="","",IFERROR(INDEX(Categorias!$C$6:$C$45,MATCH(D118,Categorias!$B$6:$B$45,0)),"Sem grupo"))</f>
        <v/>
      </c>
      <c r="P118" s="38" t="str">
        <f aca="false">IF(B118="","",DATE(YEAR(B118),MONTH(B118),1))</f>
        <v/>
      </c>
    </row>
    <row r="119" customFormat="false" ht="15" hidden="false" customHeight="false" outlineLevel="0" collapsed="false">
      <c r="B119" s="33"/>
      <c r="C119" s="30"/>
      <c r="D119" s="30"/>
      <c r="E119" s="31"/>
      <c r="F119" s="30"/>
      <c r="G119" s="30"/>
      <c r="H119" s="34" t="str">
        <f aca="false">IF(D119="","",IFERROR(INDEX(Categorias!$D$6:$D$45,MATCH(D119,Categorias!$B$6:$B$45,0))&amp;"",""))</f>
        <v/>
      </c>
      <c r="I119" s="35"/>
      <c r="J119" s="35"/>
      <c r="K119" s="35"/>
      <c r="L119" s="36" t="str">
        <f aca="false">IF(OR(H119="",COUNTIF(I119:K119,"S")+COUNTIF(I119:K119,"N")&lt;3),"",COUNTIF(I119:K119,"S")*IF(H119="S",5,IF(H119="M",4,IF(H119="E",3,2))))</f>
        <v/>
      </c>
      <c r="M119" s="37" t="str">
        <f aca="false">IF(L119="","",IF(L119&gt;=12,"Executar",IF(L119&gt;=8,"Executar com controle",IF(L119&gt;=5,"Postergar","Cancelar"))))</f>
        <v/>
      </c>
      <c r="O119" s="28" t="str">
        <f aca="false">IF(D119="","",IFERROR(INDEX(Categorias!$C$6:$C$45,MATCH(D119,Categorias!$B$6:$B$45,0)),"Sem grupo"))</f>
        <v/>
      </c>
      <c r="P119" s="38" t="str">
        <f aca="false">IF(B119="","",DATE(YEAR(B119),MONTH(B119),1))</f>
        <v/>
      </c>
    </row>
    <row r="120" customFormat="false" ht="15" hidden="false" customHeight="false" outlineLevel="0" collapsed="false">
      <c r="B120" s="33"/>
      <c r="C120" s="30"/>
      <c r="D120" s="30"/>
      <c r="E120" s="31"/>
      <c r="F120" s="30"/>
      <c r="G120" s="30"/>
      <c r="H120" s="34" t="str">
        <f aca="false">IF(D120="","",IFERROR(INDEX(Categorias!$D$6:$D$45,MATCH(D120,Categorias!$B$6:$B$45,0))&amp;"",""))</f>
        <v/>
      </c>
      <c r="I120" s="35"/>
      <c r="J120" s="35"/>
      <c r="K120" s="35"/>
      <c r="L120" s="36" t="str">
        <f aca="false">IF(OR(H120="",COUNTIF(I120:K120,"S")+COUNTIF(I120:K120,"N")&lt;3),"",COUNTIF(I120:K120,"S")*IF(H120="S",5,IF(H120="M",4,IF(H120="E",3,2))))</f>
        <v/>
      </c>
      <c r="M120" s="37" t="str">
        <f aca="false">IF(L120="","",IF(L120&gt;=12,"Executar",IF(L120&gt;=8,"Executar com controle",IF(L120&gt;=5,"Postergar","Cancelar"))))</f>
        <v/>
      </c>
      <c r="O120" s="28" t="str">
        <f aca="false">IF(D120="","",IFERROR(INDEX(Categorias!$C$6:$C$45,MATCH(D120,Categorias!$B$6:$B$45,0)),"Sem grupo"))</f>
        <v/>
      </c>
      <c r="P120" s="38" t="str">
        <f aca="false">IF(B120="","",DATE(YEAR(B120),MONTH(B120),1))</f>
        <v/>
      </c>
    </row>
    <row r="121" customFormat="false" ht="15" hidden="false" customHeight="false" outlineLevel="0" collapsed="false">
      <c r="B121" s="33"/>
      <c r="C121" s="30"/>
      <c r="D121" s="30"/>
      <c r="E121" s="31"/>
      <c r="F121" s="30"/>
      <c r="G121" s="30"/>
      <c r="H121" s="34" t="str">
        <f aca="false">IF(D121="","",IFERROR(INDEX(Categorias!$D$6:$D$45,MATCH(D121,Categorias!$B$6:$B$45,0))&amp;"",""))</f>
        <v/>
      </c>
      <c r="I121" s="35"/>
      <c r="J121" s="35"/>
      <c r="K121" s="35"/>
      <c r="L121" s="36" t="str">
        <f aca="false">IF(OR(H121="",COUNTIF(I121:K121,"S")+COUNTIF(I121:K121,"N")&lt;3),"",COUNTIF(I121:K121,"S")*IF(H121="S",5,IF(H121="M",4,IF(H121="E",3,2))))</f>
        <v/>
      </c>
      <c r="M121" s="37" t="str">
        <f aca="false">IF(L121="","",IF(L121&gt;=12,"Executar",IF(L121&gt;=8,"Executar com controle",IF(L121&gt;=5,"Postergar","Cancelar"))))</f>
        <v/>
      </c>
      <c r="O121" s="28" t="str">
        <f aca="false">IF(D121="","",IFERROR(INDEX(Categorias!$C$6:$C$45,MATCH(D121,Categorias!$B$6:$B$45,0)),"Sem grupo"))</f>
        <v/>
      </c>
      <c r="P121" s="38" t="str">
        <f aca="false">IF(B121="","",DATE(YEAR(B121),MONTH(B121),1))</f>
        <v/>
      </c>
    </row>
    <row r="122" customFormat="false" ht="15" hidden="false" customHeight="false" outlineLevel="0" collapsed="false">
      <c r="B122" s="33"/>
      <c r="C122" s="30"/>
      <c r="D122" s="30"/>
      <c r="E122" s="31"/>
      <c r="F122" s="30"/>
      <c r="G122" s="30"/>
      <c r="H122" s="34" t="str">
        <f aca="false">IF(D122="","",IFERROR(INDEX(Categorias!$D$6:$D$45,MATCH(D122,Categorias!$B$6:$B$45,0))&amp;"",""))</f>
        <v/>
      </c>
      <c r="I122" s="35"/>
      <c r="J122" s="35"/>
      <c r="K122" s="35"/>
      <c r="L122" s="36" t="str">
        <f aca="false">IF(OR(H122="",COUNTIF(I122:K122,"S")+COUNTIF(I122:K122,"N")&lt;3),"",COUNTIF(I122:K122,"S")*IF(H122="S",5,IF(H122="M",4,IF(H122="E",3,2))))</f>
        <v/>
      </c>
      <c r="M122" s="37" t="str">
        <f aca="false">IF(L122="","",IF(L122&gt;=12,"Executar",IF(L122&gt;=8,"Executar com controle",IF(L122&gt;=5,"Postergar","Cancelar"))))</f>
        <v/>
      </c>
      <c r="O122" s="28" t="str">
        <f aca="false">IF(D122="","",IFERROR(INDEX(Categorias!$C$6:$C$45,MATCH(D122,Categorias!$B$6:$B$45,0)),"Sem grupo"))</f>
        <v/>
      </c>
      <c r="P122" s="38" t="str">
        <f aca="false">IF(B122="","",DATE(YEAR(B122),MONTH(B122),1))</f>
        <v/>
      </c>
    </row>
    <row r="123" customFormat="false" ht="15" hidden="false" customHeight="false" outlineLevel="0" collapsed="false">
      <c r="B123" s="33"/>
      <c r="C123" s="30"/>
      <c r="D123" s="30"/>
      <c r="E123" s="31"/>
      <c r="F123" s="30"/>
      <c r="G123" s="30"/>
      <c r="H123" s="34" t="str">
        <f aca="false">IF(D123="","",IFERROR(INDEX(Categorias!$D$6:$D$45,MATCH(D123,Categorias!$B$6:$B$45,0))&amp;"",""))</f>
        <v/>
      </c>
      <c r="I123" s="35"/>
      <c r="J123" s="35"/>
      <c r="K123" s="35"/>
      <c r="L123" s="36" t="str">
        <f aca="false">IF(OR(H123="",COUNTIF(I123:K123,"S")+COUNTIF(I123:K123,"N")&lt;3),"",COUNTIF(I123:K123,"S")*IF(H123="S",5,IF(H123="M",4,IF(H123="E",3,2))))</f>
        <v/>
      </c>
      <c r="M123" s="37" t="str">
        <f aca="false">IF(L123="","",IF(L123&gt;=12,"Executar",IF(L123&gt;=8,"Executar com controle",IF(L123&gt;=5,"Postergar","Cancelar"))))</f>
        <v/>
      </c>
      <c r="O123" s="28" t="str">
        <f aca="false">IF(D123="","",IFERROR(INDEX(Categorias!$C$6:$C$45,MATCH(D123,Categorias!$B$6:$B$45,0)),"Sem grupo"))</f>
        <v/>
      </c>
      <c r="P123" s="38" t="str">
        <f aca="false">IF(B123="","",DATE(YEAR(B123),MONTH(B123),1))</f>
        <v/>
      </c>
    </row>
    <row r="124" customFormat="false" ht="15" hidden="false" customHeight="false" outlineLevel="0" collapsed="false">
      <c r="B124" s="33"/>
      <c r="C124" s="30"/>
      <c r="D124" s="30"/>
      <c r="E124" s="31"/>
      <c r="F124" s="30"/>
      <c r="G124" s="30"/>
      <c r="H124" s="34" t="str">
        <f aca="false">IF(D124="","",IFERROR(INDEX(Categorias!$D$6:$D$45,MATCH(D124,Categorias!$B$6:$B$45,0))&amp;"",""))</f>
        <v/>
      </c>
      <c r="I124" s="35"/>
      <c r="J124" s="35"/>
      <c r="K124" s="35"/>
      <c r="L124" s="36" t="str">
        <f aca="false">IF(OR(H124="",COUNTIF(I124:K124,"S")+COUNTIF(I124:K124,"N")&lt;3),"",COUNTIF(I124:K124,"S")*IF(H124="S",5,IF(H124="M",4,IF(H124="E",3,2))))</f>
        <v/>
      </c>
      <c r="M124" s="37" t="str">
        <f aca="false">IF(L124="","",IF(L124&gt;=12,"Executar",IF(L124&gt;=8,"Executar com controle",IF(L124&gt;=5,"Postergar","Cancelar"))))</f>
        <v/>
      </c>
      <c r="O124" s="28" t="str">
        <f aca="false">IF(D124="","",IFERROR(INDEX(Categorias!$C$6:$C$45,MATCH(D124,Categorias!$B$6:$B$45,0)),"Sem grupo"))</f>
        <v/>
      </c>
      <c r="P124" s="38" t="str">
        <f aca="false">IF(B124="","",DATE(YEAR(B124),MONTH(B124),1))</f>
        <v/>
      </c>
    </row>
    <row r="125" customFormat="false" ht="15" hidden="false" customHeight="false" outlineLevel="0" collapsed="false">
      <c r="B125" s="33"/>
      <c r="C125" s="30"/>
      <c r="D125" s="30"/>
      <c r="E125" s="31"/>
      <c r="F125" s="30"/>
      <c r="G125" s="30"/>
      <c r="H125" s="34" t="str">
        <f aca="false">IF(D125="","",IFERROR(INDEX(Categorias!$D$6:$D$45,MATCH(D125,Categorias!$B$6:$B$45,0))&amp;"",""))</f>
        <v/>
      </c>
      <c r="I125" s="35"/>
      <c r="J125" s="35"/>
      <c r="K125" s="35"/>
      <c r="L125" s="36" t="str">
        <f aca="false">IF(OR(H125="",COUNTIF(I125:K125,"S")+COUNTIF(I125:K125,"N")&lt;3),"",COUNTIF(I125:K125,"S")*IF(H125="S",5,IF(H125="M",4,IF(H125="E",3,2))))</f>
        <v/>
      </c>
      <c r="M125" s="37" t="str">
        <f aca="false">IF(L125="","",IF(L125&gt;=12,"Executar",IF(L125&gt;=8,"Executar com controle",IF(L125&gt;=5,"Postergar","Cancelar"))))</f>
        <v/>
      </c>
      <c r="O125" s="28" t="str">
        <f aca="false">IF(D125="","",IFERROR(INDEX(Categorias!$C$6:$C$45,MATCH(D125,Categorias!$B$6:$B$45,0)),"Sem grupo"))</f>
        <v/>
      </c>
      <c r="P125" s="38" t="str">
        <f aca="false">IF(B125="","",DATE(YEAR(B125),MONTH(B125),1))</f>
        <v/>
      </c>
    </row>
    <row r="126" customFormat="false" ht="15" hidden="false" customHeight="false" outlineLevel="0" collapsed="false">
      <c r="B126" s="33"/>
      <c r="C126" s="30"/>
      <c r="D126" s="30"/>
      <c r="E126" s="31"/>
      <c r="F126" s="30"/>
      <c r="G126" s="30"/>
      <c r="H126" s="34" t="str">
        <f aca="false">IF(D126="","",IFERROR(INDEX(Categorias!$D$6:$D$45,MATCH(D126,Categorias!$B$6:$B$45,0))&amp;"",""))</f>
        <v/>
      </c>
      <c r="I126" s="35"/>
      <c r="J126" s="35"/>
      <c r="K126" s="35"/>
      <c r="L126" s="36" t="str">
        <f aca="false">IF(OR(H126="",COUNTIF(I126:K126,"S")+COUNTIF(I126:K126,"N")&lt;3),"",COUNTIF(I126:K126,"S")*IF(H126="S",5,IF(H126="M",4,IF(H126="E",3,2))))</f>
        <v/>
      </c>
      <c r="M126" s="37" t="str">
        <f aca="false">IF(L126="","",IF(L126&gt;=12,"Executar",IF(L126&gt;=8,"Executar com controle",IF(L126&gt;=5,"Postergar","Cancelar"))))</f>
        <v/>
      </c>
      <c r="O126" s="28" t="str">
        <f aca="false">IF(D126="","",IFERROR(INDEX(Categorias!$C$6:$C$45,MATCH(D126,Categorias!$B$6:$B$45,0)),"Sem grupo"))</f>
        <v/>
      </c>
      <c r="P126" s="38" t="str">
        <f aca="false">IF(B126="","",DATE(YEAR(B126),MONTH(B126),1))</f>
        <v/>
      </c>
    </row>
    <row r="127" customFormat="false" ht="15" hidden="false" customHeight="false" outlineLevel="0" collapsed="false">
      <c r="B127" s="33"/>
      <c r="C127" s="30"/>
      <c r="D127" s="30"/>
      <c r="E127" s="31"/>
      <c r="F127" s="30"/>
      <c r="G127" s="30"/>
      <c r="H127" s="34" t="str">
        <f aca="false">IF(D127="","",IFERROR(INDEX(Categorias!$D$6:$D$45,MATCH(D127,Categorias!$B$6:$B$45,0))&amp;"",""))</f>
        <v/>
      </c>
      <c r="I127" s="35"/>
      <c r="J127" s="35"/>
      <c r="K127" s="35"/>
      <c r="L127" s="36" t="str">
        <f aca="false">IF(OR(H127="",COUNTIF(I127:K127,"S")+COUNTIF(I127:K127,"N")&lt;3),"",COUNTIF(I127:K127,"S")*IF(H127="S",5,IF(H127="M",4,IF(H127="E",3,2))))</f>
        <v/>
      </c>
      <c r="M127" s="37" t="str">
        <f aca="false">IF(L127="","",IF(L127&gt;=12,"Executar",IF(L127&gt;=8,"Executar com controle",IF(L127&gt;=5,"Postergar","Cancelar"))))</f>
        <v/>
      </c>
      <c r="O127" s="28" t="str">
        <f aca="false">IF(D127="","",IFERROR(INDEX(Categorias!$C$6:$C$45,MATCH(D127,Categorias!$B$6:$B$45,0)),"Sem grupo"))</f>
        <v/>
      </c>
      <c r="P127" s="38" t="str">
        <f aca="false">IF(B127="","",DATE(YEAR(B127),MONTH(B127),1))</f>
        <v/>
      </c>
    </row>
    <row r="128" customFormat="false" ht="15" hidden="false" customHeight="false" outlineLevel="0" collapsed="false">
      <c r="B128" s="33"/>
      <c r="C128" s="30"/>
      <c r="D128" s="30"/>
      <c r="E128" s="31"/>
      <c r="F128" s="30"/>
      <c r="G128" s="30"/>
      <c r="H128" s="34" t="str">
        <f aca="false">IF(D128="","",IFERROR(INDEX(Categorias!$D$6:$D$45,MATCH(D128,Categorias!$B$6:$B$45,0))&amp;"",""))</f>
        <v/>
      </c>
      <c r="I128" s="35"/>
      <c r="J128" s="35"/>
      <c r="K128" s="35"/>
      <c r="L128" s="36" t="str">
        <f aca="false">IF(OR(H128="",COUNTIF(I128:K128,"S")+COUNTIF(I128:K128,"N")&lt;3),"",COUNTIF(I128:K128,"S")*IF(H128="S",5,IF(H128="M",4,IF(H128="E",3,2))))</f>
        <v/>
      </c>
      <c r="M128" s="37" t="str">
        <f aca="false">IF(L128="","",IF(L128&gt;=12,"Executar",IF(L128&gt;=8,"Executar com controle",IF(L128&gt;=5,"Postergar","Cancelar"))))</f>
        <v/>
      </c>
      <c r="O128" s="28" t="str">
        <f aca="false">IF(D128="","",IFERROR(INDEX(Categorias!$C$6:$C$45,MATCH(D128,Categorias!$B$6:$B$45,0)),"Sem grupo"))</f>
        <v/>
      </c>
      <c r="P128" s="38" t="str">
        <f aca="false">IF(B128="","",DATE(YEAR(B128),MONTH(B128),1))</f>
        <v/>
      </c>
    </row>
    <row r="129" customFormat="false" ht="15" hidden="false" customHeight="false" outlineLevel="0" collapsed="false">
      <c r="B129" s="33"/>
      <c r="C129" s="30"/>
      <c r="D129" s="30"/>
      <c r="E129" s="31"/>
      <c r="F129" s="30"/>
      <c r="G129" s="30"/>
      <c r="H129" s="34" t="str">
        <f aca="false">IF(D129="","",IFERROR(INDEX(Categorias!$D$6:$D$45,MATCH(D129,Categorias!$B$6:$B$45,0))&amp;"",""))</f>
        <v/>
      </c>
      <c r="I129" s="35"/>
      <c r="J129" s="35"/>
      <c r="K129" s="35"/>
      <c r="L129" s="36" t="str">
        <f aca="false">IF(OR(H129="",COUNTIF(I129:K129,"S")+COUNTIF(I129:K129,"N")&lt;3),"",COUNTIF(I129:K129,"S")*IF(H129="S",5,IF(H129="M",4,IF(H129="E",3,2))))</f>
        <v/>
      </c>
      <c r="M129" s="37" t="str">
        <f aca="false">IF(L129="","",IF(L129&gt;=12,"Executar",IF(L129&gt;=8,"Executar com controle",IF(L129&gt;=5,"Postergar","Cancelar"))))</f>
        <v/>
      </c>
      <c r="O129" s="28" t="str">
        <f aca="false">IF(D129="","",IFERROR(INDEX(Categorias!$C$6:$C$45,MATCH(D129,Categorias!$B$6:$B$45,0)),"Sem grupo"))</f>
        <v/>
      </c>
      <c r="P129" s="38" t="str">
        <f aca="false">IF(B129="","",DATE(YEAR(B129),MONTH(B129),1))</f>
        <v/>
      </c>
    </row>
    <row r="130" customFormat="false" ht="15" hidden="false" customHeight="false" outlineLevel="0" collapsed="false">
      <c r="B130" s="33"/>
      <c r="C130" s="30"/>
      <c r="D130" s="30"/>
      <c r="E130" s="31"/>
      <c r="F130" s="30"/>
      <c r="G130" s="30"/>
      <c r="H130" s="34" t="str">
        <f aca="false">IF(D130="","",IFERROR(INDEX(Categorias!$D$6:$D$45,MATCH(D130,Categorias!$B$6:$B$45,0))&amp;"",""))</f>
        <v/>
      </c>
      <c r="I130" s="35"/>
      <c r="J130" s="35"/>
      <c r="K130" s="35"/>
      <c r="L130" s="36" t="str">
        <f aca="false">IF(OR(H130="",COUNTIF(I130:K130,"S")+COUNTIF(I130:K130,"N")&lt;3),"",COUNTIF(I130:K130,"S")*IF(H130="S",5,IF(H130="M",4,IF(H130="E",3,2))))</f>
        <v/>
      </c>
      <c r="M130" s="37" t="str">
        <f aca="false">IF(L130="","",IF(L130&gt;=12,"Executar",IF(L130&gt;=8,"Executar com controle",IF(L130&gt;=5,"Postergar","Cancelar"))))</f>
        <v/>
      </c>
      <c r="O130" s="28" t="str">
        <f aca="false">IF(D130="","",IFERROR(INDEX(Categorias!$C$6:$C$45,MATCH(D130,Categorias!$B$6:$B$45,0)),"Sem grupo"))</f>
        <v/>
      </c>
      <c r="P130" s="38" t="str">
        <f aca="false">IF(B130="","",DATE(YEAR(B130),MONTH(B130),1))</f>
        <v/>
      </c>
    </row>
    <row r="131" customFormat="false" ht="15" hidden="false" customHeight="false" outlineLevel="0" collapsed="false">
      <c r="B131" s="33"/>
      <c r="C131" s="30"/>
      <c r="D131" s="30"/>
      <c r="E131" s="31"/>
      <c r="F131" s="30"/>
      <c r="G131" s="30"/>
      <c r="H131" s="34" t="str">
        <f aca="false">IF(D131="","",IFERROR(INDEX(Categorias!$D$6:$D$45,MATCH(D131,Categorias!$B$6:$B$45,0))&amp;"",""))</f>
        <v/>
      </c>
      <c r="I131" s="35"/>
      <c r="J131" s="35"/>
      <c r="K131" s="35"/>
      <c r="L131" s="36" t="str">
        <f aca="false">IF(OR(H131="",COUNTIF(I131:K131,"S")+COUNTIF(I131:K131,"N")&lt;3),"",COUNTIF(I131:K131,"S")*IF(H131="S",5,IF(H131="M",4,IF(H131="E",3,2))))</f>
        <v/>
      </c>
      <c r="M131" s="37" t="str">
        <f aca="false">IF(L131="","",IF(L131&gt;=12,"Executar",IF(L131&gt;=8,"Executar com controle",IF(L131&gt;=5,"Postergar","Cancelar"))))</f>
        <v/>
      </c>
      <c r="O131" s="28" t="str">
        <f aca="false">IF(D131="","",IFERROR(INDEX(Categorias!$C$6:$C$45,MATCH(D131,Categorias!$B$6:$B$45,0)),"Sem grupo"))</f>
        <v/>
      </c>
      <c r="P131" s="38" t="str">
        <f aca="false">IF(B131="","",DATE(YEAR(B131),MONTH(B131),1))</f>
        <v/>
      </c>
    </row>
    <row r="132" customFormat="false" ht="15" hidden="false" customHeight="false" outlineLevel="0" collapsed="false">
      <c r="B132" s="33"/>
      <c r="C132" s="30"/>
      <c r="D132" s="30"/>
      <c r="E132" s="31"/>
      <c r="F132" s="30"/>
      <c r="G132" s="30"/>
      <c r="H132" s="34" t="str">
        <f aca="false">IF(D132="","",IFERROR(INDEX(Categorias!$D$6:$D$45,MATCH(D132,Categorias!$B$6:$B$45,0))&amp;"",""))</f>
        <v/>
      </c>
      <c r="I132" s="35"/>
      <c r="J132" s="35"/>
      <c r="K132" s="35"/>
      <c r="L132" s="36" t="str">
        <f aca="false">IF(OR(H132="",COUNTIF(I132:K132,"S")+COUNTIF(I132:K132,"N")&lt;3),"",COUNTIF(I132:K132,"S")*IF(H132="S",5,IF(H132="M",4,IF(H132="E",3,2))))</f>
        <v/>
      </c>
      <c r="M132" s="37" t="str">
        <f aca="false">IF(L132="","",IF(L132&gt;=12,"Executar",IF(L132&gt;=8,"Executar com controle",IF(L132&gt;=5,"Postergar","Cancelar"))))</f>
        <v/>
      </c>
      <c r="O132" s="28" t="str">
        <f aca="false">IF(D132="","",IFERROR(INDEX(Categorias!$C$6:$C$45,MATCH(D132,Categorias!$B$6:$B$45,0)),"Sem grupo"))</f>
        <v/>
      </c>
      <c r="P132" s="38" t="str">
        <f aca="false">IF(B132="","",DATE(YEAR(B132),MONTH(B132),1))</f>
        <v/>
      </c>
    </row>
    <row r="133" customFormat="false" ht="15" hidden="false" customHeight="false" outlineLevel="0" collapsed="false">
      <c r="B133" s="33"/>
      <c r="C133" s="30"/>
      <c r="D133" s="30"/>
      <c r="E133" s="31"/>
      <c r="F133" s="30"/>
      <c r="G133" s="30"/>
      <c r="H133" s="34" t="str">
        <f aca="false">IF(D133="","",IFERROR(INDEX(Categorias!$D$6:$D$45,MATCH(D133,Categorias!$B$6:$B$45,0))&amp;"",""))</f>
        <v/>
      </c>
      <c r="I133" s="35"/>
      <c r="J133" s="35"/>
      <c r="K133" s="35"/>
      <c r="L133" s="36" t="str">
        <f aca="false">IF(OR(H133="",COUNTIF(I133:K133,"S")+COUNTIF(I133:K133,"N")&lt;3),"",COUNTIF(I133:K133,"S")*IF(H133="S",5,IF(H133="M",4,IF(H133="E",3,2))))</f>
        <v/>
      </c>
      <c r="M133" s="37" t="str">
        <f aca="false">IF(L133="","",IF(L133&gt;=12,"Executar",IF(L133&gt;=8,"Executar com controle",IF(L133&gt;=5,"Postergar","Cancelar"))))</f>
        <v/>
      </c>
      <c r="O133" s="28" t="str">
        <f aca="false">IF(D133="","",IFERROR(INDEX(Categorias!$C$6:$C$45,MATCH(D133,Categorias!$B$6:$B$45,0)),"Sem grupo"))</f>
        <v/>
      </c>
      <c r="P133" s="38" t="str">
        <f aca="false">IF(B133="","",DATE(YEAR(B133),MONTH(B133),1))</f>
        <v/>
      </c>
    </row>
    <row r="134" customFormat="false" ht="15" hidden="false" customHeight="false" outlineLevel="0" collapsed="false">
      <c r="B134" s="33"/>
      <c r="C134" s="30"/>
      <c r="D134" s="30"/>
      <c r="E134" s="31"/>
      <c r="F134" s="30"/>
      <c r="G134" s="30"/>
      <c r="H134" s="34" t="str">
        <f aca="false">IF(D134="","",IFERROR(INDEX(Categorias!$D$6:$D$45,MATCH(D134,Categorias!$B$6:$B$45,0))&amp;"",""))</f>
        <v/>
      </c>
      <c r="I134" s="35"/>
      <c r="J134" s="35"/>
      <c r="K134" s="35"/>
      <c r="L134" s="36" t="str">
        <f aca="false">IF(OR(H134="",COUNTIF(I134:K134,"S")+COUNTIF(I134:K134,"N")&lt;3),"",COUNTIF(I134:K134,"S")*IF(H134="S",5,IF(H134="M",4,IF(H134="E",3,2))))</f>
        <v/>
      </c>
      <c r="M134" s="37" t="str">
        <f aca="false">IF(L134="","",IF(L134&gt;=12,"Executar",IF(L134&gt;=8,"Executar com controle",IF(L134&gt;=5,"Postergar","Cancelar"))))</f>
        <v/>
      </c>
      <c r="O134" s="28" t="str">
        <f aca="false">IF(D134="","",IFERROR(INDEX(Categorias!$C$6:$C$45,MATCH(D134,Categorias!$B$6:$B$45,0)),"Sem grupo"))</f>
        <v/>
      </c>
      <c r="P134" s="38" t="str">
        <f aca="false">IF(B134="","",DATE(YEAR(B134),MONTH(B134),1))</f>
        <v/>
      </c>
    </row>
    <row r="135" customFormat="false" ht="15" hidden="false" customHeight="false" outlineLevel="0" collapsed="false">
      <c r="B135" s="33"/>
      <c r="C135" s="30"/>
      <c r="D135" s="30"/>
      <c r="E135" s="31"/>
      <c r="F135" s="30"/>
      <c r="G135" s="30"/>
      <c r="H135" s="34" t="str">
        <f aca="false">IF(D135="","",IFERROR(INDEX(Categorias!$D$6:$D$45,MATCH(D135,Categorias!$B$6:$B$45,0))&amp;"",""))</f>
        <v/>
      </c>
      <c r="I135" s="35"/>
      <c r="J135" s="35"/>
      <c r="K135" s="35"/>
      <c r="L135" s="36" t="str">
        <f aca="false">IF(OR(H135="",COUNTIF(I135:K135,"S")+COUNTIF(I135:K135,"N")&lt;3),"",COUNTIF(I135:K135,"S")*IF(H135="S",5,IF(H135="M",4,IF(H135="E",3,2))))</f>
        <v/>
      </c>
      <c r="M135" s="37" t="str">
        <f aca="false">IF(L135="","",IF(L135&gt;=12,"Executar",IF(L135&gt;=8,"Executar com controle",IF(L135&gt;=5,"Postergar","Cancelar"))))</f>
        <v/>
      </c>
      <c r="O135" s="28" t="str">
        <f aca="false">IF(D135="","",IFERROR(INDEX(Categorias!$C$6:$C$45,MATCH(D135,Categorias!$B$6:$B$45,0)),"Sem grupo"))</f>
        <v/>
      </c>
      <c r="P135" s="38" t="str">
        <f aca="false">IF(B135="","",DATE(YEAR(B135),MONTH(B135),1))</f>
        <v/>
      </c>
    </row>
    <row r="136" customFormat="false" ht="15" hidden="false" customHeight="false" outlineLevel="0" collapsed="false">
      <c r="B136" s="33"/>
      <c r="C136" s="30"/>
      <c r="D136" s="30"/>
      <c r="E136" s="31"/>
      <c r="F136" s="30"/>
      <c r="G136" s="30"/>
      <c r="H136" s="34" t="str">
        <f aca="false">IF(D136="","",IFERROR(INDEX(Categorias!$D$6:$D$45,MATCH(D136,Categorias!$B$6:$B$45,0))&amp;"",""))</f>
        <v/>
      </c>
      <c r="I136" s="35"/>
      <c r="J136" s="35"/>
      <c r="K136" s="35"/>
      <c r="L136" s="36" t="str">
        <f aca="false">IF(OR(H136="",COUNTIF(I136:K136,"S")+COUNTIF(I136:K136,"N")&lt;3),"",COUNTIF(I136:K136,"S")*IF(H136="S",5,IF(H136="M",4,IF(H136="E",3,2))))</f>
        <v/>
      </c>
      <c r="M136" s="37" t="str">
        <f aca="false">IF(L136="","",IF(L136&gt;=12,"Executar",IF(L136&gt;=8,"Executar com controle",IF(L136&gt;=5,"Postergar","Cancelar"))))</f>
        <v/>
      </c>
      <c r="O136" s="28" t="str">
        <f aca="false">IF(D136="","",IFERROR(INDEX(Categorias!$C$6:$C$45,MATCH(D136,Categorias!$B$6:$B$45,0)),"Sem grupo"))</f>
        <v/>
      </c>
      <c r="P136" s="38" t="str">
        <f aca="false">IF(B136="","",DATE(YEAR(B136),MONTH(B136),1))</f>
        <v/>
      </c>
    </row>
    <row r="137" customFormat="false" ht="15" hidden="false" customHeight="false" outlineLevel="0" collapsed="false">
      <c r="B137" s="33"/>
      <c r="C137" s="30"/>
      <c r="D137" s="30"/>
      <c r="E137" s="31"/>
      <c r="F137" s="30"/>
      <c r="G137" s="30"/>
      <c r="H137" s="34" t="str">
        <f aca="false">IF(D137="","",IFERROR(INDEX(Categorias!$D$6:$D$45,MATCH(D137,Categorias!$B$6:$B$45,0))&amp;"",""))</f>
        <v/>
      </c>
      <c r="I137" s="35"/>
      <c r="J137" s="35"/>
      <c r="K137" s="35"/>
      <c r="L137" s="36" t="str">
        <f aca="false">IF(OR(H137="",COUNTIF(I137:K137,"S")+COUNTIF(I137:K137,"N")&lt;3),"",COUNTIF(I137:K137,"S")*IF(H137="S",5,IF(H137="M",4,IF(H137="E",3,2))))</f>
        <v/>
      </c>
      <c r="M137" s="37" t="str">
        <f aca="false">IF(L137="","",IF(L137&gt;=12,"Executar",IF(L137&gt;=8,"Executar com controle",IF(L137&gt;=5,"Postergar","Cancelar"))))</f>
        <v/>
      </c>
      <c r="O137" s="28" t="str">
        <f aca="false">IF(D137="","",IFERROR(INDEX(Categorias!$C$6:$C$45,MATCH(D137,Categorias!$B$6:$B$45,0)),"Sem grupo"))</f>
        <v/>
      </c>
      <c r="P137" s="38" t="str">
        <f aca="false">IF(B137="","",DATE(YEAR(B137),MONTH(B137),1))</f>
        <v/>
      </c>
    </row>
    <row r="138" customFormat="false" ht="15" hidden="false" customHeight="false" outlineLevel="0" collapsed="false">
      <c r="B138" s="33"/>
      <c r="C138" s="30"/>
      <c r="D138" s="30"/>
      <c r="E138" s="31"/>
      <c r="F138" s="30"/>
      <c r="G138" s="30"/>
      <c r="H138" s="34" t="str">
        <f aca="false">IF(D138="","",IFERROR(INDEX(Categorias!$D$6:$D$45,MATCH(D138,Categorias!$B$6:$B$45,0))&amp;"",""))</f>
        <v/>
      </c>
      <c r="I138" s="35"/>
      <c r="J138" s="35"/>
      <c r="K138" s="35"/>
      <c r="L138" s="36" t="str">
        <f aca="false">IF(OR(H138="",COUNTIF(I138:K138,"S")+COUNTIF(I138:K138,"N")&lt;3),"",COUNTIF(I138:K138,"S")*IF(H138="S",5,IF(H138="M",4,IF(H138="E",3,2))))</f>
        <v/>
      </c>
      <c r="M138" s="37" t="str">
        <f aca="false">IF(L138="","",IF(L138&gt;=12,"Executar",IF(L138&gt;=8,"Executar com controle",IF(L138&gt;=5,"Postergar","Cancelar"))))</f>
        <v/>
      </c>
      <c r="O138" s="28" t="str">
        <f aca="false">IF(D138="","",IFERROR(INDEX(Categorias!$C$6:$C$45,MATCH(D138,Categorias!$B$6:$B$45,0)),"Sem grupo"))</f>
        <v/>
      </c>
      <c r="P138" s="38" t="str">
        <f aca="false">IF(B138="","",DATE(YEAR(B138),MONTH(B138),1))</f>
        <v/>
      </c>
    </row>
    <row r="139" customFormat="false" ht="15" hidden="false" customHeight="false" outlineLevel="0" collapsed="false">
      <c r="B139" s="33"/>
      <c r="C139" s="30"/>
      <c r="D139" s="30"/>
      <c r="E139" s="31"/>
      <c r="F139" s="30"/>
      <c r="G139" s="30"/>
      <c r="H139" s="34" t="str">
        <f aca="false">IF(D139="","",IFERROR(INDEX(Categorias!$D$6:$D$45,MATCH(D139,Categorias!$B$6:$B$45,0))&amp;"",""))</f>
        <v/>
      </c>
      <c r="I139" s="35"/>
      <c r="J139" s="35"/>
      <c r="K139" s="35"/>
      <c r="L139" s="36" t="str">
        <f aca="false">IF(OR(H139="",COUNTIF(I139:K139,"S")+COUNTIF(I139:K139,"N")&lt;3),"",COUNTIF(I139:K139,"S")*IF(H139="S",5,IF(H139="M",4,IF(H139="E",3,2))))</f>
        <v/>
      </c>
      <c r="M139" s="37" t="str">
        <f aca="false">IF(L139="","",IF(L139&gt;=12,"Executar",IF(L139&gt;=8,"Executar com controle",IF(L139&gt;=5,"Postergar","Cancelar"))))</f>
        <v/>
      </c>
      <c r="O139" s="28" t="str">
        <f aca="false">IF(D139="","",IFERROR(INDEX(Categorias!$C$6:$C$45,MATCH(D139,Categorias!$B$6:$B$45,0)),"Sem grupo"))</f>
        <v/>
      </c>
      <c r="P139" s="38" t="str">
        <f aca="false">IF(B139="","",DATE(YEAR(B139),MONTH(B139),1))</f>
        <v/>
      </c>
    </row>
    <row r="140" customFormat="false" ht="15" hidden="false" customHeight="false" outlineLevel="0" collapsed="false">
      <c r="B140" s="33"/>
      <c r="C140" s="30"/>
      <c r="D140" s="30"/>
      <c r="E140" s="31"/>
      <c r="F140" s="30"/>
      <c r="G140" s="30"/>
      <c r="H140" s="34" t="str">
        <f aca="false">IF(D140="","",IFERROR(INDEX(Categorias!$D$6:$D$45,MATCH(D140,Categorias!$B$6:$B$45,0))&amp;"",""))</f>
        <v/>
      </c>
      <c r="I140" s="35"/>
      <c r="J140" s="35"/>
      <c r="K140" s="35"/>
      <c r="L140" s="36" t="str">
        <f aca="false">IF(OR(H140="",COUNTIF(I140:K140,"S")+COUNTIF(I140:K140,"N")&lt;3),"",COUNTIF(I140:K140,"S")*IF(H140="S",5,IF(H140="M",4,IF(H140="E",3,2))))</f>
        <v/>
      </c>
      <c r="M140" s="37" t="str">
        <f aca="false">IF(L140="","",IF(L140&gt;=12,"Executar",IF(L140&gt;=8,"Executar com controle",IF(L140&gt;=5,"Postergar","Cancelar"))))</f>
        <v/>
      </c>
      <c r="O140" s="28" t="str">
        <f aca="false">IF(D140="","",IFERROR(INDEX(Categorias!$C$6:$C$45,MATCH(D140,Categorias!$B$6:$B$45,0)),"Sem grupo"))</f>
        <v/>
      </c>
      <c r="P140" s="38" t="str">
        <f aca="false">IF(B140="","",DATE(YEAR(B140),MONTH(B140),1))</f>
        <v/>
      </c>
    </row>
    <row r="141" customFormat="false" ht="15" hidden="false" customHeight="false" outlineLevel="0" collapsed="false">
      <c r="B141" s="33"/>
      <c r="C141" s="30"/>
      <c r="D141" s="30"/>
      <c r="E141" s="31"/>
      <c r="F141" s="30"/>
      <c r="G141" s="30"/>
      <c r="H141" s="34" t="str">
        <f aca="false">IF(D141="","",IFERROR(INDEX(Categorias!$D$6:$D$45,MATCH(D141,Categorias!$B$6:$B$45,0))&amp;"",""))</f>
        <v/>
      </c>
      <c r="I141" s="35"/>
      <c r="J141" s="35"/>
      <c r="K141" s="35"/>
      <c r="L141" s="36" t="str">
        <f aca="false">IF(OR(H141="",COUNTIF(I141:K141,"S")+COUNTIF(I141:K141,"N")&lt;3),"",COUNTIF(I141:K141,"S")*IF(H141="S",5,IF(H141="M",4,IF(H141="E",3,2))))</f>
        <v/>
      </c>
      <c r="M141" s="37" t="str">
        <f aca="false">IF(L141="","",IF(L141&gt;=12,"Executar",IF(L141&gt;=8,"Executar com controle",IF(L141&gt;=5,"Postergar","Cancelar"))))</f>
        <v/>
      </c>
      <c r="O141" s="28" t="str">
        <f aca="false">IF(D141="","",IFERROR(INDEX(Categorias!$C$6:$C$45,MATCH(D141,Categorias!$B$6:$B$45,0)),"Sem grupo"))</f>
        <v/>
      </c>
      <c r="P141" s="38" t="str">
        <f aca="false">IF(B141="","",DATE(YEAR(B141),MONTH(B141),1))</f>
        <v/>
      </c>
    </row>
    <row r="142" customFormat="false" ht="15" hidden="false" customHeight="false" outlineLevel="0" collapsed="false">
      <c r="B142" s="33"/>
      <c r="C142" s="30"/>
      <c r="D142" s="30"/>
      <c r="E142" s="31"/>
      <c r="F142" s="30"/>
      <c r="G142" s="30"/>
      <c r="H142" s="34" t="str">
        <f aca="false">IF(D142="","",IFERROR(INDEX(Categorias!$D$6:$D$45,MATCH(D142,Categorias!$B$6:$B$45,0))&amp;"",""))</f>
        <v/>
      </c>
      <c r="I142" s="35"/>
      <c r="J142" s="35"/>
      <c r="K142" s="35"/>
      <c r="L142" s="36" t="str">
        <f aca="false">IF(OR(H142="",COUNTIF(I142:K142,"S")+COUNTIF(I142:K142,"N")&lt;3),"",COUNTIF(I142:K142,"S")*IF(H142="S",5,IF(H142="M",4,IF(H142="E",3,2))))</f>
        <v/>
      </c>
      <c r="M142" s="37" t="str">
        <f aca="false">IF(L142="","",IF(L142&gt;=12,"Executar",IF(L142&gt;=8,"Executar com controle",IF(L142&gt;=5,"Postergar","Cancelar"))))</f>
        <v/>
      </c>
      <c r="O142" s="28" t="str">
        <f aca="false">IF(D142="","",IFERROR(INDEX(Categorias!$C$6:$C$45,MATCH(D142,Categorias!$B$6:$B$45,0)),"Sem grupo"))</f>
        <v/>
      </c>
      <c r="P142" s="38" t="str">
        <f aca="false">IF(B142="","",DATE(YEAR(B142),MONTH(B142),1))</f>
        <v/>
      </c>
    </row>
    <row r="143" customFormat="false" ht="15" hidden="false" customHeight="false" outlineLevel="0" collapsed="false">
      <c r="B143" s="33"/>
      <c r="C143" s="30"/>
      <c r="D143" s="30"/>
      <c r="E143" s="31"/>
      <c r="F143" s="30"/>
      <c r="G143" s="30"/>
      <c r="H143" s="34" t="str">
        <f aca="false">IF(D143="","",IFERROR(INDEX(Categorias!$D$6:$D$45,MATCH(D143,Categorias!$B$6:$B$45,0))&amp;"",""))</f>
        <v/>
      </c>
      <c r="I143" s="35"/>
      <c r="J143" s="35"/>
      <c r="K143" s="35"/>
      <c r="L143" s="36" t="str">
        <f aca="false">IF(OR(H143="",COUNTIF(I143:K143,"S")+COUNTIF(I143:K143,"N")&lt;3),"",COUNTIF(I143:K143,"S")*IF(H143="S",5,IF(H143="M",4,IF(H143="E",3,2))))</f>
        <v/>
      </c>
      <c r="M143" s="37" t="str">
        <f aca="false">IF(L143="","",IF(L143&gt;=12,"Executar",IF(L143&gt;=8,"Executar com controle",IF(L143&gt;=5,"Postergar","Cancelar"))))</f>
        <v/>
      </c>
      <c r="O143" s="28" t="str">
        <f aca="false">IF(D143="","",IFERROR(INDEX(Categorias!$C$6:$C$45,MATCH(D143,Categorias!$B$6:$B$45,0)),"Sem grupo"))</f>
        <v/>
      </c>
      <c r="P143" s="38" t="str">
        <f aca="false">IF(B143="","",DATE(YEAR(B143),MONTH(B143),1))</f>
        <v/>
      </c>
    </row>
    <row r="144" customFormat="false" ht="15" hidden="false" customHeight="false" outlineLevel="0" collapsed="false">
      <c r="B144" s="33"/>
      <c r="C144" s="30"/>
      <c r="D144" s="30"/>
      <c r="E144" s="31"/>
      <c r="F144" s="30"/>
      <c r="G144" s="30"/>
      <c r="H144" s="34" t="str">
        <f aca="false">IF(D144="","",IFERROR(INDEX(Categorias!$D$6:$D$45,MATCH(D144,Categorias!$B$6:$B$45,0))&amp;"",""))</f>
        <v/>
      </c>
      <c r="I144" s="35"/>
      <c r="J144" s="35"/>
      <c r="K144" s="35"/>
      <c r="L144" s="36" t="str">
        <f aca="false">IF(OR(H144="",COUNTIF(I144:K144,"S")+COUNTIF(I144:K144,"N")&lt;3),"",COUNTIF(I144:K144,"S")*IF(H144="S",5,IF(H144="M",4,IF(H144="E",3,2))))</f>
        <v/>
      </c>
      <c r="M144" s="37" t="str">
        <f aca="false">IF(L144="","",IF(L144&gt;=12,"Executar",IF(L144&gt;=8,"Executar com controle",IF(L144&gt;=5,"Postergar","Cancelar"))))</f>
        <v/>
      </c>
      <c r="O144" s="28" t="str">
        <f aca="false">IF(D144="","",IFERROR(INDEX(Categorias!$C$6:$C$45,MATCH(D144,Categorias!$B$6:$B$45,0)),"Sem grupo"))</f>
        <v/>
      </c>
      <c r="P144" s="38" t="str">
        <f aca="false">IF(B144="","",DATE(YEAR(B144),MONTH(B144),1))</f>
        <v/>
      </c>
    </row>
    <row r="145" customFormat="false" ht="15" hidden="false" customHeight="false" outlineLevel="0" collapsed="false">
      <c r="B145" s="33"/>
      <c r="C145" s="30"/>
      <c r="D145" s="30"/>
      <c r="E145" s="31"/>
      <c r="F145" s="30"/>
      <c r="G145" s="30"/>
      <c r="H145" s="34" t="str">
        <f aca="false">IF(D145="","",IFERROR(INDEX(Categorias!$D$6:$D$45,MATCH(D145,Categorias!$B$6:$B$45,0))&amp;"",""))</f>
        <v/>
      </c>
      <c r="I145" s="35"/>
      <c r="J145" s="35"/>
      <c r="K145" s="35"/>
      <c r="L145" s="36" t="str">
        <f aca="false">IF(OR(H145="",COUNTIF(I145:K145,"S")+COUNTIF(I145:K145,"N")&lt;3),"",COUNTIF(I145:K145,"S")*IF(H145="S",5,IF(H145="M",4,IF(H145="E",3,2))))</f>
        <v/>
      </c>
      <c r="M145" s="37" t="str">
        <f aca="false">IF(L145="","",IF(L145&gt;=12,"Executar",IF(L145&gt;=8,"Executar com controle",IF(L145&gt;=5,"Postergar","Cancelar"))))</f>
        <v/>
      </c>
      <c r="O145" s="28" t="str">
        <f aca="false">IF(D145="","",IFERROR(INDEX(Categorias!$C$6:$C$45,MATCH(D145,Categorias!$B$6:$B$45,0)),"Sem grupo"))</f>
        <v/>
      </c>
      <c r="P145" s="38" t="str">
        <f aca="false">IF(B145="","",DATE(YEAR(B145),MONTH(B145),1))</f>
        <v/>
      </c>
    </row>
    <row r="146" customFormat="false" ht="15" hidden="false" customHeight="false" outlineLevel="0" collapsed="false">
      <c r="B146" s="33"/>
      <c r="C146" s="30"/>
      <c r="D146" s="30"/>
      <c r="E146" s="31"/>
      <c r="F146" s="30"/>
      <c r="G146" s="30"/>
      <c r="H146" s="34" t="str">
        <f aca="false">IF(D146="","",IFERROR(INDEX(Categorias!$D$6:$D$45,MATCH(D146,Categorias!$B$6:$B$45,0))&amp;"",""))</f>
        <v/>
      </c>
      <c r="I146" s="35"/>
      <c r="J146" s="35"/>
      <c r="K146" s="35"/>
      <c r="L146" s="36" t="str">
        <f aca="false">IF(OR(H146="",COUNTIF(I146:K146,"S")+COUNTIF(I146:K146,"N")&lt;3),"",COUNTIF(I146:K146,"S")*IF(H146="S",5,IF(H146="M",4,IF(H146="E",3,2))))</f>
        <v/>
      </c>
      <c r="M146" s="37" t="str">
        <f aca="false">IF(L146="","",IF(L146&gt;=12,"Executar",IF(L146&gt;=8,"Executar com controle",IF(L146&gt;=5,"Postergar","Cancelar"))))</f>
        <v/>
      </c>
      <c r="O146" s="28" t="str">
        <f aca="false">IF(D146="","",IFERROR(INDEX(Categorias!$C$6:$C$45,MATCH(D146,Categorias!$B$6:$B$45,0)),"Sem grupo"))</f>
        <v/>
      </c>
      <c r="P146" s="38" t="str">
        <f aca="false">IF(B146="","",DATE(YEAR(B146),MONTH(B146),1))</f>
        <v/>
      </c>
    </row>
    <row r="147" customFormat="false" ht="15" hidden="false" customHeight="false" outlineLevel="0" collapsed="false">
      <c r="B147" s="33"/>
      <c r="C147" s="30"/>
      <c r="D147" s="30"/>
      <c r="E147" s="31"/>
      <c r="F147" s="30"/>
      <c r="G147" s="30"/>
      <c r="H147" s="34" t="str">
        <f aca="false">IF(D147="","",IFERROR(INDEX(Categorias!$D$6:$D$45,MATCH(D147,Categorias!$B$6:$B$45,0))&amp;"",""))</f>
        <v/>
      </c>
      <c r="I147" s="35"/>
      <c r="J147" s="35"/>
      <c r="K147" s="35"/>
      <c r="L147" s="36" t="str">
        <f aca="false">IF(OR(H147="",COUNTIF(I147:K147,"S")+COUNTIF(I147:K147,"N")&lt;3),"",COUNTIF(I147:K147,"S")*IF(H147="S",5,IF(H147="M",4,IF(H147="E",3,2))))</f>
        <v/>
      </c>
      <c r="M147" s="37" t="str">
        <f aca="false">IF(L147="","",IF(L147&gt;=12,"Executar",IF(L147&gt;=8,"Executar com controle",IF(L147&gt;=5,"Postergar","Cancelar"))))</f>
        <v/>
      </c>
      <c r="O147" s="28" t="str">
        <f aca="false">IF(D147="","",IFERROR(INDEX(Categorias!$C$6:$C$45,MATCH(D147,Categorias!$B$6:$B$45,0)),"Sem grupo"))</f>
        <v/>
      </c>
      <c r="P147" s="38" t="str">
        <f aca="false">IF(B147="","",DATE(YEAR(B147),MONTH(B147),1))</f>
        <v/>
      </c>
    </row>
    <row r="148" customFormat="false" ht="15" hidden="false" customHeight="false" outlineLevel="0" collapsed="false">
      <c r="B148" s="33"/>
      <c r="C148" s="30"/>
      <c r="D148" s="30"/>
      <c r="E148" s="31"/>
      <c r="F148" s="30"/>
      <c r="G148" s="30"/>
      <c r="H148" s="34" t="str">
        <f aca="false">IF(D148="","",IFERROR(INDEX(Categorias!$D$6:$D$45,MATCH(D148,Categorias!$B$6:$B$45,0))&amp;"",""))</f>
        <v/>
      </c>
      <c r="I148" s="35"/>
      <c r="J148" s="35"/>
      <c r="K148" s="35"/>
      <c r="L148" s="36" t="str">
        <f aca="false">IF(OR(H148="",COUNTIF(I148:K148,"S")+COUNTIF(I148:K148,"N")&lt;3),"",COUNTIF(I148:K148,"S")*IF(H148="S",5,IF(H148="M",4,IF(H148="E",3,2))))</f>
        <v/>
      </c>
      <c r="M148" s="37" t="str">
        <f aca="false">IF(L148="","",IF(L148&gt;=12,"Executar",IF(L148&gt;=8,"Executar com controle",IF(L148&gt;=5,"Postergar","Cancelar"))))</f>
        <v/>
      </c>
      <c r="O148" s="28" t="str">
        <f aca="false">IF(D148="","",IFERROR(INDEX(Categorias!$C$6:$C$45,MATCH(D148,Categorias!$B$6:$B$45,0)),"Sem grupo"))</f>
        <v/>
      </c>
      <c r="P148" s="38" t="str">
        <f aca="false">IF(B148="","",DATE(YEAR(B148),MONTH(B148),1))</f>
        <v/>
      </c>
    </row>
    <row r="149" customFormat="false" ht="15" hidden="false" customHeight="false" outlineLevel="0" collapsed="false">
      <c r="B149" s="33"/>
      <c r="C149" s="30"/>
      <c r="D149" s="30"/>
      <c r="E149" s="31"/>
      <c r="F149" s="30"/>
      <c r="G149" s="30"/>
      <c r="H149" s="34" t="str">
        <f aca="false">IF(D149="","",IFERROR(INDEX(Categorias!$D$6:$D$45,MATCH(D149,Categorias!$B$6:$B$45,0))&amp;"",""))</f>
        <v/>
      </c>
      <c r="I149" s="35"/>
      <c r="J149" s="35"/>
      <c r="K149" s="35"/>
      <c r="L149" s="36" t="str">
        <f aca="false">IF(OR(H149="",COUNTIF(I149:K149,"S")+COUNTIF(I149:K149,"N")&lt;3),"",COUNTIF(I149:K149,"S")*IF(H149="S",5,IF(H149="M",4,IF(H149="E",3,2))))</f>
        <v/>
      </c>
      <c r="M149" s="37" t="str">
        <f aca="false">IF(L149="","",IF(L149&gt;=12,"Executar",IF(L149&gt;=8,"Executar com controle",IF(L149&gt;=5,"Postergar","Cancelar"))))</f>
        <v/>
      </c>
      <c r="O149" s="28" t="str">
        <f aca="false">IF(D149="","",IFERROR(INDEX(Categorias!$C$6:$C$45,MATCH(D149,Categorias!$B$6:$B$45,0)),"Sem grupo"))</f>
        <v/>
      </c>
      <c r="P149" s="38" t="str">
        <f aca="false">IF(B149="","",DATE(YEAR(B149),MONTH(B149),1))</f>
        <v/>
      </c>
    </row>
    <row r="150" customFormat="false" ht="15" hidden="false" customHeight="false" outlineLevel="0" collapsed="false">
      <c r="B150" s="33"/>
      <c r="C150" s="30"/>
      <c r="D150" s="30"/>
      <c r="E150" s="31"/>
      <c r="F150" s="30"/>
      <c r="G150" s="30"/>
      <c r="H150" s="34" t="str">
        <f aca="false">IF(D150="","",IFERROR(INDEX(Categorias!$D$6:$D$45,MATCH(D150,Categorias!$B$6:$B$45,0))&amp;"",""))</f>
        <v/>
      </c>
      <c r="I150" s="35"/>
      <c r="J150" s="35"/>
      <c r="K150" s="35"/>
      <c r="L150" s="36" t="str">
        <f aca="false">IF(OR(H150="",COUNTIF(I150:K150,"S")+COUNTIF(I150:K150,"N")&lt;3),"",COUNTIF(I150:K150,"S")*IF(H150="S",5,IF(H150="M",4,IF(H150="E",3,2))))</f>
        <v/>
      </c>
      <c r="M150" s="37" t="str">
        <f aca="false">IF(L150="","",IF(L150&gt;=12,"Executar",IF(L150&gt;=8,"Executar com controle",IF(L150&gt;=5,"Postergar","Cancelar"))))</f>
        <v/>
      </c>
      <c r="O150" s="28" t="str">
        <f aca="false">IF(D150="","",IFERROR(INDEX(Categorias!$C$6:$C$45,MATCH(D150,Categorias!$B$6:$B$45,0)),"Sem grupo"))</f>
        <v/>
      </c>
      <c r="P150" s="38" t="str">
        <f aca="false">IF(B150="","",DATE(YEAR(B150),MONTH(B150),1))</f>
        <v/>
      </c>
    </row>
    <row r="151" customFormat="false" ht="15" hidden="false" customHeight="false" outlineLevel="0" collapsed="false">
      <c r="B151" s="33"/>
      <c r="C151" s="30"/>
      <c r="D151" s="30"/>
      <c r="E151" s="31"/>
      <c r="F151" s="30"/>
      <c r="G151" s="30"/>
      <c r="H151" s="34" t="str">
        <f aca="false">IF(D151="","",IFERROR(INDEX(Categorias!$D$6:$D$45,MATCH(D151,Categorias!$B$6:$B$45,0))&amp;"",""))</f>
        <v/>
      </c>
      <c r="I151" s="35"/>
      <c r="J151" s="35"/>
      <c r="K151" s="35"/>
      <c r="L151" s="36" t="str">
        <f aca="false">IF(OR(H151="",COUNTIF(I151:K151,"S")+COUNTIF(I151:K151,"N")&lt;3),"",COUNTIF(I151:K151,"S")*IF(H151="S",5,IF(H151="M",4,IF(H151="E",3,2))))</f>
        <v/>
      </c>
      <c r="M151" s="37" t="str">
        <f aca="false">IF(L151="","",IF(L151&gt;=12,"Executar",IF(L151&gt;=8,"Executar com controle",IF(L151&gt;=5,"Postergar","Cancelar"))))</f>
        <v/>
      </c>
      <c r="O151" s="28" t="str">
        <f aca="false">IF(D151="","",IFERROR(INDEX(Categorias!$C$6:$C$45,MATCH(D151,Categorias!$B$6:$B$45,0)),"Sem grupo"))</f>
        <v/>
      </c>
      <c r="P151" s="38" t="str">
        <f aca="false">IF(B151="","",DATE(YEAR(B151),MONTH(B151),1))</f>
        <v/>
      </c>
    </row>
    <row r="152" customFormat="false" ht="15" hidden="false" customHeight="false" outlineLevel="0" collapsed="false">
      <c r="B152" s="33"/>
      <c r="C152" s="30"/>
      <c r="D152" s="30"/>
      <c r="E152" s="31"/>
      <c r="F152" s="30"/>
      <c r="G152" s="30"/>
      <c r="H152" s="34" t="str">
        <f aca="false">IF(D152="","",IFERROR(INDEX(Categorias!$D$6:$D$45,MATCH(D152,Categorias!$B$6:$B$45,0))&amp;"",""))</f>
        <v/>
      </c>
      <c r="I152" s="35"/>
      <c r="J152" s="35"/>
      <c r="K152" s="35"/>
      <c r="L152" s="36" t="str">
        <f aca="false">IF(OR(H152="",COUNTIF(I152:K152,"S")+COUNTIF(I152:K152,"N")&lt;3),"",COUNTIF(I152:K152,"S")*IF(H152="S",5,IF(H152="M",4,IF(H152="E",3,2))))</f>
        <v/>
      </c>
      <c r="M152" s="37" t="str">
        <f aca="false">IF(L152="","",IF(L152&gt;=12,"Executar",IF(L152&gt;=8,"Executar com controle",IF(L152&gt;=5,"Postergar","Cancelar"))))</f>
        <v/>
      </c>
      <c r="O152" s="28" t="str">
        <f aca="false">IF(D152="","",IFERROR(INDEX(Categorias!$C$6:$C$45,MATCH(D152,Categorias!$B$6:$B$45,0)),"Sem grupo"))</f>
        <v/>
      </c>
      <c r="P152" s="38" t="str">
        <f aca="false">IF(B152="","",DATE(YEAR(B152),MONTH(B152),1))</f>
        <v/>
      </c>
    </row>
    <row r="153" customFormat="false" ht="15" hidden="false" customHeight="false" outlineLevel="0" collapsed="false">
      <c r="B153" s="33"/>
      <c r="C153" s="30"/>
      <c r="D153" s="30"/>
      <c r="E153" s="31"/>
      <c r="F153" s="30"/>
      <c r="G153" s="30"/>
      <c r="H153" s="34" t="str">
        <f aca="false">IF(D153="","",IFERROR(INDEX(Categorias!$D$6:$D$45,MATCH(D153,Categorias!$B$6:$B$45,0))&amp;"",""))</f>
        <v/>
      </c>
      <c r="I153" s="35"/>
      <c r="J153" s="35"/>
      <c r="K153" s="35"/>
      <c r="L153" s="36" t="str">
        <f aca="false">IF(OR(H153="",COUNTIF(I153:K153,"S")+COUNTIF(I153:K153,"N")&lt;3),"",COUNTIF(I153:K153,"S")*IF(H153="S",5,IF(H153="M",4,IF(H153="E",3,2))))</f>
        <v/>
      </c>
      <c r="M153" s="37" t="str">
        <f aca="false">IF(L153="","",IF(L153&gt;=12,"Executar",IF(L153&gt;=8,"Executar com controle",IF(L153&gt;=5,"Postergar","Cancelar"))))</f>
        <v/>
      </c>
      <c r="O153" s="28" t="str">
        <f aca="false">IF(D153="","",IFERROR(INDEX(Categorias!$C$6:$C$45,MATCH(D153,Categorias!$B$6:$B$45,0)),"Sem grupo"))</f>
        <v/>
      </c>
      <c r="P153" s="38" t="str">
        <f aca="false">IF(B153="","",DATE(YEAR(B153),MONTH(B153),1))</f>
        <v/>
      </c>
    </row>
    <row r="154" customFormat="false" ht="15" hidden="false" customHeight="false" outlineLevel="0" collapsed="false">
      <c r="B154" s="33"/>
      <c r="C154" s="30"/>
      <c r="D154" s="30"/>
      <c r="E154" s="31"/>
      <c r="F154" s="30"/>
      <c r="G154" s="30"/>
      <c r="H154" s="34" t="str">
        <f aca="false">IF(D154="","",IFERROR(INDEX(Categorias!$D$6:$D$45,MATCH(D154,Categorias!$B$6:$B$45,0))&amp;"",""))</f>
        <v/>
      </c>
      <c r="I154" s="35"/>
      <c r="J154" s="35"/>
      <c r="K154" s="35"/>
      <c r="L154" s="36" t="str">
        <f aca="false">IF(OR(H154="",COUNTIF(I154:K154,"S")+COUNTIF(I154:K154,"N")&lt;3),"",COUNTIF(I154:K154,"S")*IF(H154="S",5,IF(H154="M",4,IF(H154="E",3,2))))</f>
        <v/>
      </c>
      <c r="M154" s="37" t="str">
        <f aca="false">IF(L154="","",IF(L154&gt;=12,"Executar",IF(L154&gt;=8,"Executar com controle",IF(L154&gt;=5,"Postergar","Cancelar"))))</f>
        <v/>
      </c>
      <c r="O154" s="28" t="str">
        <f aca="false">IF(D154="","",IFERROR(INDEX(Categorias!$C$6:$C$45,MATCH(D154,Categorias!$B$6:$B$45,0)),"Sem grupo"))</f>
        <v/>
      </c>
      <c r="P154" s="38" t="str">
        <f aca="false">IF(B154="","",DATE(YEAR(B154),MONTH(B154),1))</f>
        <v/>
      </c>
    </row>
    <row r="155" customFormat="false" ht="15" hidden="false" customHeight="false" outlineLevel="0" collapsed="false">
      <c r="B155" s="33"/>
      <c r="C155" s="30"/>
      <c r="D155" s="30"/>
      <c r="E155" s="31"/>
      <c r="F155" s="30"/>
      <c r="G155" s="30"/>
      <c r="H155" s="34" t="str">
        <f aca="false">IF(D155="","",IFERROR(INDEX(Categorias!$D$6:$D$45,MATCH(D155,Categorias!$B$6:$B$45,0))&amp;"",""))</f>
        <v/>
      </c>
      <c r="I155" s="35"/>
      <c r="J155" s="35"/>
      <c r="K155" s="35"/>
      <c r="L155" s="36" t="str">
        <f aca="false">IF(OR(H155="",COUNTIF(I155:K155,"S")+COUNTIF(I155:K155,"N")&lt;3),"",COUNTIF(I155:K155,"S")*IF(H155="S",5,IF(H155="M",4,IF(H155="E",3,2))))</f>
        <v/>
      </c>
      <c r="M155" s="37" t="str">
        <f aca="false">IF(L155="","",IF(L155&gt;=12,"Executar",IF(L155&gt;=8,"Executar com controle",IF(L155&gt;=5,"Postergar","Cancelar"))))</f>
        <v/>
      </c>
      <c r="O155" s="28" t="str">
        <f aca="false">IF(D155="","",IFERROR(INDEX(Categorias!$C$6:$C$45,MATCH(D155,Categorias!$B$6:$B$45,0)),"Sem grupo"))</f>
        <v/>
      </c>
      <c r="P155" s="38" t="str">
        <f aca="false">IF(B155="","",DATE(YEAR(B155),MONTH(B155),1))</f>
        <v/>
      </c>
    </row>
    <row r="156" customFormat="false" ht="15" hidden="false" customHeight="false" outlineLevel="0" collapsed="false">
      <c r="B156" s="33"/>
      <c r="C156" s="30"/>
      <c r="D156" s="30"/>
      <c r="E156" s="31"/>
      <c r="F156" s="30"/>
      <c r="G156" s="30"/>
      <c r="H156" s="34" t="str">
        <f aca="false">IF(D156="","",IFERROR(INDEX(Categorias!$D$6:$D$45,MATCH(D156,Categorias!$B$6:$B$45,0))&amp;"",""))</f>
        <v/>
      </c>
      <c r="I156" s="35"/>
      <c r="J156" s="35"/>
      <c r="K156" s="35"/>
      <c r="L156" s="36" t="str">
        <f aca="false">IF(OR(H156="",COUNTIF(I156:K156,"S")+COUNTIF(I156:K156,"N")&lt;3),"",COUNTIF(I156:K156,"S")*IF(H156="S",5,IF(H156="M",4,IF(H156="E",3,2))))</f>
        <v/>
      </c>
      <c r="M156" s="37" t="str">
        <f aca="false">IF(L156="","",IF(L156&gt;=12,"Executar",IF(L156&gt;=8,"Executar com controle",IF(L156&gt;=5,"Postergar","Cancelar"))))</f>
        <v/>
      </c>
      <c r="O156" s="28" t="str">
        <f aca="false">IF(D156="","",IFERROR(INDEX(Categorias!$C$6:$C$45,MATCH(D156,Categorias!$B$6:$B$45,0)),"Sem grupo"))</f>
        <v/>
      </c>
      <c r="P156" s="38" t="str">
        <f aca="false">IF(B156="","",DATE(YEAR(B156),MONTH(B156),1))</f>
        <v/>
      </c>
    </row>
    <row r="157" customFormat="false" ht="15" hidden="false" customHeight="false" outlineLevel="0" collapsed="false">
      <c r="B157" s="33"/>
      <c r="C157" s="30"/>
      <c r="D157" s="30"/>
      <c r="E157" s="31"/>
      <c r="F157" s="30"/>
      <c r="G157" s="30"/>
      <c r="H157" s="34" t="str">
        <f aca="false">IF(D157="","",IFERROR(INDEX(Categorias!$D$6:$D$45,MATCH(D157,Categorias!$B$6:$B$45,0))&amp;"",""))</f>
        <v/>
      </c>
      <c r="I157" s="35"/>
      <c r="J157" s="35"/>
      <c r="K157" s="35"/>
      <c r="L157" s="36" t="str">
        <f aca="false">IF(OR(H157="",COUNTIF(I157:K157,"S")+COUNTIF(I157:K157,"N")&lt;3),"",COUNTIF(I157:K157,"S")*IF(H157="S",5,IF(H157="M",4,IF(H157="E",3,2))))</f>
        <v/>
      </c>
      <c r="M157" s="37" t="str">
        <f aca="false">IF(L157="","",IF(L157&gt;=12,"Executar",IF(L157&gt;=8,"Executar com controle",IF(L157&gt;=5,"Postergar","Cancelar"))))</f>
        <v/>
      </c>
      <c r="O157" s="28" t="str">
        <f aca="false">IF(D157="","",IFERROR(INDEX(Categorias!$C$6:$C$45,MATCH(D157,Categorias!$B$6:$B$45,0)),"Sem grupo"))</f>
        <v/>
      </c>
      <c r="P157" s="38" t="str">
        <f aca="false">IF(B157="","",DATE(YEAR(B157),MONTH(B157),1))</f>
        <v/>
      </c>
    </row>
    <row r="158" customFormat="false" ht="15" hidden="false" customHeight="false" outlineLevel="0" collapsed="false">
      <c r="B158" s="33"/>
      <c r="C158" s="30"/>
      <c r="D158" s="30"/>
      <c r="E158" s="31"/>
      <c r="F158" s="30"/>
      <c r="G158" s="30"/>
      <c r="H158" s="34" t="str">
        <f aca="false">IF(D158="","",IFERROR(INDEX(Categorias!$D$6:$D$45,MATCH(D158,Categorias!$B$6:$B$45,0))&amp;"",""))</f>
        <v/>
      </c>
      <c r="I158" s="35"/>
      <c r="J158" s="35"/>
      <c r="K158" s="35"/>
      <c r="L158" s="36" t="str">
        <f aca="false">IF(OR(H158="",COUNTIF(I158:K158,"S")+COUNTIF(I158:K158,"N")&lt;3),"",COUNTIF(I158:K158,"S")*IF(H158="S",5,IF(H158="M",4,IF(H158="E",3,2))))</f>
        <v/>
      </c>
      <c r="M158" s="37" t="str">
        <f aca="false">IF(L158="","",IF(L158&gt;=12,"Executar",IF(L158&gt;=8,"Executar com controle",IF(L158&gt;=5,"Postergar","Cancelar"))))</f>
        <v/>
      </c>
      <c r="O158" s="28" t="str">
        <f aca="false">IF(D158="","",IFERROR(INDEX(Categorias!$C$6:$C$45,MATCH(D158,Categorias!$B$6:$B$45,0)),"Sem grupo"))</f>
        <v/>
      </c>
      <c r="P158" s="38" t="str">
        <f aca="false">IF(B158="","",DATE(YEAR(B158),MONTH(B158),1))</f>
        <v/>
      </c>
    </row>
    <row r="159" customFormat="false" ht="15" hidden="false" customHeight="false" outlineLevel="0" collapsed="false">
      <c r="B159" s="33"/>
      <c r="C159" s="30"/>
      <c r="D159" s="30"/>
      <c r="E159" s="31"/>
      <c r="F159" s="30"/>
      <c r="G159" s="30"/>
      <c r="H159" s="34" t="str">
        <f aca="false">IF(D159="","",IFERROR(INDEX(Categorias!$D$6:$D$45,MATCH(D159,Categorias!$B$6:$B$45,0))&amp;"",""))</f>
        <v/>
      </c>
      <c r="I159" s="35"/>
      <c r="J159" s="35"/>
      <c r="K159" s="35"/>
      <c r="L159" s="36" t="str">
        <f aca="false">IF(OR(H159="",COUNTIF(I159:K159,"S")+COUNTIF(I159:K159,"N")&lt;3),"",COUNTIF(I159:K159,"S")*IF(H159="S",5,IF(H159="M",4,IF(H159="E",3,2))))</f>
        <v/>
      </c>
      <c r="M159" s="37" t="str">
        <f aca="false">IF(L159="","",IF(L159&gt;=12,"Executar",IF(L159&gt;=8,"Executar com controle",IF(L159&gt;=5,"Postergar","Cancelar"))))</f>
        <v/>
      </c>
      <c r="O159" s="28" t="str">
        <f aca="false">IF(D159="","",IFERROR(INDEX(Categorias!$C$6:$C$45,MATCH(D159,Categorias!$B$6:$B$45,0)),"Sem grupo"))</f>
        <v/>
      </c>
      <c r="P159" s="38" t="str">
        <f aca="false">IF(B159="","",DATE(YEAR(B159),MONTH(B159),1))</f>
        <v/>
      </c>
    </row>
    <row r="160" customFormat="false" ht="15" hidden="false" customHeight="false" outlineLevel="0" collapsed="false">
      <c r="B160" s="33"/>
      <c r="C160" s="30"/>
      <c r="D160" s="30"/>
      <c r="E160" s="31"/>
      <c r="F160" s="30"/>
      <c r="G160" s="30"/>
      <c r="H160" s="34" t="str">
        <f aca="false">IF(D160="","",IFERROR(INDEX(Categorias!$D$6:$D$45,MATCH(D160,Categorias!$B$6:$B$45,0))&amp;"",""))</f>
        <v/>
      </c>
      <c r="I160" s="35"/>
      <c r="J160" s="35"/>
      <c r="K160" s="35"/>
      <c r="L160" s="36" t="str">
        <f aca="false">IF(OR(H160="",COUNTIF(I160:K160,"S")+COUNTIF(I160:K160,"N")&lt;3),"",COUNTIF(I160:K160,"S")*IF(H160="S",5,IF(H160="M",4,IF(H160="E",3,2))))</f>
        <v/>
      </c>
      <c r="M160" s="37" t="str">
        <f aca="false">IF(L160="","",IF(L160&gt;=12,"Executar",IF(L160&gt;=8,"Executar com controle",IF(L160&gt;=5,"Postergar","Cancelar"))))</f>
        <v/>
      </c>
      <c r="O160" s="28" t="str">
        <f aca="false">IF(D160="","",IFERROR(INDEX(Categorias!$C$6:$C$45,MATCH(D160,Categorias!$B$6:$B$45,0)),"Sem grupo"))</f>
        <v/>
      </c>
      <c r="P160" s="38" t="str">
        <f aca="false">IF(B160="","",DATE(YEAR(B160),MONTH(B160),1))</f>
        <v/>
      </c>
    </row>
    <row r="161" customFormat="false" ht="15" hidden="false" customHeight="false" outlineLevel="0" collapsed="false">
      <c r="B161" s="33"/>
      <c r="C161" s="30"/>
      <c r="D161" s="30"/>
      <c r="E161" s="31"/>
      <c r="F161" s="30"/>
      <c r="G161" s="30"/>
      <c r="H161" s="34" t="str">
        <f aca="false">IF(D161="","",IFERROR(INDEX(Categorias!$D$6:$D$45,MATCH(D161,Categorias!$B$6:$B$45,0))&amp;"",""))</f>
        <v/>
      </c>
      <c r="I161" s="35"/>
      <c r="J161" s="35"/>
      <c r="K161" s="35"/>
      <c r="L161" s="36" t="str">
        <f aca="false">IF(OR(H161="",COUNTIF(I161:K161,"S")+COUNTIF(I161:K161,"N")&lt;3),"",COUNTIF(I161:K161,"S")*IF(H161="S",5,IF(H161="M",4,IF(H161="E",3,2))))</f>
        <v/>
      </c>
      <c r="M161" s="37" t="str">
        <f aca="false">IF(L161="","",IF(L161&gt;=12,"Executar",IF(L161&gt;=8,"Executar com controle",IF(L161&gt;=5,"Postergar","Cancelar"))))</f>
        <v/>
      </c>
      <c r="O161" s="28" t="str">
        <f aca="false">IF(D161="","",IFERROR(INDEX(Categorias!$C$6:$C$45,MATCH(D161,Categorias!$B$6:$B$45,0)),"Sem grupo"))</f>
        <v/>
      </c>
      <c r="P161" s="38" t="str">
        <f aca="false">IF(B161="","",DATE(YEAR(B161),MONTH(B161),1))</f>
        <v/>
      </c>
    </row>
    <row r="162" customFormat="false" ht="15" hidden="false" customHeight="false" outlineLevel="0" collapsed="false">
      <c r="B162" s="33"/>
      <c r="C162" s="30"/>
      <c r="D162" s="30"/>
      <c r="E162" s="31"/>
      <c r="F162" s="30"/>
      <c r="G162" s="30"/>
      <c r="H162" s="34" t="str">
        <f aca="false">IF(D162="","",IFERROR(INDEX(Categorias!$D$6:$D$45,MATCH(D162,Categorias!$B$6:$B$45,0))&amp;"",""))</f>
        <v/>
      </c>
      <c r="I162" s="35"/>
      <c r="J162" s="35"/>
      <c r="K162" s="35"/>
      <c r="L162" s="36" t="str">
        <f aca="false">IF(OR(H162="",COUNTIF(I162:K162,"S")+COUNTIF(I162:K162,"N")&lt;3),"",COUNTIF(I162:K162,"S")*IF(H162="S",5,IF(H162="M",4,IF(H162="E",3,2))))</f>
        <v/>
      </c>
      <c r="M162" s="37" t="str">
        <f aca="false">IF(L162="","",IF(L162&gt;=12,"Executar",IF(L162&gt;=8,"Executar com controle",IF(L162&gt;=5,"Postergar","Cancelar"))))</f>
        <v/>
      </c>
      <c r="O162" s="28" t="str">
        <f aca="false">IF(D162="","",IFERROR(INDEX(Categorias!$C$6:$C$45,MATCH(D162,Categorias!$B$6:$B$45,0)),"Sem grupo"))</f>
        <v/>
      </c>
      <c r="P162" s="38" t="str">
        <f aca="false">IF(B162="","",DATE(YEAR(B162),MONTH(B162),1))</f>
        <v/>
      </c>
    </row>
    <row r="163" customFormat="false" ht="15" hidden="false" customHeight="false" outlineLevel="0" collapsed="false">
      <c r="B163" s="33"/>
      <c r="C163" s="30"/>
      <c r="D163" s="30"/>
      <c r="E163" s="31"/>
      <c r="F163" s="30"/>
      <c r="G163" s="30"/>
      <c r="H163" s="34" t="str">
        <f aca="false">IF(D163="","",IFERROR(INDEX(Categorias!$D$6:$D$45,MATCH(D163,Categorias!$B$6:$B$45,0))&amp;"",""))</f>
        <v/>
      </c>
      <c r="I163" s="35"/>
      <c r="J163" s="35"/>
      <c r="K163" s="35"/>
      <c r="L163" s="36" t="str">
        <f aca="false">IF(OR(H163="",COUNTIF(I163:K163,"S")+COUNTIF(I163:K163,"N")&lt;3),"",COUNTIF(I163:K163,"S")*IF(H163="S",5,IF(H163="M",4,IF(H163="E",3,2))))</f>
        <v/>
      </c>
      <c r="M163" s="37" t="str">
        <f aca="false">IF(L163="","",IF(L163&gt;=12,"Executar",IF(L163&gt;=8,"Executar com controle",IF(L163&gt;=5,"Postergar","Cancelar"))))</f>
        <v/>
      </c>
      <c r="O163" s="28" t="str">
        <f aca="false">IF(D163="","",IFERROR(INDEX(Categorias!$C$6:$C$45,MATCH(D163,Categorias!$B$6:$B$45,0)),"Sem grupo"))</f>
        <v/>
      </c>
      <c r="P163" s="38" t="str">
        <f aca="false">IF(B163="","",DATE(YEAR(B163),MONTH(B163),1))</f>
        <v/>
      </c>
    </row>
    <row r="164" customFormat="false" ht="15" hidden="false" customHeight="false" outlineLevel="0" collapsed="false">
      <c r="B164" s="33"/>
      <c r="C164" s="30"/>
      <c r="D164" s="30"/>
      <c r="E164" s="31"/>
      <c r="F164" s="30"/>
      <c r="G164" s="30"/>
      <c r="H164" s="34" t="str">
        <f aca="false">IF(D164="","",IFERROR(INDEX(Categorias!$D$6:$D$45,MATCH(D164,Categorias!$B$6:$B$45,0))&amp;"",""))</f>
        <v/>
      </c>
      <c r="I164" s="35"/>
      <c r="J164" s="35"/>
      <c r="K164" s="35"/>
      <c r="L164" s="36" t="str">
        <f aca="false">IF(OR(H164="",COUNTIF(I164:K164,"S")+COUNTIF(I164:K164,"N")&lt;3),"",COUNTIF(I164:K164,"S")*IF(H164="S",5,IF(H164="M",4,IF(H164="E",3,2))))</f>
        <v/>
      </c>
      <c r="M164" s="37" t="str">
        <f aca="false">IF(L164="","",IF(L164&gt;=12,"Executar",IF(L164&gt;=8,"Executar com controle",IF(L164&gt;=5,"Postergar","Cancelar"))))</f>
        <v/>
      </c>
      <c r="O164" s="28" t="str">
        <f aca="false">IF(D164="","",IFERROR(INDEX(Categorias!$C$6:$C$45,MATCH(D164,Categorias!$B$6:$B$45,0)),"Sem grupo"))</f>
        <v/>
      </c>
      <c r="P164" s="38" t="str">
        <f aca="false">IF(B164="","",DATE(YEAR(B164),MONTH(B164),1))</f>
        <v/>
      </c>
    </row>
    <row r="165" customFormat="false" ht="15" hidden="false" customHeight="false" outlineLevel="0" collapsed="false">
      <c r="B165" s="33"/>
      <c r="C165" s="30"/>
      <c r="D165" s="30"/>
      <c r="E165" s="31"/>
      <c r="F165" s="30"/>
      <c r="G165" s="30"/>
      <c r="H165" s="34" t="str">
        <f aca="false">IF(D165="","",IFERROR(INDEX(Categorias!$D$6:$D$45,MATCH(D165,Categorias!$B$6:$B$45,0))&amp;"",""))</f>
        <v/>
      </c>
      <c r="I165" s="35"/>
      <c r="J165" s="35"/>
      <c r="K165" s="35"/>
      <c r="L165" s="36" t="str">
        <f aca="false">IF(OR(H165="",COUNTIF(I165:K165,"S")+COUNTIF(I165:K165,"N")&lt;3),"",COUNTIF(I165:K165,"S")*IF(H165="S",5,IF(H165="M",4,IF(H165="E",3,2))))</f>
        <v/>
      </c>
      <c r="M165" s="37" t="str">
        <f aca="false">IF(L165="","",IF(L165&gt;=12,"Executar",IF(L165&gt;=8,"Executar com controle",IF(L165&gt;=5,"Postergar","Cancelar"))))</f>
        <v/>
      </c>
      <c r="O165" s="28" t="str">
        <f aca="false">IF(D165="","",IFERROR(INDEX(Categorias!$C$6:$C$45,MATCH(D165,Categorias!$B$6:$B$45,0)),"Sem grupo"))</f>
        <v/>
      </c>
      <c r="P165" s="38" t="str">
        <f aca="false">IF(B165="","",DATE(YEAR(B165),MONTH(B165),1))</f>
        <v/>
      </c>
    </row>
    <row r="166" customFormat="false" ht="15" hidden="false" customHeight="false" outlineLevel="0" collapsed="false">
      <c r="B166" s="33"/>
      <c r="C166" s="30"/>
      <c r="D166" s="30"/>
      <c r="E166" s="31"/>
      <c r="F166" s="30"/>
      <c r="G166" s="30"/>
      <c r="H166" s="34" t="str">
        <f aca="false">IF(D166="","",IFERROR(INDEX(Categorias!$D$6:$D$45,MATCH(D166,Categorias!$B$6:$B$45,0))&amp;"",""))</f>
        <v/>
      </c>
      <c r="I166" s="35"/>
      <c r="J166" s="35"/>
      <c r="K166" s="35"/>
      <c r="L166" s="36" t="str">
        <f aca="false">IF(OR(H166="",COUNTIF(I166:K166,"S")+COUNTIF(I166:K166,"N")&lt;3),"",COUNTIF(I166:K166,"S")*IF(H166="S",5,IF(H166="M",4,IF(H166="E",3,2))))</f>
        <v/>
      </c>
      <c r="M166" s="37" t="str">
        <f aca="false">IF(L166="","",IF(L166&gt;=12,"Executar",IF(L166&gt;=8,"Executar com controle",IF(L166&gt;=5,"Postergar","Cancelar"))))</f>
        <v/>
      </c>
      <c r="O166" s="28" t="str">
        <f aca="false">IF(D166="","",IFERROR(INDEX(Categorias!$C$6:$C$45,MATCH(D166,Categorias!$B$6:$B$45,0)),"Sem grupo"))</f>
        <v/>
      </c>
      <c r="P166" s="38" t="str">
        <f aca="false">IF(B166="","",DATE(YEAR(B166),MONTH(B166),1))</f>
        <v/>
      </c>
    </row>
    <row r="167" customFormat="false" ht="15" hidden="false" customHeight="false" outlineLevel="0" collapsed="false">
      <c r="B167" s="33"/>
      <c r="C167" s="30"/>
      <c r="D167" s="30"/>
      <c r="E167" s="31"/>
      <c r="F167" s="30"/>
      <c r="G167" s="30"/>
      <c r="H167" s="34" t="str">
        <f aca="false">IF(D167="","",IFERROR(INDEX(Categorias!$D$6:$D$45,MATCH(D167,Categorias!$B$6:$B$45,0))&amp;"",""))</f>
        <v/>
      </c>
      <c r="I167" s="35"/>
      <c r="J167" s="35"/>
      <c r="K167" s="35"/>
      <c r="L167" s="36" t="str">
        <f aca="false">IF(OR(H167="",COUNTIF(I167:K167,"S")+COUNTIF(I167:K167,"N")&lt;3),"",COUNTIF(I167:K167,"S")*IF(H167="S",5,IF(H167="M",4,IF(H167="E",3,2))))</f>
        <v/>
      </c>
      <c r="M167" s="37" t="str">
        <f aca="false">IF(L167="","",IF(L167&gt;=12,"Executar",IF(L167&gt;=8,"Executar com controle",IF(L167&gt;=5,"Postergar","Cancelar"))))</f>
        <v/>
      </c>
      <c r="O167" s="28" t="str">
        <f aca="false">IF(D167="","",IFERROR(INDEX(Categorias!$C$6:$C$45,MATCH(D167,Categorias!$B$6:$B$45,0)),"Sem grupo"))</f>
        <v/>
      </c>
      <c r="P167" s="38" t="str">
        <f aca="false">IF(B167="","",DATE(YEAR(B167),MONTH(B167),1))</f>
        <v/>
      </c>
    </row>
    <row r="168" customFormat="false" ht="15" hidden="false" customHeight="false" outlineLevel="0" collapsed="false">
      <c r="B168" s="33"/>
      <c r="C168" s="30"/>
      <c r="D168" s="30"/>
      <c r="E168" s="31"/>
      <c r="F168" s="30"/>
      <c r="G168" s="30"/>
      <c r="H168" s="34" t="str">
        <f aca="false">IF(D168="","",IFERROR(INDEX(Categorias!$D$6:$D$45,MATCH(D168,Categorias!$B$6:$B$45,0))&amp;"",""))</f>
        <v/>
      </c>
      <c r="I168" s="35"/>
      <c r="J168" s="35"/>
      <c r="K168" s="35"/>
      <c r="L168" s="36" t="str">
        <f aca="false">IF(OR(H168="",COUNTIF(I168:K168,"S")+COUNTIF(I168:K168,"N")&lt;3),"",COUNTIF(I168:K168,"S")*IF(H168="S",5,IF(H168="M",4,IF(H168="E",3,2))))</f>
        <v/>
      </c>
      <c r="M168" s="37" t="str">
        <f aca="false">IF(L168="","",IF(L168&gt;=12,"Executar",IF(L168&gt;=8,"Executar com controle",IF(L168&gt;=5,"Postergar","Cancelar"))))</f>
        <v/>
      </c>
      <c r="O168" s="28" t="str">
        <f aca="false">IF(D168="","",IFERROR(INDEX(Categorias!$C$6:$C$45,MATCH(D168,Categorias!$B$6:$B$45,0)),"Sem grupo"))</f>
        <v/>
      </c>
      <c r="P168" s="38" t="str">
        <f aca="false">IF(B168="","",DATE(YEAR(B168),MONTH(B168),1))</f>
        <v/>
      </c>
    </row>
    <row r="169" customFormat="false" ht="15" hidden="false" customHeight="false" outlineLevel="0" collapsed="false">
      <c r="B169" s="33"/>
      <c r="C169" s="30"/>
      <c r="D169" s="30"/>
      <c r="E169" s="31"/>
      <c r="F169" s="30"/>
      <c r="G169" s="30"/>
      <c r="H169" s="34" t="str">
        <f aca="false">IF(D169="","",IFERROR(INDEX(Categorias!$D$6:$D$45,MATCH(D169,Categorias!$B$6:$B$45,0))&amp;"",""))</f>
        <v/>
      </c>
      <c r="I169" s="35"/>
      <c r="J169" s="35"/>
      <c r="K169" s="35"/>
      <c r="L169" s="36" t="str">
        <f aca="false">IF(OR(H169="",COUNTIF(I169:K169,"S")+COUNTIF(I169:K169,"N")&lt;3),"",COUNTIF(I169:K169,"S")*IF(H169="S",5,IF(H169="M",4,IF(H169="E",3,2))))</f>
        <v/>
      </c>
      <c r="M169" s="37" t="str">
        <f aca="false">IF(L169="","",IF(L169&gt;=12,"Executar",IF(L169&gt;=8,"Executar com controle",IF(L169&gt;=5,"Postergar","Cancelar"))))</f>
        <v/>
      </c>
      <c r="O169" s="28" t="str">
        <f aca="false">IF(D169="","",IFERROR(INDEX(Categorias!$C$6:$C$45,MATCH(D169,Categorias!$B$6:$B$45,0)),"Sem grupo"))</f>
        <v/>
      </c>
      <c r="P169" s="38" t="str">
        <f aca="false">IF(B169="","",DATE(YEAR(B169),MONTH(B169),1))</f>
        <v/>
      </c>
    </row>
    <row r="170" customFormat="false" ht="15" hidden="false" customHeight="false" outlineLevel="0" collapsed="false">
      <c r="B170" s="33"/>
      <c r="C170" s="30"/>
      <c r="D170" s="30"/>
      <c r="E170" s="31"/>
      <c r="F170" s="30"/>
      <c r="G170" s="30"/>
      <c r="H170" s="34" t="str">
        <f aca="false">IF(D170="","",IFERROR(INDEX(Categorias!$D$6:$D$45,MATCH(D170,Categorias!$B$6:$B$45,0))&amp;"",""))</f>
        <v/>
      </c>
      <c r="I170" s="35"/>
      <c r="J170" s="35"/>
      <c r="K170" s="35"/>
      <c r="L170" s="36" t="str">
        <f aca="false">IF(OR(H170="",COUNTIF(I170:K170,"S")+COUNTIF(I170:K170,"N")&lt;3),"",COUNTIF(I170:K170,"S")*IF(H170="S",5,IF(H170="M",4,IF(H170="E",3,2))))</f>
        <v/>
      </c>
      <c r="M170" s="37" t="str">
        <f aca="false">IF(L170="","",IF(L170&gt;=12,"Executar",IF(L170&gt;=8,"Executar com controle",IF(L170&gt;=5,"Postergar","Cancelar"))))</f>
        <v/>
      </c>
      <c r="O170" s="28" t="str">
        <f aca="false">IF(D170="","",IFERROR(INDEX(Categorias!$C$6:$C$45,MATCH(D170,Categorias!$B$6:$B$45,0)),"Sem grupo"))</f>
        <v/>
      </c>
      <c r="P170" s="38" t="str">
        <f aca="false">IF(B170="","",DATE(YEAR(B170),MONTH(B170),1))</f>
        <v/>
      </c>
    </row>
    <row r="171" customFormat="false" ht="15" hidden="false" customHeight="false" outlineLevel="0" collapsed="false">
      <c r="B171" s="33"/>
      <c r="C171" s="30"/>
      <c r="D171" s="30"/>
      <c r="E171" s="31"/>
      <c r="F171" s="30"/>
      <c r="G171" s="30"/>
      <c r="H171" s="34" t="str">
        <f aca="false">IF(D171="","",IFERROR(INDEX(Categorias!$D$6:$D$45,MATCH(D171,Categorias!$B$6:$B$45,0))&amp;"",""))</f>
        <v/>
      </c>
      <c r="I171" s="35"/>
      <c r="J171" s="35"/>
      <c r="K171" s="35"/>
      <c r="L171" s="36" t="str">
        <f aca="false">IF(OR(H171="",COUNTIF(I171:K171,"S")+COUNTIF(I171:K171,"N")&lt;3),"",COUNTIF(I171:K171,"S")*IF(H171="S",5,IF(H171="M",4,IF(H171="E",3,2))))</f>
        <v/>
      </c>
      <c r="M171" s="37" t="str">
        <f aca="false">IF(L171="","",IF(L171&gt;=12,"Executar",IF(L171&gt;=8,"Executar com controle",IF(L171&gt;=5,"Postergar","Cancelar"))))</f>
        <v/>
      </c>
      <c r="O171" s="28" t="str">
        <f aca="false">IF(D171="","",IFERROR(INDEX(Categorias!$C$6:$C$45,MATCH(D171,Categorias!$B$6:$B$45,0)),"Sem grupo"))</f>
        <v/>
      </c>
      <c r="P171" s="38" t="str">
        <f aca="false">IF(B171="","",DATE(YEAR(B171),MONTH(B171),1))</f>
        <v/>
      </c>
    </row>
    <row r="172" customFormat="false" ht="15" hidden="false" customHeight="false" outlineLevel="0" collapsed="false">
      <c r="B172" s="33"/>
      <c r="C172" s="30"/>
      <c r="D172" s="30"/>
      <c r="E172" s="31"/>
      <c r="F172" s="30"/>
      <c r="G172" s="30"/>
      <c r="H172" s="34" t="str">
        <f aca="false">IF(D172="","",IFERROR(INDEX(Categorias!$D$6:$D$45,MATCH(D172,Categorias!$B$6:$B$45,0))&amp;"",""))</f>
        <v/>
      </c>
      <c r="I172" s="35"/>
      <c r="J172" s="35"/>
      <c r="K172" s="35"/>
      <c r="L172" s="36" t="str">
        <f aca="false">IF(OR(H172="",COUNTIF(I172:K172,"S")+COUNTIF(I172:K172,"N")&lt;3),"",COUNTIF(I172:K172,"S")*IF(H172="S",5,IF(H172="M",4,IF(H172="E",3,2))))</f>
        <v/>
      </c>
      <c r="M172" s="37" t="str">
        <f aca="false">IF(L172="","",IF(L172&gt;=12,"Executar",IF(L172&gt;=8,"Executar com controle",IF(L172&gt;=5,"Postergar","Cancelar"))))</f>
        <v/>
      </c>
      <c r="O172" s="28" t="str">
        <f aca="false">IF(D172="","",IFERROR(INDEX(Categorias!$C$6:$C$45,MATCH(D172,Categorias!$B$6:$B$45,0)),"Sem grupo"))</f>
        <v/>
      </c>
      <c r="P172" s="38" t="str">
        <f aca="false">IF(B172="","",DATE(YEAR(B172),MONTH(B172),1))</f>
        <v/>
      </c>
    </row>
    <row r="173" customFormat="false" ht="15" hidden="false" customHeight="false" outlineLevel="0" collapsed="false">
      <c r="B173" s="33"/>
      <c r="C173" s="30"/>
      <c r="D173" s="30"/>
      <c r="E173" s="31"/>
      <c r="F173" s="30"/>
      <c r="G173" s="30"/>
      <c r="H173" s="34" t="str">
        <f aca="false">IF(D173="","",IFERROR(INDEX(Categorias!$D$6:$D$45,MATCH(D173,Categorias!$B$6:$B$45,0))&amp;"",""))</f>
        <v/>
      </c>
      <c r="I173" s="35"/>
      <c r="J173" s="35"/>
      <c r="K173" s="35"/>
      <c r="L173" s="36" t="str">
        <f aca="false">IF(OR(H173="",COUNTIF(I173:K173,"S")+COUNTIF(I173:K173,"N")&lt;3),"",COUNTIF(I173:K173,"S")*IF(H173="S",5,IF(H173="M",4,IF(H173="E",3,2))))</f>
        <v/>
      </c>
      <c r="M173" s="37" t="str">
        <f aca="false">IF(L173="","",IF(L173&gt;=12,"Executar",IF(L173&gt;=8,"Executar com controle",IF(L173&gt;=5,"Postergar","Cancelar"))))</f>
        <v/>
      </c>
      <c r="O173" s="28" t="str">
        <f aca="false">IF(D173="","",IFERROR(INDEX(Categorias!$C$6:$C$45,MATCH(D173,Categorias!$B$6:$B$45,0)),"Sem grupo"))</f>
        <v/>
      </c>
      <c r="P173" s="38" t="str">
        <f aca="false">IF(B173="","",DATE(YEAR(B173),MONTH(B173),1))</f>
        <v/>
      </c>
    </row>
    <row r="174" customFormat="false" ht="15" hidden="false" customHeight="false" outlineLevel="0" collapsed="false">
      <c r="B174" s="33"/>
      <c r="C174" s="30"/>
      <c r="D174" s="30"/>
      <c r="E174" s="31"/>
      <c r="F174" s="30"/>
      <c r="G174" s="30"/>
      <c r="H174" s="34" t="str">
        <f aca="false">IF(D174="","",IFERROR(INDEX(Categorias!$D$6:$D$45,MATCH(D174,Categorias!$B$6:$B$45,0))&amp;"",""))</f>
        <v/>
      </c>
      <c r="I174" s="35"/>
      <c r="J174" s="35"/>
      <c r="K174" s="35"/>
      <c r="L174" s="36" t="str">
        <f aca="false">IF(OR(H174="",COUNTIF(I174:K174,"S")+COUNTIF(I174:K174,"N")&lt;3),"",COUNTIF(I174:K174,"S")*IF(H174="S",5,IF(H174="M",4,IF(H174="E",3,2))))</f>
        <v/>
      </c>
      <c r="M174" s="37" t="str">
        <f aca="false">IF(L174="","",IF(L174&gt;=12,"Executar",IF(L174&gt;=8,"Executar com controle",IF(L174&gt;=5,"Postergar","Cancelar"))))</f>
        <v/>
      </c>
      <c r="O174" s="28" t="str">
        <f aca="false">IF(D174="","",IFERROR(INDEX(Categorias!$C$6:$C$45,MATCH(D174,Categorias!$B$6:$B$45,0)),"Sem grupo"))</f>
        <v/>
      </c>
      <c r="P174" s="38" t="str">
        <f aca="false">IF(B174="","",DATE(YEAR(B174),MONTH(B174),1))</f>
        <v/>
      </c>
    </row>
    <row r="175" customFormat="false" ht="15" hidden="false" customHeight="false" outlineLevel="0" collapsed="false">
      <c r="B175" s="33"/>
      <c r="C175" s="30"/>
      <c r="D175" s="30"/>
      <c r="E175" s="31"/>
      <c r="F175" s="30"/>
      <c r="G175" s="30"/>
      <c r="H175" s="34" t="str">
        <f aca="false">IF(D175="","",IFERROR(INDEX(Categorias!$D$6:$D$45,MATCH(D175,Categorias!$B$6:$B$45,0))&amp;"",""))</f>
        <v/>
      </c>
      <c r="I175" s="35"/>
      <c r="J175" s="35"/>
      <c r="K175" s="35"/>
      <c r="L175" s="36" t="str">
        <f aca="false">IF(OR(H175="",COUNTIF(I175:K175,"S")+COUNTIF(I175:K175,"N")&lt;3),"",COUNTIF(I175:K175,"S")*IF(H175="S",5,IF(H175="M",4,IF(H175="E",3,2))))</f>
        <v/>
      </c>
      <c r="M175" s="37" t="str">
        <f aca="false">IF(L175="","",IF(L175&gt;=12,"Executar",IF(L175&gt;=8,"Executar com controle",IF(L175&gt;=5,"Postergar","Cancelar"))))</f>
        <v/>
      </c>
      <c r="O175" s="28" t="str">
        <f aca="false">IF(D175="","",IFERROR(INDEX(Categorias!$C$6:$C$45,MATCH(D175,Categorias!$B$6:$B$45,0)),"Sem grupo"))</f>
        <v/>
      </c>
      <c r="P175" s="38" t="str">
        <f aca="false">IF(B175="","",DATE(YEAR(B175),MONTH(B175),1))</f>
        <v/>
      </c>
    </row>
    <row r="176" customFormat="false" ht="15" hidden="false" customHeight="false" outlineLevel="0" collapsed="false">
      <c r="B176" s="33"/>
      <c r="C176" s="30"/>
      <c r="D176" s="30"/>
      <c r="E176" s="31"/>
      <c r="F176" s="30"/>
      <c r="G176" s="30"/>
      <c r="H176" s="34" t="str">
        <f aca="false">IF(D176="","",IFERROR(INDEX(Categorias!$D$6:$D$45,MATCH(D176,Categorias!$B$6:$B$45,0))&amp;"",""))</f>
        <v/>
      </c>
      <c r="I176" s="35"/>
      <c r="J176" s="35"/>
      <c r="K176" s="35"/>
      <c r="L176" s="36" t="str">
        <f aca="false">IF(OR(H176="",COUNTIF(I176:K176,"S")+COUNTIF(I176:K176,"N")&lt;3),"",COUNTIF(I176:K176,"S")*IF(H176="S",5,IF(H176="M",4,IF(H176="E",3,2))))</f>
        <v/>
      </c>
      <c r="M176" s="37" t="str">
        <f aca="false">IF(L176="","",IF(L176&gt;=12,"Executar",IF(L176&gt;=8,"Executar com controle",IF(L176&gt;=5,"Postergar","Cancelar"))))</f>
        <v/>
      </c>
      <c r="O176" s="28" t="str">
        <f aca="false">IF(D176="","",IFERROR(INDEX(Categorias!$C$6:$C$45,MATCH(D176,Categorias!$B$6:$B$45,0)),"Sem grupo"))</f>
        <v/>
      </c>
      <c r="P176" s="38" t="str">
        <f aca="false">IF(B176="","",DATE(YEAR(B176),MONTH(B176),1))</f>
        <v/>
      </c>
    </row>
    <row r="177" customFormat="false" ht="15" hidden="false" customHeight="false" outlineLevel="0" collapsed="false">
      <c r="B177" s="33"/>
      <c r="C177" s="30"/>
      <c r="D177" s="30"/>
      <c r="E177" s="31"/>
      <c r="F177" s="30"/>
      <c r="G177" s="30"/>
      <c r="H177" s="34" t="str">
        <f aca="false">IF(D177="","",IFERROR(INDEX(Categorias!$D$6:$D$45,MATCH(D177,Categorias!$B$6:$B$45,0))&amp;"",""))</f>
        <v/>
      </c>
      <c r="I177" s="35"/>
      <c r="J177" s="35"/>
      <c r="K177" s="35"/>
      <c r="L177" s="36" t="str">
        <f aca="false">IF(OR(H177="",COUNTIF(I177:K177,"S")+COUNTIF(I177:K177,"N")&lt;3),"",COUNTIF(I177:K177,"S")*IF(H177="S",5,IF(H177="M",4,IF(H177="E",3,2))))</f>
        <v/>
      </c>
      <c r="M177" s="37" t="str">
        <f aca="false">IF(L177="","",IF(L177&gt;=12,"Executar",IF(L177&gt;=8,"Executar com controle",IF(L177&gt;=5,"Postergar","Cancelar"))))</f>
        <v/>
      </c>
      <c r="O177" s="28" t="str">
        <f aca="false">IF(D177="","",IFERROR(INDEX(Categorias!$C$6:$C$45,MATCH(D177,Categorias!$B$6:$B$45,0)),"Sem grupo"))</f>
        <v/>
      </c>
      <c r="P177" s="38" t="str">
        <f aca="false">IF(B177="","",DATE(YEAR(B177),MONTH(B177),1))</f>
        <v/>
      </c>
    </row>
    <row r="178" customFormat="false" ht="15" hidden="false" customHeight="false" outlineLevel="0" collapsed="false">
      <c r="B178" s="33"/>
      <c r="C178" s="30"/>
      <c r="D178" s="30"/>
      <c r="E178" s="31"/>
      <c r="F178" s="30"/>
      <c r="G178" s="30"/>
      <c r="H178" s="34" t="str">
        <f aca="false">IF(D178="","",IFERROR(INDEX(Categorias!$D$6:$D$45,MATCH(D178,Categorias!$B$6:$B$45,0))&amp;"",""))</f>
        <v/>
      </c>
      <c r="I178" s="35"/>
      <c r="J178" s="35"/>
      <c r="K178" s="35"/>
      <c r="L178" s="36" t="str">
        <f aca="false">IF(OR(H178="",COUNTIF(I178:K178,"S")+COUNTIF(I178:K178,"N")&lt;3),"",COUNTIF(I178:K178,"S")*IF(H178="S",5,IF(H178="M",4,IF(H178="E",3,2))))</f>
        <v/>
      </c>
      <c r="M178" s="37" t="str">
        <f aca="false">IF(L178="","",IF(L178&gt;=12,"Executar",IF(L178&gt;=8,"Executar com controle",IF(L178&gt;=5,"Postergar","Cancelar"))))</f>
        <v/>
      </c>
      <c r="O178" s="28" t="str">
        <f aca="false">IF(D178="","",IFERROR(INDEX(Categorias!$C$6:$C$45,MATCH(D178,Categorias!$B$6:$B$45,0)),"Sem grupo"))</f>
        <v/>
      </c>
      <c r="P178" s="38" t="str">
        <f aca="false">IF(B178="","",DATE(YEAR(B178),MONTH(B178),1))</f>
        <v/>
      </c>
    </row>
    <row r="179" customFormat="false" ht="15" hidden="false" customHeight="false" outlineLevel="0" collapsed="false">
      <c r="B179" s="33"/>
      <c r="C179" s="30"/>
      <c r="D179" s="30"/>
      <c r="E179" s="31"/>
      <c r="F179" s="30"/>
      <c r="G179" s="30"/>
      <c r="H179" s="34" t="str">
        <f aca="false">IF(D179="","",IFERROR(INDEX(Categorias!$D$6:$D$45,MATCH(D179,Categorias!$B$6:$B$45,0))&amp;"",""))</f>
        <v/>
      </c>
      <c r="I179" s="35"/>
      <c r="J179" s="35"/>
      <c r="K179" s="35"/>
      <c r="L179" s="36" t="str">
        <f aca="false">IF(OR(H179="",COUNTIF(I179:K179,"S")+COUNTIF(I179:K179,"N")&lt;3),"",COUNTIF(I179:K179,"S")*IF(H179="S",5,IF(H179="M",4,IF(H179="E",3,2))))</f>
        <v/>
      </c>
      <c r="M179" s="37" t="str">
        <f aca="false">IF(L179="","",IF(L179&gt;=12,"Executar",IF(L179&gt;=8,"Executar com controle",IF(L179&gt;=5,"Postergar","Cancelar"))))</f>
        <v/>
      </c>
      <c r="O179" s="28" t="str">
        <f aca="false">IF(D179="","",IFERROR(INDEX(Categorias!$C$6:$C$45,MATCH(D179,Categorias!$B$6:$B$45,0)),"Sem grupo"))</f>
        <v/>
      </c>
      <c r="P179" s="38" t="str">
        <f aca="false">IF(B179="","",DATE(YEAR(B179),MONTH(B179),1))</f>
        <v/>
      </c>
    </row>
    <row r="180" customFormat="false" ht="15" hidden="false" customHeight="false" outlineLevel="0" collapsed="false">
      <c r="B180" s="33"/>
      <c r="C180" s="30"/>
      <c r="D180" s="30"/>
      <c r="E180" s="31"/>
      <c r="F180" s="30"/>
      <c r="G180" s="30"/>
      <c r="H180" s="34" t="str">
        <f aca="false">IF(D180="","",IFERROR(INDEX(Categorias!$D$6:$D$45,MATCH(D180,Categorias!$B$6:$B$45,0))&amp;"",""))</f>
        <v/>
      </c>
      <c r="I180" s="35"/>
      <c r="J180" s="35"/>
      <c r="K180" s="35"/>
      <c r="L180" s="36" t="str">
        <f aca="false">IF(OR(H180="",COUNTIF(I180:K180,"S")+COUNTIF(I180:K180,"N")&lt;3),"",COUNTIF(I180:K180,"S")*IF(H180="S",5,IF(H180="M",4,IF(H180="E",3,2))))</f>
        <v/>
      </c>
      <c r="M180" s="37" t="str">
        <f aca="false">IF(L180="","",IF(L180&gt;=12,"Executar",IF(L180&gt;=8,"Executar com controle",IF(L180&gt;=5,"Postergar","Cancelar"))))</f>
        <v/>
      </c>
      <c r="O180" s="28" t="str">
        <f aca="false">IF(D180="","",IFERROR(INDEX(Categorias!$C$6:$C$45,MATCH(D180,Categorias!$B$6:$B$45,0)),"Sem grupo"))</f>
        <v/>
      </c>
      <c r="P180" s="38" t="str">
        <f aca="false">IF(B180="","",DATE(YEAR(B180),MONTH(B180),1))</f>
        <v/>
      </c>
    </row>
    <row r="181" customFormat="false" ht="15" hidden="false" customHeight="false" outlineLevel="0" collapsed="false">
      <c r="B181" s="33"/>
      <c r="C181" s="30"/>
      <c r="D181" s="30"/>
      <c r="E181" s="31"/>
      <c r="F181" s="30"/>
      <c r="G181" s="30"/>
      <c r="H181" s="34" t="str">
        <f aca="false">IF(D181="","",IFERROR(INDEX(Categorias!$D$6:$D$45,MATCH(D181,Categorias!$B$6:$B$45,0))&amp;"",""))</f>
        <v/>
      </c>
      <c r="I181" s="35"/>
      <c r="J181" s="35"/>
      <c r="K181" s="35"/>
      <c r="L181" s="36" t="str">
        <f aca="false">IF(OR(H181="",COUNTIF(I181:K181,"S")+COUNTIF(I181:K181,"N")&lt;3),"",COUNTIF(I181:K181,"S")*IF(H181="S",5,IF(H181="M",4,IF(H181="E",3,2))))</f>
        <v/>
      </c>
      <c r="M181" s="37" t="str">
        <f aca="false">IF(L181="","",IF(L181&gt;=12,"Executar",IF(L181&gt;=8,"Executar com controle",IF(L181&gt;=5,"Postergar","Cancelar"))))</f>
        <v/>
      </c>
      <c r="O181" s="28" t="str">
        <f aca="false">IF(D181="","",IFERROR(INDEX(Categorias!$C$6:$C$45,MATCH(D181,Categorias!$B$6:$B$45,0)),"Sem grupo"))</f>
        <v/>
      </c>
      <c r="P181" s="38" t="str">
        <f aca="false">IF(B181="","",DATE(YEAR(B181),MONTH(B181),1))</f>
        <v/>
      </c>
    </row>
    <row r="182" customFormat="false" ht="15" hidden="false" customHeight="false" outlineLevel="0" collapsed="false">
      <c r="B182" s="33"/>
      <c r="C182" s="30"/>
      <c r="D182" s="30"/>
      <c r="E182" s="31"/>
      <c r="F182" s="30"/>
      <c r="G182" s="30"/>
      <c r="H182" s="34" t="str">
        <f aca="false">IF(D182="","",IFERROR(INDEX(Categorias!$D$6:$D$45,MATCH(D182,Categorias!$B$6:$B$45,0))&amp;"",""))</f>
        <v/>
      </c>
      <c r="I182" s="35"/>
      <c r="J182" s="35"/>
      <c r="K182" s="35"/>
      <c r="L182" s="36" t="str">
        <f aca="false">IF(OR(H182="",COUNTIF(I182:K182,"S")+COUNTIF(I182:K182,"N")&lt;3),"",COUNTIF(I182:K182,"S")*IF(H182="S",5,IF(H182="M",4,IF(H182="E",3,2))))</f>
        <v/>
      </c>
      <c r="M182" s="37" t="str">
        <f aca="false">IF(L182="","",IF(L182&gt;=12,"Executar",IF(L182&gt;=8,"Executar com controle",IF(L182&gt;=5,"Postergar","Cancelar"))))</f>
        <v/>
      </c>
      <c r="O182" s="28" t="str">
        <f aca="false">IF(D182="","",IFERROR(INDEX(Categorias!$C$6:$C$45,MATCH(D182,Categorias!$B$6:$B$45,0)),"Sem grupo"))</f>
        <v/>
      </c>
      <c r="P182" s="38" t="str">
        <f aca="false">IF(B182="","",DATE(YEAR(B182),MONTH(B182),1))</f>
        <v/>
      </c>
    </row>
    <row r="183" customFormat="false" ht="15" hidden="false" customHeight="false" outlineLevel="0" collapsed="false">
      <c r="B183" s="33"/>
      <c r="C183" s="30"/>
      <c r="D183" s="30"/>
      <c r="E183" s="31"/>
      <c r="F183" s="30"/>
      <c r="G183" s="30"/>
      <c r="H183" s="34" t="str">
        <f aca="false">IF(D183="","",IFERROR(INDEX(Categorias!$D$6:$D$45,MATCH(D183,Categorias!$B$6:$B$45,0))&amp;"",""))</f>
        <v/>
      </c>
      <c r="I183" s="35"/>
      <c r="J183" s="35"/>
      <c r="K183" s="35"/>
      <c r="L183" s="36" t="str">
        <f aca="false">IF(OR(H183="",COUNTIF(I183:K183,"S")+COUNTIF(I183:K183,"N")&lt;3),"",COUNTIF(I183:K183,"S")*IF(H183="S",5,IF(H183="M",4,IF(H183="E",3,2))))</f>
        <v/>
      </c>
      <c r="M183" s="37" t="str">
        <f aca="false">IF(L183="","",IF(L183&gt;=12,"Executar",IF(L183&gt;=8,"Executar com controle",IF(L183&gt;=5,"Postergar","Cancelar"))))</f>
        <v/>
      </c>
      <c r="O183" s="28" t="str">
        <f aca="false">IF(D183="","",IFERROR(INDEX(Categorias!$C$6:$C$45,MATCH(D183,Categorias!$B$6:$B$45,0)),"Sem grupo"))</f>
        <v/>
      </c>
      <c r="P183" s="38" t="str">
        <f aca="false">IF(B183="","",DATE(YEAR(B183),MONTH(B183),1))</f>
        <v/>
      </c>
    </row>
    <row r="184" customFormat="false" ht="15" hidden="false" customHeight="false" outlineLevel="0" collapsed="false">
      <c r="B184" s="33"/>
      <c r="C184" s="30"/>
      <c r="D184" s="30"/>
      <c r="E184" s="31"/>
      <c r="F184" s="30"/>
      <c r="G184" s="30"/>
      <c r="H184" s="34" t="str">
        <f aca="false">IF(D184="","",IFERROR(INDEX(Categorias!$D$6:$D$45,MATCH(D184,Categorias!$B$6:$B$45,0))&amp;"",""))</f>
        <v/>
      </c>
      <c r="I184" s="35"/>
      <c r="J184" s="35"/>
      <c r="K184" s="35"/>
      <c r="L184" s="36" t="str">
        <f aca="false">IF(OR(H184="",COUNTIF(I184:K184,"S")+COUNTIF(I184:K184,"N")&lt;3),"",COUNTIF(I184:K184,"S")*IF(H184="S",5,IF(H184="M",4,IF(H184="E",3,2))))</f>
        <v/>
      </c>
      <c r="M184" s="37" t="str">
        <f aca="false">IF(L184="","",IF(L184&gt;=12,"Executar",IF(L184&gt;=8,"Executar com controle",IF(L184&gt;=5,"Postergar","Cancelar"))))</f>
        <v/>
      </c>
      <c r="O184" s="28" t="str">
        <f aca="false">IF(D184="","",IFERROR(INDEX(Categorias!$C$6:$C$45,MATCH(D184,Categorias!$B$6:$B$45,0)),"Sem grupo"))</f>
        <v/>
      </c>
      <c r="P184" s="38" t="str">
        <f aca="false">IF(B184="","",DATE(YEAR(B184),MONTH(B184),1))</f>
        <v/>
      </c>
    </row>
    <row r="185" customFormat="false" ht="15" hidden="false" customHeight="false" outlineLevel="0" collapsed="false">
      <c r="B185" s="33"/>
      <c r="C185" s="30"/>
      <c r="D185" s="30"/>
      <c r="E185" s="31"/>
      <c r="F185" s="30"/>
      <c r="G185" s="30"/>
      <c r="H185" s="34" t="str">
        <f aca="false">IF(D185="","",IFERROR(INDEX(Categorias!$D$6:$D$45,MATCH(D185,Categorias!$B$6:$B$45,0))&amp;"",""))</f>
        <v/>
      </c>
      <c r="I185" s="35"/>
      <c r="J185" s="35"/>
      <c r="K185" s="35"/>
      <c r="L185" s="36" t="str">
        <f aca="false">IF(OR(H185="",COUNTIF(I185:K185,"S")+COUNTIF(I185:K185,"N")&lt;3),"",COUNTIF(I185:K185,"S")*IF(H185="S",5,IF(H185="M",4,IF(H185="E",3,2))))</f>
        <v/>
      </c>
      <c r="M185" s="37" t="str">
        <f aca="false">IF(L185="","",IF(L185&gt;=12,"Executar",IF(L185&gt;=8,"Executar com controle",IF(L185&gt;=5,"Postergar","Cancelar"))))</f>
        <v/>
      </c>
      <c r="O185" s="28" t="str">
        <f aca="false">IF(D185="","",IFERROR(INDEX(Categorias!$C$6:$C$45,MATCH(D185,Categorias!$B$6:$B$45,0)),"Sem grupo"))</f>
        <v/>
      </c>
      <c r="P185" s="38" t="str">
        <f aca="false">IF(B185="","",DATE(YEAR(B185),MONTH(B185),1))</f>
        <v/>
      </c>
    </row>
    <row r="186" customFormat="false" ht="15" hidden="false" customHeight="false" outlineLevel="0" collapsed="false">
      <c r="B186" s="33"/>
      <c r="C186" s="30"/>
      <c r="D186" s="30"/>
      <c r="E186" s="31"/>
      <c r="F186" s="30"/>
      <c r="G186" s="30"/>
      <c r="H186" s="34" t="str">
        <f aca="false">IF(D186="","",IFERROR(INDEX(Categorias!$D$6:$D$45,MATCH(D186,Categorias!$B$6:$B$45,0))&amp;"",""))</f>
        <v/>
      </c>
      <c r="I186" s="35"/>
      <c r="J186" s="35"/>
      <c r="K186" s="35"/>
      <c r="L186" s="36" t="str">
        <f aca="false">IF(OR(H186="",COUNTIF(I186:K186,"S")+COUNTIF(I186:K186,"N")&lt;3),"",COUNTIF(I186:K186,"S")*IF(H186="S",5,IF(H186="M",4,IF(H186="E",3,2))))</f>
        <v/>
      </c>
      <c r="M186" s="37" t="str">
        <f aca="false">IF(L186="","",IF(L186&gt;=12,"Executar",IF(L186&gt;=8,"Executar com controle",IF(L186&gt;=5,"Postergar","Cancelar"))))</f>
        <v/>
      </c>
      <c r="O186" s="28" t="str">
        <f aca="false">IF(D186="","",IFERROR(INDEX(Categorias!$C$6:$C$45,MATCH(D186,Categorias!$B$6:$B$45,0)),"Sem grupo"))</f>
        <v/>
      </c>
      <c r="P186" s="38" t="str">
        <f aca="false">IF(B186="","",DATE(YEAR(B186),MONTH(B186),1))</f>
        <v/>
      </c>
    </row>
    <row r="187" customFormat="false" ht="15" hidden="false" customHeight="false" outlineLevel="0" collapsed="false">
      <c r="B187" s="33"/>
      <c r="C187" s="30"/>
      <c r="D187" s="30"/>
      <c r="E187" s="31"/>
      <c r="F187" s="30"/>
      <c r="G187" s="30"/>
      <c r="H187" s="34" t="str">
        <f aca="false">IF(D187="","",IFERROR(INDEX(Categorias!$D$6:$D$45,MATCH(D187,Categorias!$B$6:$B$45,0))&amp;"",""))</f>
        <v/>
      </c>
      <c r="I187" s="35"/>
      <c r="J187" s="35"/>
      <c r="K187" s="35"/>
      <c r="L187" s="36" t="str">
        <f aca="false">IF(OR(H187="",COUNTIF(I187:K187,"S")+COUNTIF(I187:K187,"N")&lt;3),"",COUNTIF(I187:K187,"S")*IF(H187="S",5,IF(H187="M",4,IF(H187="E",3,2))))</f>
        <v/>
      </c>
      <c r="M187" s="37" t="str">
        <f aca="false">IF(L187="","",IF(L187&gt;=12,"Executar",IF(L187&gt;=8,"Executar com controle",IF(L187&gt;=5,"Postergar","Cancelar"))))</f>
        <v/>
      </c>
      <c r="O187" s="28" t="str">
        <f aca="false">IF(D187="","",IFERROR(INDEX(Categorias!$C$6:$C$45,MATCH(D187,Categorias!$B$6:$B$45,0)),"Sem grupo"))</f>
        <v/>
      </c>
      <c r="P187" s="38" t="str">
        <f aca="false">IF(B187="","",DATE(YEAR(B187),MONTH(B187),1))</f>
        <v/>
      </c>
    </row>
    <row r="188" customFormat="false" ht="15" hidden="false" customHeight="false" outlineLevel="0" collapsed="false">
      <c r="B188" s="33"/>
      <c r="C188" s="30"/>
      <c r="D188" s="30"/>
      <c r="E188" s="31"/>
      <c r="F188" s="30"/>
      <c r="G188" s="30"/>
      <c r="H188" s="34" t="str">
        <f aca="false">IF(D188="","",IFERROR(INDEX(Categorias!$D$6:$D$45,MATCH(D188,Categorias!$B$6:$B$45,0))&amp;"",""))</f>
        <v/>
      </c>
      <c r="I188" s="35"/>
      <c r="J188" s="35"/>
      <c r="K188" s="35"/>
      <c r="L188" s="36" t="str">
        <f aca="false">IF(OR(H188="",COUNTIF(I188:K188,"S")+COUNTIF(I188:K188,"N")&lt;3),"",COUNTIF(I188:K188,"S")*IF(H188="S",5,IF(H188="M",4,IF(H188="E",3,2))))</f>
        <v/>
      </c>
      <c r="M188" s="37" t="str">
        <f aca="false">IF(L188="","",IF(L188&gt;=12,"Executar",IF(L188&gt;=8,"Executar com controle",IF(L188&gt;=5,"Postergar","Cancelar"))))</f>
        <v/>
      </c>
      <c r="O188" s="28" t="str">
        <f aca="false">IF(D188="","",IFERROR(INDEX(Categorias!$C$6:$C$45,MATCH(D188,Categorias!$B$6:$B$45,0)),"Sem grupo"))</f>
        <v/>
      </c>
      <c r="P188" s="38" t="str">
        <f aca="false">IF(B188="","",DATE(YEAR(B188),MONTH(B188),1))</f>
        <v/>
      </c>
    </row>
    <row r="189" customFormat="false" ht="15" hidden="false" customHeight="false" outlineLevel="0" collapsed="false">
      <c r="B189" s="33"/>
      <c r="C189" s="30"/>
      <c r="D189" s="30"/>
      <c r="E189" s="31"/>
      <c r="F189" s="30"/>
      <c r="G189" s="30"/>
      <c r="H189" s="34" t="str">
        <f aca="false">IF(D189="","",IFERROR(INDEX(Categorias!$D$6:$D$45,MATCH(D189,Categorias!$B$6:$B$45,0))&amp;"",""))</f>
        <v/>
      </c>
      <c r="I189" s="35"/>
      <c r="J189" s="35"/>
      <c r="K189" s="35"/>
      <c r="L189" s="36" t="str">
        <f aca="false">IF(OR(H189="",COUNTIF(I189:K189,"S")+COUNTIF(I189:K189,"N")&lt;3),"",COUNTIF(I189:K189,"S")*IF(H189="S",5,IF(H189="M",4,IF(H189="E",3,2))))</f>
        <v/>
      </c>
      <c r="M189" s="37" t="str">
        <f aca="false">IF(L189="","",IF(L189&gt;=12,"Executar",IF(L189&gt;=8,"Executar com controle",IF(L189&gt;=5,"Postergar","Cancelar"))))</f>
        <v/>
      </c>
      <c r="O189" s="28" t="str">
        <f aca="false">IF(D189="","",IFERROR(INDEX(Categorias!$C$6:$C$45,MATCH(D189,Categorias!$B$6:$B$45,0)),"Sem grupo"))</f>
        <v/>
      </c>
      <c r="P189" s="38" t="str">
        <f aca="false">IF(B189="","",DATE(YEAR(B189),MONTH(B189),1))</f>
        <v/>
      </c>
    </row>
    <row r="190" customFormat="false" ht="15" hidden="false" customHeight="false" outlineLevel="0" collapsed="false">
      <c r="B190" s="33"/>
      <c r="C190" s="30"/>
      <c r="D190" s="30"/>
      <c r="E190" s="31"/>
      <c r="F190" s="30"/>
      <c r="G190" s="30"/>
      <c r="H190" s="34" t="str">
        <f aca="false">IF(D190="","",IFERROR(INDEX(Categorias!$D$6:$D$45,MATCH(D190,Categorias!$B$6:$B$45,0))&amp;"",""))</f>
        <v/>
      </c>
      <c r="I190" s="35"/>
      <c r="J190" s="35"/>
      <c r="K190" s="35"/>
      <c r="L190" s="36" t="str">
        <f aca="false">IF(OR(H190="",COUNTIF(I190:K190,"S")+COUNTIF(I190:K190,"N")&lt;3),"",COUNTIF(I190:K190,"S")*IF(H190="S",5,IF(H190="M",4,IF(H190="E",3,2))))</f>
        <v/>
      </c>
      <c r="M190" s="37" t="str">
        <f aca="false">IF(L190="","",IF(L190&gt;=12,"Executar",IF(L190&gt;=8,"Executar com controle",IF(L190&gt;=5,"Postergar","Cancelar"))))</f>
        <v/>
      </c>
      <c r="O190" s="28" t="str">
        <f aca="false">IF(D190="","",IFERROR(INDEX(Categorias!$C$6:$C$45,MATCH(D190,Categorias!$B$6:$B$45,0)),"Sem grupo"))</f>
        <v/>
      </c>
      <c r="P190" s="38" t="str">
        <f aca="false">IF(B190="","",DATE(YEAR(B190),MONTH(B190),1))</f>
        <v/>
      </c>
    </row>
    <row r="191" customFormat="false" ht="15" hidden="false" customHeight="false" outlineLevel="0" collapsed="false">
      <c r="B191" s="33"/>
      <c r="C191" s="30"/>
      <c r="D191" s="30"/>
      <c r="E191" s="31"/>
      <c r="F191" s="30"/>
      <c r="G191" s="30"/>
      <c r="H191" s="34" t="str">
        <f aca="false">IF(D191="","",IFERROR(INDEX(Categorias!$D$6:$D$45,MATCH(D191,Categorias!$B$6:$B$45,0))&amp;"",""))</f>
        <v/>
      </c>
      <c r="I191" s="35"/>
      <c r="J191" s="35"/>
      <c r="K191" s="35"/>
      <c r="L191" s="36" t="str">
        <f aca="false">IF(OR(H191="",COUNTIF(I191:K191,"S")+COUNTIF(I191:K191,"N")&lt;3),"",COUNTIF(I191:K191,"S")*IF(H191="S",5,IF(H191="M",4,IF(H191="E",3,2))))</f>
        <v/>
      </c>
      <c r="M191" s="37" t="str">
        <f aca="false">IF(L191="","",IF(L191&gt;=12,"Executar",IF(L191&gt;=8,"Executar com controle",IF(L191&gt;=5,"Postergar","Cancelar"))))</f>
        <v/>
      </c>
      <c r="O191" s="28" t="str">
        <f aca="false">IF(D191="","",IFERROR(INDEX(Categorias!$C$6:$C$45,MATCH(D191,Categorias!$B$6:$B$45,0)),"Sem grupo"))</f>
        <v/>
      </c>
      <c r="P191" s="38" t="str">
        <f aca="false">IF(B191="","",DATE(YEAR(B191),MONTH(B191),1))</f>
        <v/>
      </c>
    </row>
    <row r="192" customFormat="false" ht="15" hidden="false" customHeight="false" outlineLevel="0" collapsed="false">
      <c r="B192" s="33"/>
      <c r="C192" s="30"/>
      <c r="D192" s="30"/>
      <c r="E192" s="31"/>
      <c r="F192" s="30"/>
      <c r="G192" s="30"/>
      <c r="H192" s="34" t="str">
        <f aca="false">IF(D192="","",IFERROR(INDEX(Categorias!$D$6:$D$45,MATCH(D192,Categorias!$B$6:$B$45,0))&amp;"",""))</f>
        <v/>
      </c>
      <c r="I192" s="35"/>
      <c r="J192" s="35"/>
      <c r="K192" s="35"/>
      <c r="L192" s="36" t="str">
        <f aca="false">IF(OR(H192="",COUNTIF(I192:K192,"S")+COUNTIF(I192:K192,"N")&lt;3),"",COUNTIF(I192:K192,"S")*IF(H192="S",5,IF(H192="M",4,IF(H192="E",3,2))))</f>
        <v/>
      </c>
      <c r="M192" s="37" t="str">
        <f aca="false">IF(L192="","",IF(L192&gt;=12,"Executar",IF(L192&gt;=8,"Executar com controle",IF(L192&gt;=5,"Postergar","Cancelar"))))</f>
        <v/>
      </c>
      <c r="O192" s="28" t="str">
        <f aca="false">IF(D192="","",IFERROR(INDEX(Categorias!$C$6:$C$45,MATCH(D192,Categorias!$B$6:$B$45,0)),"Sem grupo"))</f>
        <v/>
      </c>
      <c r="P192" s="38" t="str">
        <f aca="false">IF(B192="","",DATE(YEAR(B192),MONTH(B192),1))</f>
        <v/>
      </c>
    </row>
    <row r="193" customFormat="false" ht="15" hidden="false" customHeight="false" outlineLevel="0" collapsed="false">
      <c r="B193" s="33"/>
      <c r="C193" s="30"/>
      <c r="D193" s="30"/>
      <c r="E193" s="31"/>
      <c r="F193" s="30"/>
      <c r="G193" s="30"/>
      <c r="H193" s="34" t="str">
        <f aca="false">IF(D193="","",IFERROR(INDEX(Categorias!$D$6:$D$45,MATCH(D193,Categorias!$B$6:$B$45,0))&amp;"",""))</f>
        <v/>
      </c>
      <c r="I193" s="35"/>
      <c r="J193" s="35"/>
      <c r="K193" s="35"/>
      <c r="L193" s="36" t="str">
        <f aca="false">IF(OR(H193="",COUNTIF(I193:K193,"S")+COUNTIF(I193:K193,"N")&lt;3),"",COUNTIF(I193:K193,"S")*IF(H193="S",5,IF(H193="M",4,IF(H193="E",3,2))))</f>
        <v/>
      </c>
      <c r="M193" s="37" t="str">
        <f aca="false">IF(L193="","",IF(L193&gt;=12,"Executar",IF(L193&gt;=8,"Executar com controle",IF(L193&gt;=5,"Postergar","Cancelar"))))</f>
        <v/>
      </c>
      <c r="O193" s="28" t="str">
        <f aca="false">IF(D193="","",IFERROR(INDEX(Categorias!$C$6:$C$45,MATCH(D193,Categorias!$B$6:$B$45,0)),"Sem grupo"))</f>
        <v/>
      </c>
      <c r="P193" s="38" t="str">
        <f aca="false">IF(B193="","",DATE(YEAR(B193),MONTH(B193),1))</f>
        <v/>
      </c>
    </row>
    <row r="194" customFormat="false" ht="15" hidden="false" customHeight="false" outlineLevel="0" collapsed="false">
      <c r="B194" s="33"/>
      <c r="C194" s="30"/>
      <c r="D194" s="30"/>
      <c r="E194" s="31"/>
      <c r="F194" s="30"/>
      <c r="G194" s="30"/>
      <c r="H194" s="34" t="str">
        <f aca="false">IF(D194="","",IFERROR(INDEX(Categorias!$D$6:$D$45,MATCH(D194,Categorias!$B$6:$B$45,0))&amp;"",""))</f>
        <v/>
      </c>
      <c r="I194" s="35"/>
      <c r="J194" s="35"/>
      <c r="K194" s="35"/>
      <c r="L194" s="36" t="str">
        <f aca="false">IF(OR(H194="",COUNTIF(I194:K194,"S")+COUNTIF(I194:K194,"N")&lt;3),"",COUNTIF(I194:K194,"S")*IF(H194="S",5,IF(H194="M",4,IF(H194="E",3,2))))</f>
        <v/>
      </c>
      <c r="M194" s="37" t="str">
        <f aca="false">IF(L194="","",IF(L194&gt;=12,"Executar",IF(L194&gt;=8,"Executar com controle",IF(L194&gt;=5,"Postergar","Cancelar"))))</f>
        <v/>
      </c>
      <c r="O194" s="28" t="str">
        <f aca="false">IF(D194="","",IFERROR(INDEX(Categorias!$C$6:$C$45,MATCH(D194,Categorias!$B$6:$B$45,0)),"Sem grupo"))</f>
        <v/>
      </c>
      <c r="P194" s="38" t="str">
        <f aca="false">IF(B194="","",DATE(YEAR(B194),MONTH(B194),1))</f>
        <v/>
      </c>
    </row>
    <row r="195" customFormat="false" ht="15" hidden="false" customHeight="false" outlineLevel="0" collapsed="false">
      <c r="B195" s="33"/>
      <c r="C195" s="30"/>
      <c r="D195" s="30"/>
      <c r="E195" s="31"/>
      <c r="F195" s="30"/>
      <c r="G195" s="30"/>
      <c r="H195" s="34" t="str">
        <f aca="false">IF(D195="","",IFERROR(INDEX(Categorias!$D$6:$D$45,MATCH(D195,Categorias!$B$6:$B$45,0))&amp;"",""))</f>
        <v/>
      </c>
      <c r="I195" s="35"/>
      <c r="J195" s="35"/>
      <c r="K195" s="35"/>
      <c r="L195" s="36" t="str">
        <f aca="false">IF(OR(H195="",COUNTIF(I195:K195,"S")+COUNTIF(I195:K195,"N")&lt;3),"",COUNTIF(I195:K195,"S")*IF(H195="S",5,IF(H195="M",4,IF(H195="E",3,2))))</f>
        <v/>
      </c>
      <c r="M195" s="37" t="str">
        <f aca="false">IF(L195="","",IF(L195&gt;=12,"Executar",IF(L195&gt;=8,"Executar com controle",IF(L195&gt;=5,"Postergar","Cancelar"))))</f>
        <v/>
      </c>
      <c r="O195" s="28" t="str">
        <f aca="false">IF(D195="","",IFERROR(INDEX(Categorias!$C$6:$C$45,MATCH(D195,Categorias!$B$6:$B$45,0)),"Sem grupo"))</f>
        <v/>
      </c>
      <c r="P195" s="38" t="str">
        <f aca="false">IF(B195="","",DATE(YEAR(B195),MONTH(B195),1))</f>
        <v/>
      </c>
    </row>
    <row r="196" customFormat="false" ht="15" hidden="false" customHeight="false" outlineLevel="0" collapsed="false">
      <c r="B196" s="33"/>
      <c r="C196" s="30"/>
      <c r="D196" s="30"/>
      <c r="E196" s="31"/>
      <c r="F196" s="30"/>
      <c r="G196" s="30"/>
      <c r="H196" s="34" t="str">
        <f aca="false">IF(D196="","",IFERROR(INDEX(Categorias!$D$6:$D$45,MATCH(D196,Categorias!$B$6:$B$45,0))&amp;"",""))</f>
        <v/>
      </c>
      <c r="I196" s="35"/>
      <c r="J196" s="35"/>
      <c r="K196" s="35"/>
      <c r="L196" s="36" t="str">
        <f aca="false">IF(OR(H196="",COUNTIF(I196:K196,"S")+COUNTIF(I196:K196,"N")&lt;3),"",COUNTIF(I196:K196,"S")*IF(H196="S",5,IF(H196="M",4,IF(H196="E",3,2))))</f>
        <v/>
      </c>
      <c r="M196" s="37" t="str">
        <f aca="false">IF(L196="","",IF(L196&gt;=12,"Executar",IF(L196&gt;=8,"Executar com controle",IF(L196&gt;=5,"Postergar","Cancelar"))))</f>
        <v/>
      </c>
      <c r="O196" s="28" t="str">
        <f aca="false">IF(D196="","",IFERROR(INDEX(Categorias!$C$6:$C$45,MATCH(D196,Categorias!$B$6:$B$45,0)),"Sem grupo"))</f>
        <v/>
      </c>
      <c r="P196" s="38" t="str">
        <f aca="false">IF(B196="","",DATE(YEAR(B196),MONTH(B196),1))</f>
        <v/>
      </c>
    </row>
    <row r="197" customFormat="false" ht="15" hidden="false" customHeight="false" outlineLevel="0" collapsed="false">
      <c r="B197" s="33"/>
      <c r="C197" s="30"/>
      <c r="D197" s="30"/>
      <c r="E197" s="31"/>
      <c r="F197" s="30"/>
      <c r="G197" s="30"/>
      <c r="H197" s="34" t="str">
        <f aca="false">IF(D197="","",IFERROR(INDEX(Categorias!$D$6:$D$45,MATCH(D197,Categorias!$B$6:$B$45,0))&amp;"",""))</f>
        <v/>
      </c>
      <c r="I197" s="35"/>
      <c r="J197" s="35"/>
      <c r="K197" s="35"/>
      <c r="L197" s="36" t="str">
        <f aca="false">IF(OR(H197="",COUNTIF(I197:K197,"S")+COUNTIF(I197:K197,"N")&lt;3),"",COUNTIF(I197:K197,"S")*IF(H197="S",5,IF(H197="M",4,IF(H197="E",3,2))))</f>
        <v/>
      </c>
      <c r="M197" s="37" t="str">
        <f aca="false">IF(L197="","",IF(L197&gt;=12,"Executar",IF(L197&gt;=8,"Executar com controle",IF(L197&gt;=5,"Postergar","Cancelar"))))</f>
        <v/>
      </c>
      <c r="O197" s="28" t="str">
        <f aca="false">IF(D197="","",IFERROR(INDEX(Categorias!$C$6:$C$45,MATCH(D197,Categorias!$B$6:$B$45,0)),"Sem grupo"))</f>
        <v/>
      </c>
      <c r="P197" s="38" t="str">
        <f aca="false">IF(B197="","",DATE(YEAR(B197),MONTH(B197),1))</f>
        <v/>
      </c>
    </row>
    <row r="198" customFormat="false" ht="15" hidden="false" customHeight="false" outlineLevel="0" collapsed="false">
      <c r="B198" s="33"/>
      <c r="C198" s="30"/>
      <c r="D198" s="30"/>
      <c r="E198" s="31"/>
      <c r="F198" s="30"/>
      <c r="G198" s="30"/>
      <c r="H198" s="34" t="str">
        <f aca="false">IF(D198="","",IFERROR(INDEX(Categorias!$D$6:$D$45,MATCH(D198,Categorias!$B$6:$B$45,0))&amp;"",""))</f>
        <v/>
      </c>
      <c r="I198" s="35"/>
      <c r="J198" s="35"/>
      <c r="K198" s="35"/>
      <c r="L198" s="36" t="str">
        <f aca="false">IF(OR(H198="",COUNTIF(I198:K198,"S")+COUNTIF(I198:K198,"N")&lt;3),"",COUNTIF(I198:K198,"S")*IF(H198="S",5,IF(H198="M",4,IF(H198="E",3,2))))</f>
        <v/>
      </c>
      <c r="M198" s="37" t="str">
        <f aca="false">IF(L198="","",IF(L198&gt;=12,"Executar",IF(L198&gt;=8,"Executar com controle",IF(L198&gt;=5,"Postergar","Cancelar"))))</f>
        <v/>
      </c>
      <c r="O198" s="28" t="str">
        <f aca="false">IF(D198="","",IFERROR(INDEX(Categorias!$C$6:$C$45,MATCH(D198,Categorias!$B$6:$B$45,0)),"Sem grupo"))</f>
        <v/>
      </c>
      <c r="P198" s="38" t="str">
        <f aca="false">IF(B198="","",DATE(YEAR(B198),MONTH(B198),1))</f>
        <v/>
      </c>
    </row>
    <row r="199" customFormat="false" ht="15" hidden="false" customHeight="false" outlineLevel="0" collapsed="false">
      <c r="B199" s="33"/>
      <c r="C199" s="30"/>
      <c r="D199" s="30"/>
      <c r="E199" s="31"/>
      <c r="F199" s="30"/>
      <c r="G199" s="30"/>
      <c r="H199" s="34" t="str">
        <f aca="false">IF(D199="","",IFERROR(INDEX(Categorias!$D$6:$D$45,MATCH(D199,Categorias!$B$6:$B$45,0))&amp;"",""))</f>
        <v/>
      </c>
      <c r="I199" s="35"/>
      <c r="J199" s="35"/>
      <c r="K199" s="35"/>
      <c r="L199" s="36" t="str">
        <f aca="false">IF(OR(H199="",COUNTIF(I199:K199,"S")+COUNTIF(I199:K199,"N")&lt;3),"",COUNTIF(I199:K199,"S")*IF(H199="S",5,IF(H199="M",4,IF(H199="E",3,2))))</f>
        <v/>
      </c>
      <c r="M199" s="37" t="str">
        <f aca="false">IF(L199="","",IF(L199&gt;=12,"Executar",IF(L199&gt;=8,"Executar com controle",IF(L199&gt;=5,"Postergar","Cancelar"))))</f>
        <v/>
      </c>
      <c r="O199" s="28" t="str">
        <f aca="false">IF(D199="","",IFERROR(INDEX(Categorias!$C$6:$C$45,MATCH(D199,Categorias!$B$6:$B$45,0)),"Sem grupo"))</f>
        <v/>
      </c>
      <c r="P199" s="38" t="str">
        <f aca="false">IF(B199="","",DATE(YEAR(B199),MONTH(B199),1))</f>
        <v/>
      </c>
    </row>
    <row r="200" customFormat="false" ht="15" hidden="false" customHeight="false" outlineLevel="0" collapsed="false">
      <c r="B200" s="33"/>
      <c r="C200" s="30"/>
      <c r="D200" s="30"/>
      <c r="E200" s="31"/>
      <c r="F200" s="30"/>
      <c r="G200" s="30"/>
      <c r="H200" s="34" t="str">
        <f aca="false">IF(D200="","",IFERROR(INDEX(Categorias!$D$6:$D$45,MATCH(D200,Categorias!$B$6:$B$45,0))&amp;"",""))</f>
        <v/>
      </c>
      <c r="I200" s="35"/>
      <c r="J200" s="35"/>
      <c r="K200" s="35"/>
      <c r="L200" s="36" t="str">
        <f aca="false">IF(OR(H200="",COUNTIF(I200:K200,"S")+COUNTIF(I200:K200,"N")&lt;3),"",COUNTIF(I200:K200,"S")*IF(H200="S",5,IF(H200="M",4,IF(H200="E",3,2))))</f>
        <v/>
      </c>
      <c r="M200" s="37" t="str">
        <f aca="false">IF(L200="","",IF(L200&gt;=12,"Executar",IF(L200&gt;=8,"Executar com controle",IF(L200&gt;=5,"Postergar","Cancelar"))))</f>
        <v/>
      </c>
      <c r="O200" s="28" t="str">
        <f aca="false">IF(D200="","",IFERROR(INDEX(Categorias!$C$6:$C$45,MATCH(D200,Categorias!$B$6:$B$45,0)),"Sem grupo"))</f>
        <v/>
      </c>
      <c r="P200" s="38" t="str">
        <f aca="false">IF(B200="","",DATE(YEAR(B200),MONTH(B200),1))</f>
        <v/>
      </c>
    </row>
    <row r="201" customFormat="false" ht="15" hidden="false" customHeight="false" outlineLevel="0" collapsed="false">
      <c r="B201" s="33"/>
      <c r="C201" s="30"/>
      <c r="D201" s="30"/>
      <c r="E201" s="31"/>
      <c r="F201" s="30"/>
      <c r="G201" s="30"/>
      <c r="H201" s="34" t="str">
        <f aca="false">IF(D201="","",IFERROR(INDEX(Categorias!$D$6:$D$45,MATCH(D201,Categorias!$B$6:$B$45,0))&amp;"",""))</f>
        <v/>
      </c>
      <c r="I201" s="35"/>
      <c r="J201" s="35"/>
      <c r="K201" s="35"/>
      <c r="L201" s="36" t="str">
        <f aca="false">IF(OR(H201="",COUNTIF(I201:K201,"S")+COUNTIF(I201:K201,"N")&lt;3),"",COUNTIF(I201:K201,"S")*IF(H201="S",5,IF(H201="M",4,IF(H201="E",3,2))))</f>
        <v/>
      </c>
      <c r="M201" s="37" t="str">
        <f aca="false">IF(L201="","",IF(L201&gt;=12,"Executar",IF(L201&gt;=8,"Executar com controle",IF(L201&gt;=5,"Postergar","Cancelar"))))</f>
        <v/>
      </c>
      <c r="O201" s="28" t="str">
        <f aca="false">IF(D201="","",IFERROR(INDEX(Categorias!$C$6:$C$45,MATCH(D201,Categorias!$B$6:$B$45,0)),"Sem grupo"))</f>
        <v/>
      </c>
      <c r="P201" s="38" t="str">
        <f aca="false">IF(B201="","",DATE(YEAR(B201),MONTH(B201),1))</f>
        <v/>
      </c>
    </row>
    <row r="202" customFormat="false" ht="15" hidden="false" customHeight="false" outlineLevel="0" collapsed="false">
      <c r="B202" s="33"/>
      <c r="C202" s="30"/>
      <c r="D202" s="30"/>
      <c r="E202" s="31"/>
      <c r="F202" s="30"/>
      <c r="G202" s="30"/>
      <c r="H202" s="34" t="str">
        <f aca="false">IF(D202="","",IFERROR(INDEX(Categorias!$D$6:$D$45,MATCH(D202,Categorias!$B$6:$B$45,0))&amp;"",""))</f>
        <v/>
      </c>
      <c r="I202" s="35"/>
      <c r="J202" s="35"/>
      <c r="K202" s="35"/>
      <c r="L202" s="36" t="str">
        <f aca="false">IF(OR(H202="",COUNTIF(I202:K202,"S")+COUNTIF(I202:K202,"N")&lt;3),"",COUNTIF(I202:K202,"S")*IF(H202="S",5,IF(H202="M",4,IF(H202="E",3,2))))</f>
        <v/>
      </c>
      <c r="M202" s="37" t="str">
        <f aca="false">IF(L202="","",IF(L202&gt;=12,"Executar",IF(L202&gt;=8,"Executar com controle",IF(L202&gt;=5,"Postergar","Cancelar"))))</f>
        <v/>
      </c>
      <c r="O202" s="28" t="str">
        <f aca="false">IF(D202="","",IFERROR(INDEX(Categorias!$C$6:$C$45,MATCH(D202,Categorias!$B$6:$B$45,0)),"Sem grupo"))</f>
        <v/>
      </c>
      <c r="P202" s="38" t="str">
        <f aca="false">IF(B202="","",DATE(YEAR(B202),MONTH(B202),1))</f>
        <v/>
      </c>
    </row>
    <row r="203" customFormat="false" ht="15" hidden="false" customHeight="false" outlineLevel="0" collapsed="false">
      <c r="B203" s="33"/>
      <c r="C203" s="30"/>
      <c r="D203" s="30"/>
      <c r="E203" s="31"/>
      <c r="F203" s="30"/>
      <c r="G203" s="30"/>
      <c r="H203" s="34" t="str">
        <f aca="false">IF(D203="","",IFERROR(INDEX(Categorias!$D$6:$D$45,MATCH(D203,Categorias!$B$6:$B$45,0))&amp;"",""))</f>
        <v/>
      </c>
      <c r="I203" s="35"/>
      <c r="J203" s="35"/>
      <c r="K203" s="35"/>
      <c r="L203" s="36" t="str">
        <f aca="false">IF(OR(H203="",COUNTIF(I203:K203,"S")+COUNTIF(I203:K203,"N")&lt;3),"",COUNTIF(I203:K203,"S")*IF(H203="S",5,IF(H203="M",4,IF(H203="E",3,2))))</f>
        <v/>
      </c>
      <c r="M203" s="37" t="str">
        <f aca="false">IF(L203="","",IF(L203&gt;=12,"Executar",IF(L203&gt;=8,"Executar com controle",IF(L203&gt;=5,"Postergar","Cancelar"))))</f>
        <v/>
      </c>
      <c r="O203" s="28" t="str">
        <f aca="false">IF(D203="","",IFERROR(INDEX(Categorias!$C$6:$C$45,MATCH(D203,Categorias!$B$6:$B$45,0)),"Sem grupo"))</f>
        <v/>
      </c>
      <c r="P203" s="38" t="str">
        <f aca="false">IF(B203="","",DATE(YEAR(B203),MONTH(B203),1))</f>
        <v/>
      </c>
    </row>
    <row r="204" customFormat="false" ht="15" hidden="false" customHeight="false" outlineLevel="0" collapsed="false">
      <c r="B204" s="33"/>
      <c r="C204" s="30"/>
      <c r="D204" s="30"/>
      <c r="E204" s="31"/>
      <c r="F204" s="30"/>
      <c r="G204" s="30"/>
      <c r="H204" s="34" t="str">
        <f aca="false">IF(D204="","",IFERROR(INDEX(Categorias!$D$6:$D$45,MATCH(D204,Categorias!$B$6:$B$45,0))&amp;"",""))</f>
        <v/>
      </c>
      <c r="I204" s="35"/>
      <c r="J204" s="35"/>
      <c r="K204" s="35"/>
      <c r="L204" s="36" t="str">
        <f aca="false">IF(OR(H204="",COUNTIF(I204:K204,"S")+COUNTIF(I204:K204,"N")&lt;3),"",COUNTIF(I204:K204,"S")*IF(H204="S",5,IF(H204="M",4,IF(H204="E",3,2))))</f>
        <v/>
      </c>
      <c r="M204" s="37" t="str">
        <f aca="false">IF(L204="","",IF(L204&gt;=12,"Executar",IF(L204&gt;=8,"Executar com controle",IF(L204&gt;=5,"Postergar","Cancelar"))))</f>
        <v/>
      </c>
      <c r="O204" s="28" t="str">
        <f aca="false">IF(D204="","",IFERROR(INDEX(Categorias!$C$6:$C$45,MATCH(D204,Categorias!$B$6:$B$45,0)),"Sem grupo"))</f>
        <v/>
      </c>
      <c r="P204" s="38" t="str">
        <f aca="false">IF(B204="","",DATE(YEAR(B204),MONTH(B204),1))</f>
        <v/>
      </c>
    </row>
    <row r="205" customFormat="false" ht="15" hidden="false" customHeight="false" outlineLevel="0" collapsed="false">
      <c r="B205" s="33"/>
      <c r="C205" s="30"/>
      <c r="D205" s="30"/>
      <c r="E205" s="31"/>
      <c r="F205" s="30"/>
      <c r="G205" s="30"/>
      <c r="H205" s="34" t="str">
        <f aca="false">IF(D205="","",IFERROR(INDEX(Categorias!$D$6:$D$45,MATCH(D205,Categorias!$B$6:$B$45,0))&amp;"",""))</f>
        <v/>
      </c>
      <c r="I205" s="35"/>
      <c r="J205" s="35"/>
      <c r="K205" s="35"/>
      <c r="L205" s="36" t="str">
        <f aca="false">IF(OR(H205="",COUNTIF(I205:K205,"S")+COUNTIF(I205:K205,"N")&lt;3),"",COUNTIF(I205:K205,"S")*IF(H205="S",5,IF(H205="M",4,IF(H205="E",3,2))))</f>
        <v/>
      </c>
      <c r="M205" s="37" t="str">
        <f aca="false">IF(L205="","",IF(L205&gt;=12,"Executar",IF(L205&gt;=8,"Executar com controle",IF(L205&gt;=5,"Postergar","Cancelar"))))</f>
        <v/>
      </c>
      <c r="O205" s="28" t="str">
        <f aca="false">IF(D205="","",IFERROR(INDEX(Categorias!$C$6:$C$45,MATCH(D205,Categorias!$B$6:$B$45,0)),"Sem grupo"))</f>
        <v/>
      </c>
      <c r="P205" s="38" t="str">
        <f aca="false">IF(B205="","",DATE(YEAR(B205),MONTH(B205),1))</f>
        <v/>
      </c>
    </row>
    <row r="206" customFormat="false" ht="15" hidden="false" customHeight="false" outlineLevel="0" collapsed="false">
      <c r="B206" s="33"/>
      <c r="C206" s="30"/>
      <c r="D206" s="30"/>
      <c r="E206" s="31"/>
      <c r="F206" s="30"/>
      <c r="G206" s="30"/>
      <c r="H206" s="34" t="str">
        <f aca="false">IF(D206="","",IFERROR(INDEX(Categorias!$D$6:$D$45,MATCH(D206,Categorias!$B$6:$B$45,0))&amp;"",""))</f>
        <v/>
      </c>
      <c r="I206" s="35"/>
      <c r="J206" s="35"/>
      <c r="K206" s="35"/>
      <c r="L206" s="36" t="str">
        <f aca="false">IF(OR(H206="",COUNTIF(I206:K206,"S")+COUNTIF(I206:K206,"N")&lt;3),"",COUNTIF(I206:K206,"S")*IF(H206="S",5,IF(H206="M",4,IF(H206="E",3,2))))</f>
        <v/>
      </c>
      <c r="M206" s="37" t="str">
        <f aca="false">IF(L206="","",IF(L206&gt;=12,"Executar",IF(L206&gt;=8,"Executar com controle",IF(L206&gt;=5,"Postergar","Cancelar"))))</f>
        <v/>
      </c>
      <c r="O206" s="28" t="str">
        <f aca="false">IF(D206="","",IFERROR(INDEX(Categorias!$C$6:$C$45,MATCH(D206,Categorias!$B$6:$B$45,0)),"Sem grupo"))</f>
        <v/>
      </c>
      <c r="P206" s="38" t="str">
        <f aca="false">IF(B206="","",DATE(YEAR(B206),MONTH(B206),1))</f>
        <v/>
      </c>
    </row>
    <row r="207" customFormat="false" ht="15" hidden="false" customHeight="false" outlineLevel="0" collapsed="false">
      <c r="B207" s="33"/>
      <c r="C207" s="30"/>
      <c r="D207" s="30"/>
      <c r="E207" s="31"/>
      <c r="F207" s="30"/>
      <c r="G207" s="30"/>
      <c r="H207" s="34" t="str">
        <f aca="false">IF(D207="","",IFERROR(INDEX(Categorias!$D$6:$D$45,MATCH(D207,Categorias!$B$6:$B$45,0))&amp;"",""))</f>
        <v/>
      </c>
      <c r="I207" s="35"/>
      <c r="J207" s="35"/>
      <c r="K207" s="35"/>
      <c r="L207" s="36" t="str">
        <f aca="false">IF(OR(H207="",COUNTIF(I207:K207,"S")+COUNTIF(I207:K207,"N")&lt;3),"",COUNTIF(I207:K207,"S")*IF(H207="S",5,IF(H207="M",4,IF(H207="E",3,2))))</f>
        <v/>
      </c>
      <c r="M207" s="37" t="str">
        <f aca="false">IF(L207="","",IF(L207&gt;=12,"Executar",IF(L207&gt;=8,"Executar com controle",IF(L207&gt;=5,"Postergar","Cancelar"))))</f>
        <v/>
      </c>
      <c r="O207" s="28" t="str">
        <f aca="false">IF(D207="","",IFERROR(INDEX(Categorias!$C$6:$C$45,MATCH(D207,Categorias!$B$6:$B$45,0)),"Sem grupo"))</f>
        <v/>
      </c>
      <c r="P207" s="38" t="str">
        <f aca="false">IF(B207="","",DATE(YEAR(B207),MONTH(B207),1))</f>
        <v/>
      </c>
    </row>
    <row r="208" customFormat="false" ht="15" hidden="false" customHeight="false" outlineLevel="0" collapsed="false">
      <c r="B208" s="33"/>
      <c r="C208" s="30"/>
      <c r="D208" s="30"/>
      <c r="E208" s="31"/>
      <c r="F208" s="30"/>
      <c r="G208" s="30"/>
      <c r="H208" s="34" t="str">
        <f aca="false">IF(D208="","",IFERROR(INDEX(Categorias!$D$6:$D$45,MATCH(D208,Categorias!$B$6:$B$45,0))&amp;"",""))</f>
        <v/>
      </c>
      <c r="I208" s="35"/>
      <c r="J208" s="35"/>
      <c r="K208" s="35"/>
      <c r="L208" s="36" t="str">
        <f aca="false">IF(OR(H208="",COUNTIF(I208:K208,"S")+COUNTIF(I208:K208,"N")&lt;3),"",COUNTIF(I208:K208,"S")*IF(H208="S",5,IF(H208="M",4,IF(H208="E",3,2))))</f>
        <v/>
      </c>
      <c r="M208" s="37" t="str">
        <f aca="false">IF(L208="","",IF(L208&gt;=12,"Executar",IF(L208&gt;=8,"Executar com controle",IF(L208&gt;=5,"Postergar","Cancelar"))))</f>
        <v/>
      </c>
      <c r="O208" s="28" t="str">
        <f aca="false">IF(D208="","",IFERROR(INDEX(Categorias!$C$6:$C$45,MATCH(D208,Categorias!$B$6:$B$45,0)),"Sem grupo"))</f>
        <v/>
      </c>
      <c r="P208" s="38" t="str">
        <f aca="false">IF(B208="","",DATE(YEAR(B208),MONTH(B208),1))</f>
        <v/>
      </c>
    </row>
    <row r="209" customFormat="false" ht="15" hidden="false" customHeight="false" outlineLevel="0" collapsed="false">
      <c r="B209" s="33"/>
      <c r="C209" s="30"/>
      <c r="D209" s="30"/>
      <c r="E209" s="31"/>
      <c r="F209" s="30"/>
      <c r="G209" s="30"/>
      <c r="H209" s="34" t="str">
        <f aca="false">IF(D209="","",IFERROR(INDEX(Categorias!$D$6:$D$45,MATCH(D209,Categorias!$B$6:$B$45,0))&amp;"",""))</f>
        <v/>
      </c>
      <c r="I209" s="35"/>
      <c r="J209" s="35"/>
      <c r="K209" s="35"/>
      <c r="L209" s="36" t="str">
        <f aca="false">IF(OR(H209="",COUNTIF(I209:K209,"S")+COUNTIF(I209:K209,"N")&lt;3),"",COUNTIF(I209:K209,"S")*IF(H209="S",5,IF(H209="M",4,IF(H209="E",3,2))))</f>
        <v/>
      </c>
      <c r="M209" s="37" t="str">
        <f aca="false">IF(L209="","",IF(L209&gt;=12,"Executar",IF(L209&gt;=8,"Executar com controle",IF(L209&gt;=5,"Postergar","Cancelar"))))</f>
        <v/>
      </c>
      <c r="O209" s="28" t="str">
        <f aca="false">IF(D209="","",IFERROR(INDEX(Categorias!$C$6:$C$45,MATCH(D209,Categorias!$B$6:$B$45,0)),"Sem grupo"))</f>
        <v/>
      </c>
      <c r="P209" s="38" t="str">
        <f aca="false">IF(B209="","",DATE(YEAR(B209),MONTH(B209),1))</f>
        <v/>
      </c>
    </row>
    <row r="210" customFormat="false" ht="15" hidden="false" customHeight="false" outlineLevel="0" collapsed="false">
      <c r="B210" s="33"/>
      <c r="C210" s="30"/>
      <c r="D210" s="30"/>
      <c r="E210" s="31"/>
      <c r="F210" s="30"/>
      <c r="G210" s="30"/>
      <c r="H210" s="34" t="str">
        <f aca="false">IF(D210="","",IFERROR(INDEX(Categorias!$D$6:$D$45,MATCH(D210,Categorias!$B$6:$B$45,0))&amp;"",""))</f>
        <v/>
      </c>
      <c r="I210" s="35"/>
      <c r="J210" s="35"/>
      <c r="K210" s="35"/>
      <c r="L210" s="36" t="str">
        <f aca="false">IF(OR(H210="",COUNTIF(I210:K210,"S")+COUNTIF(I210:K210,"N")&lt;3),"",COUNTIF(I210:K210,"S")*IF(H210="S",5,IF(H210="M",4,IF(H210="E",3,2))))</f>
        <v/>
      </c>
      <c r="M210" s="37" t="str">
        <f aca="false">IF(L210="","",IF(L210&gt;=12,"Executar",IF(L210&gt;=8,"Executar com controle",IF(L210&gt;=5,"Postergar","Cancelar"))))</f>
        <v/>
      </c>
      <c r="O210" s="28" t="str">
        <f aca="false">IF(D210="","",IFERROR(INDEX(Categorias!$C$6:$C$45,MATCH(D210,Categorias!$B$6:$B$45,0)),"Sem grupo"))</f>
        <v/>
      </c>
      <c r="P210" s="38" t="str">
        <f aca="false">IF(B210="","",DATE(YEAR(B210),MONTH(B210),1))</f>
        <v/>
      </c>
    </row>
    <row r="211" customFormat="false" ht="15" hidden="false" customHeight="false" outlineLevel="0" collapsed="false">
      <c r="B211" s="33"/>
      <c r="C211" s="30"/>
      <c r="D211" s="30"/>
      <c r="E211" s="31"/>
      <c r="F211" s="30"/>
      <c r="G211" s="30"/>
      <c r="H211" s="34" t="str">
        <f aca="false">IF(D211="","",IFERROR(INDEX(Categorias!$D$6:$D$45,MATCH(D211,Categorias!$B$6:$B$45,0))&amp;"",""))</f>
        <v/>
      </c>
      <c r="I211" s="35"/>
      <c r="J211" s="35"/>
      <c r="K211" s="35"/>
      <c r="L211" s="36" t="str">
        <f aca="false">IF(OR(H211="",COUNTIF(I211:K211,"S")+COUNTIF(I211:K211,"N")&lt;3),"",COUNTIF(I211:K211,"S")*IF(H211="S",5,IF(H211="M",4,IF(H211="E",3,2))))</f>
        <v/>
      </c>
      <c r="M211" s="37" t="str">
        <f aca="false">IF(L211="","",IF(L211&gt;=12,"Executar",IF(L211&gt;=8,"Executar com controle",IF(L211&gt;=5,"Postergar","Cancelar"))))</f>
        <v/>
      </c>
      <c r="O211" s="28" t="str">
        <f aca="false">IF(D211="","",IFERROR(INDEX(Categorias!$C$6:$C$45,MATCH(D211,Categorias!$B$6:$B$45,0)),"Sem grupo"))</f>
        <v/>
      </c>
      <c r="P211" s="38" t="str">
        <f aca="false">IF(B211="","",DATE(YEAR(B211),MONTH(B211),1))</f>
        <v/>
      </c>
    </row>
    <row r="212" customFormat="false" ht="15" hidden="false" customHeight="false" outlineLevel="0" collapsed="false">
      <c r="B212" s="33"/>
      <c r="C212" s="30"/>
      <c r="D212" s="30"/>
      <c r="E212" s="31"/>
      <c r="F212" s="30"/>
      <c r="G212" s="30"/>
      <c r="H212" s="34" t="str">
        <f aca="false">IF(D212="","",IFERROR(INDEX(Categorias!$D$6:$D$45,MATCH(D212,Categorias!$B$6:$B$45,0))&amp;"",""))</f>
        <v/>
      </c>
      <c r="I212" s="35"/>
      <c r="J212" s="35"/>
      <c r="K212" s="35"/>
      <c r="L212" s="36" t="str">
        <f aca="false">IF(OR(H212="",COUNTIF(I212:K212,"S")+COUNTIF(I212:K212,"N")&lt;3),"",COUNTIF(I212:K212,"S")*IF(H212="S",5,IF(H212="M",4,IF(H212="E",3,2))))</f>
        <v/>
      </c>
      <c r="M212" s="37" t="str">
        <f aca="false">IF(L212="","",IF(L212&gt;=12,"Executar",IF(L212&gt;=8,"Executar com controle",IF(L212&gt;=5,"Postergar","Cancelar"))))</f>
        <v/>
      </c>
      <c r="O212" s="28" t="str">
        <f aca="false">IF(D212="","",IFERROR(INDEX(Categorias!$C$6:$C$45,MATCH(D212,Categorias!$B$6:$B$45,0)),"Sem grupo"))</f>
        <v/>
      </c>
      <c r="P212" s="38" t="str">
        <f aca="false">IF(B212="","",DATE(YEAR(B212),MONTH(B212),1))</f>
        <v/>
      </c>
    </row>
    <row r="213" customFormat="false" ht="15" hidden="false" customHeight="false" outlineLevel="0" collapsed="false">
      <c r="B213" s="33"/>
      <c r="C213" s="30"/>
      <c r="D213" s="30"/>
      <c r="E213" s="31"/>
      <c r="F213" s="30"/>
      <c r="G213" s="30"/>
      <c r="H213" s="34" t="str">
        <f aca="false">IF(D213="","",IFERROR(INDEX(Categorias!$D$6:$D$45,MATCH(D213,Categorias!$B$6:$B$45,0))&amp;"",""))</f>
        <v/>
      </c>
      <c r="I213" s="35"/>
      <c r="J213" s="35"/>
      <c r="K213" s="35"/>
      <c r="L213" s="36" t="str">
        <f aca="false">IF(OR(H213="",COUNTIF(I213:K213,"S")+COUNTIF(I213:K213,"N")&lt;3),"",COUNTIF(I213:K213,"S")*IF(H213="S",5,IF(H213="M",4,IF(H213="E",3,2))))</f>
        <v/>
      </c>
      <c r="M213" s="37" t="str">
        <f aca="false">IF(L213="","",IF(L213&gt;=12,"Executar",IF(L213&gt;=8,"Executar com controle",IF(L213&gt;=5,"Postergar","Cancelar"))))</f>
        <v/>
      </c>
      <c r="O213" s="28" t="str">
        <f aca="false">IF(D213="","",IFERROR(INDEX(Categorias!$C$6:$C$45,MATCH(D213,Categorias!$B$6:$B$45,0)),"Sem grupo"))</f>
        <v/>
      </c>
      <c r="P213" s="38" t="str">
        <f aca="false">IF(B213="","",DATE(YEAR(B213),MONTH(B213),1))</f>
        <v/>
      </c>
    </row>
    <row r="214" customFormat="false" ht="15" hidden="false" customHeight="false" outlineLevel="0" collapsed="false">
      <c r="B214" s="33"/>
      <c r="C214" s="30"/>
      <c r="D214" s="30"/>
      <c r="E214" s="31"/>
      <c r="F214" s="30"/>
      <c r="G214" s="30"/>
      <c r="H214" s="34" t="str">
        <f aca="false">IF(D214="","",IFERROR(INDEX(Categorias!$D$6:$D$45,MATCH(D214,Categorias!$B$6:$B$45,0))&amp;"",""))</f>
        <v/>
      </c>
      <c r="I214" s="35"/>
      <c r="J214" s="35"/>
      <c r="K214" s="35"/>
      <c r="L214" s="36" t="str">
        <f aca="false">IF(OR(H214="",COUNTIF(I214:K214,"S")+COUNTIF(I214:K214,"N")&lt;3),"",COUNTIF(I214:K214,"S")*IF(H214="S",5,IF(H214="M",4,IF(H214="E",3,2))))</f>
        <v/>
      </c>
      <c r="M214" s="37" t="str">
        <f aca="false">IF(L214="","",IF(L214&gt;=12,"Executar",IF(L214&gt;=8,"Executar com controle",IF(L214&gt;=5,"Postergar","Cancelar"))))</f>
        <v/>
      </c>
      <c r="O214" s="28" t="str">
        <f aca="false">IF(D214="","",IFERROR(INDEX(Categorias!$C$6:$C$45,MATCH(D214,Categorias!$B$6:$B$45,0)),"Sem grupo"))</f>
        <v/>
      </c>
      <c r="P214" s="38" t="str">
        <f aca="false">IF(B214="","",DATE(YEAR(B214),MONTH(B214),1))</f>
        <v/>
      </c>
    </row>
    <row r="215" customFormat="false" ht="15" hidden="false" customHeight="false" outlineLevel="0" collapsed="false">
      <c r="B215" s="33"/>
      <c r="C215" s="30"/>
      <c r="D215" s="30"/>
      <c r="E215" s="31"/>
      <c r="F215" s="30"/>
      <c r="G215" s="30"/>
      <c r="H215" s="34" t="str">
        <f aca="false">IF(D215="","",IFERROR(INDEX(Categorias!$D$6:$D$45,MATCH(D215,Categorias!$B$6:$B$45,0))&amp;"",""))</f>
        <v/>
      </c>
      <c r="I215" s="35"/>
      <c r="J215" s="35"/>
      <c r="K215" s="35"/>
      <c r="L215" s="36" t="str">
        <f aca="false">IF(OR(H215="",COUNTIF(I215:K215,"S")+COUNTIF(I215:K215,"N")&lt;3),"",COUNTIF(I215:K215,"S")*IF(H215="S",5,IF(H215="M",4,IF(H215="E",3,2))))</f>
        <v/>
      </c>
      <c r="M215" s="37" t="str">
        <f aca="false">IF(L215="","",IF(L215&gt;=12,"Executar",IF(L215&gt;=8,"Executar com controle",IF(L215&gt;=5,"Postergar","Cancelar"))))</f>
        <v/>
      </c>
      <c r="O215" s="28" t="str">
        <f aca="false">IF(D215="","",IFERROR(INDEX(Categorias!$C$6:$C$45,MATCH(D215,Categorias!$B$6:$B$45,0)),"Sem grupo"))</f>
        <v/>
      </c>
      <c r="P215" s="38" t="str">
        <f aca="false">IF(B215="","",DATE(YEAR(B215),MONTH(B215),1))</f>
        <v/>
      </c>
    </row>
    <row r="216" customFormat="false" ht="15" hidden="false" customHeight="false" outlineLevel="0" collapsed="false">
      <c r="B216" s="33"/>
      <c r="C216" s="30"/>
      <c r="D216" s="30"/>
      <c r="E216" s="31"/>
      <c r="F216" s="30"/>
      <c r="G216" s="30"/>
      <c r="H216" s="34" t="str">
        <f aca="false">IF(D216="","",IFERROR(INDEX(Categorias!$D$6:$D$45,MATCH(D216,Categorias!$B$6:$B$45,0))&amp;"",""))</f>
        <v/>
      </c>
      <c r="I216" s="35"/>
      <c r="J216" s="35"/>
      <c r="K216" s="35"/>
      <c r="L216" s="36" t="str">
        <f aca="false">IF(OR(H216="",COUNTIF(I216:K216,"S")+COUNTIF(I216:K216,"N")&lt;3),"",COUNTIF(I216:K216,"S")*IF(H216="S",5,IF(H216="M",4,IF(H216="E",3,2))))</f>
        <v/>
      </c>
      <c r="M216" s="37" t="str">
        <f aca="false">IF(L216="","",IF(L216&gt;=12,"Executar",IF(L216&gt;=8,"Executar com controle",IF(L216&gt;=5,"Postergar","Cancelar"))))</f>
        <v/>
      </c>
      <c r="O216" s="28" t="str">
        <f aca="false">IF(D216="","",IFERROR(INDEX(Categorias!$C$6:$C$45,MATCH(D216,Categorias!$B$6:$B$45,0)),"Sem grupo"))</f>
        <v/>
      </c>
      <c r="P216" s="38" t="str">
        <f aca="false">IF(B216="","",DATE(YEAR(B216),MONTH(B216),1))</f>
        <v/>
      </c>
    </row>
    <row r="217" customFormat="false" ht="15" hidden="false" customHeight="false" outlineLevel="0" collapsed="false">
      <c r="B217" s="33"/>
      <c r="C217" s="30"/>
      <c r="D217" s="30"/>
      <c r="E217" s="31"/>
      <c r="F217" s="30"/>
      <c r="G217" s="30"/>
      <c r="H217" s="34" t="str">
        <f aca="false">IF(D217="","",IFERROR(INDEX(Categorias!$D$6:$D$45,MATCH(D217,Categorias!$B$6:$B$45,0))&amp;"",""))</f>
        <v/>
      </c>
      <c r="I217" s="35"/>
      <c r="J217" s="35"/>
      <c r="K217" s="35"/>
      <c r="L217" s="36" t="str">
        <f aca="false">IF(OR(H217="",COUNTIF(I217:K217,"S")+COUNTIF(I217:K217,"N")&lt;3),"",COUNTIF(I217:K217,"S")*IF(H217="S",5,IF(H217="M",4,IF(H217="E",3,2))))</f>
        <v/>
      </c>
      <c r="M217" s="37" t="str">
        <f aca="false">IF(L217="","",IF(L217&gt;=12,"Executar",IF(L217&gt;=8,"Executar com controle",IF(L217&gt;=5,"Postergar","Cancelar"))))</f>
        <v/>
      </c>
      <c r="O217" s="28" t="str">
        <f aca="false">IF(D217="","",IFERROR(INDEX(Categorias!$C$6:$C$45,MATCH(D217,Categorias!$B$6:$B$45,0)),"Sem grupo"))</f>
        <v/>
      </c>
      <c r="P217" s="38" t="str">
        <f aca="false">IF(B217="","",DATE(YEAR(B217),MONTH(B217),1))</f>
        <v/>
      </c>
    </row>
    <row r="218" customFormat="false" ht="15" hidden="false" customHeight="false" outlineLevel="0" collapsed="false">
      <c r="B218" s="33"/>
      <c r="C218" s="30"/>
      <c r="D218" s="30"/>
      <c r="E218" s="31"/>
      <c r="F218" s="30"/>
      <c r="G218" s="30"/>
      <c r="H218" s="34" t="str">
        <f aca="false">IF(D218="","",IFERROR(INDEX(Categorias!$D$6:$D$45,MATCH(D218,Categorias!$B$6:$B$45,0))&amp;"",""))</f>
        <v/>
      </c>
      <c r="I218" s="35"/>
      <c r="J218" s="35"/>
      <c r="K218" s="35"/>
      <c r="L218" s="36" t="str">
        <f aca="false">IF(OR(H218="",COUNTIF(I218:K218,"S")+COUNTIF(I218:K218,"N")&lt;3),"",COUNTIF(I218:K218,"S")*IF(H218="S",5,IF(H218="M",4,IF(H218="E",3,2))))</f>
        <v/>
      </c>
      <c r="M218" s="37" t="str">
        <f aca="false">IF(L218="","",IF(L218&gt;=12,"Executar",IF(L218&gt;=8,"Executar com controle",IF(L218&gt;=5,"Postergar","Cancelar"))))</f>
        <v/>
      </c>
      <c r="O218" s="28" t="str">
        <f aca="false">IF(D218="","",IFERROR(INDEX(Categorias!$C$6:$C$45,MATCH(D218,Categorias!$B$6:$B$45,0)),"Sem grupo"))</f>
        <v/>
      </c>
      <c r="P218" s="38" t="str">
        <f aca="false">IF(B218="","",DATE(YEAR(B218),MONTH(B218),1))</f>
        <v/>
      </c>
    </row>
    <row r="219" customFormat="false" ht="15" hidden="false" customHeight="false" outlineLevel="0" collapsed="false">
      <c r="B219" s="33"/>
      <c r="C219" s="30"/>
      <c r="D219" s="30"/>
      <c r="E219" s="31"/>
      <c r="F219" s="30"/>
      <c r="G219" s="30"/>
      <c r="H219" s="34" t="str">
        <f aca="false">IF(D219="","",IFERROR(INDEX(Categorias!$D$6:$D$45,MATCH(D219,Categorias!$B$6:$B$45,0))&amp;"",""))</f>
        <v/>
      </c>
      <c r="I219" s="35"/>
      <c r="J219" s="35"/>
      <c r="K219" s="35"/>
      <c r="L219" s="36" t="str">
        <f aca="false">IF(OR(H219="",COUNTIF(I219:K219,"S")+COUNTIF(I219:K219,"N")&lt;3),"",COUNTIF(I219:K219,"S")*IF(H219="S",5,IF(H219="M",4,IF(H219="E",3,2))))</f>
        <v/>
      </c>
      <c r="M219" s="37" t="str">
        <f aca="false">IF(L219="","",IF(L219&gt;=12,"Executar",IF(L219&gt;=8,"Executar com controle",IF(L219&gt;=5,"Postergar","Cancelar"))))</f>
        <v/>
      </c>
      <c r="O219" s="28" t="str">
        <f aca="false">IF(D219="","",IFERROR(INDEX(Categorias!$C$6:$C$45,MATCH(D219,Categorias!$B$6:$B$45,0)),"Sem grupo"))</f>
        <v/>
      </c>
      <c r="P219" s="38" t="str">
        <f aca="false">IF(B219="","",DATE(YEAR(B219),MONTH(B219),1))</f>
        <v/>
      </c>
    </row>
    <row r="220" customFormat="false" ht="15" hidden="false" customHeight="false" outlineLevel="0" collapsed="false">
      <c r="B220" s="33"/>
      <c r="C220" s="30"/>
      <c r="D220" s="30"/>
      <c r="E220" s="31"/>
      <c r="F220" s="30"/>
      <c r="G220" s="30"/>
      <c r="H220" s="34" t="str">
        <f aca="false">IF(D220="","",IFERROR(INDEX(Categorias!$D$6:$D$45,MATCH(D220,Categorias!$B$6:$B$45,0))&amp;"",""))</f>
        <v/>
      </c>
      <c r="I220" s="35"/>
      <c r="J220" s="35"/>
      <c r="K220" s="35"/>
      <c r="L220" s="36" t="str">
        <f aca="false">IF(OR(H220="",COUNTIF(I220:K220,"S")+COUNTIF(I220:K220,"N")&lt;3),"",COUNTIF(I220:K220,"S")*IF(H220="S",5,IF(H220="M",4,IF(H220="E",3,2))))</f>
        <v/>
      </c>
      <c r="M220" s="37" t="str">
        <f aca="false">IF(L220="","",IF(L220&gt;=12,"Executar",IF(L220&gt;=8,"Executar com controle",IF(L220&gt;=5,"Postergar","Cancelar"))))</f>
        <v/>
      </c>
      <c r="O220" s="28" t="str">
        <f aca="false">IF(D220="","",IFERROR(INDEX(Categorias!$C$6:$C$45,MATCH(D220,Categorias!$B$6:$B$45,0)),"Sem grupo"))</f>
        <v/>
      </c>
      <c r="P220" s="38" t="str">
        <f aca="false">IF(B220="","",DATE(YEAR(B220),MONTH(B220),1))</f>
        <v/>
      </c>
    </row>
    <row r="221" customFormat="false" ht="15" hidden="false" customHeight="false" outlineLevel="0" collapsed="false">
      <c r="B221" s="33"/>
      <c r="C221" s="30"/>
      <c r="D221" s="30"/>
      <c r="E221" s="31"/>
      <c r="F221" s="30"/>
      <c r="G221" s="30"/>
      <c r="H221" s="34" t="str">
        <f aca="false">IF(D221="","",IFERROR(INDEX(Categorias!$D$6:$D$45,MATCH(D221,Categorias!$B$6:$B$45,0))&amp;"",""))</f>
        <v/>
      </c>
      <c r="I221" s="35"/>
      <c r="J221" s="35"/>
      <c r="K221" s="35"/>
      <c r="L221" s="36" t="str">
        <f aca="false">IF(OR(H221="",COUNTIF(I221:K221,"S")+COUNTIF(I221:K221,"N")&lt;3),"",COUNTIF(I221:K221,"S")*IF(H221="S",5,IF(H221="M",4,IF(H221="E",3,2))))</f>
        <v/>
      </c>
      <c r="M221" s="37" t="str">
        <f aca="false">IF(L221="","",IF(L221&gt;=12,"Executar",IF(L221&gt;=8,"Executar com controle",IF(L221&gt;=5,"Postergar","Cancelar"))))</f>
        <v/>
      </c>
      <c r="O221" s="28" t="str">
        <f aca="false">IF(D221="","",IFERROR(INDEX(Categorias!$C$6:$C$45,MATCH(D221,Categorias!$B$6:$B$45,0)),"Sem grupo"))</f>
        <v/>
      </c>
      <c r="P221" s="38" t="str">
        <f aca="false">IF(B221="","",DATE(YEAR(B221),MONTH(B221),1))</f>
        <v/>
      </c>
    </row>
    <row r="222" customFormat="false" ht="15" hidden="false" customHeight="false" outlineLevel="0" collapsed="false">
      <c r="B222" s="33"/>
      <c r="C222" s="30"/>
      <c r="D222" s="30"/>
      <c r="E222" s="31"/>
      <c r="F222" s="30"/>
      <c r="G222" s="30"/>
      <c r="H222" s="34" t="str">
        <f aca="false">IF(D222="","",IFERROR(INDEX(Categorias!$D$6:$D$45,MATCH(D222,Categorias!$B$6:$B$45,0))&amp;"",""))</f>
        <v/>
      </c>
      <c r="I222" s="35"/>
      <c r="J222" s="35"/>
      <c r="K222" s="35"/>
      <c r="L222" s="36" t="str">
        <f aca="false">IF(OR(H222="",COUNTIF(I222:K222,"S")+COUNTIF(I222:K222,"N")&lt;3),"",COUNTIF(I222:K222,"S")*IF(H222="S",5,IF(H222="M",4,IF(H222="E",3,2))))</f>
        <v/>
      </c>
      <c r="M222" s="37" t="str">
        <f aca="false">IF(L222="","",IF(L222&gt;=12,"Executar",IF(L222&gt;=8,"Executar com controle",IF(L222&gt;=5,"Postergar","Cancelar"))))</f>
        <v/>
      </c>
      <c r="O222" s="28" t="str">
        <f aca="false">IF(D222="","",IFERROR(INDEX(Categorias!$C$6:$C$45,MATCH(D222,Categorias!$B$6:$B$45,0)),"Sem grupo"))</f>
        <v/>
      </c>
      <c r="P222" s="38" t="str">
        <f aca="false">IF(B222="","",DATE(YEAR(B222),MONTH(B222),1))</f>
        <v/>
      </c>
    </row>
    <row r="223" customFormat="false" ht="15" hidden="false" customHeight="false" outlineLevel="0" collapsed="false">
      <c r="B223" s="33"/>
      <c r="C223" s="30"/>
      <c r="D223" s="30"/>
      <c r="E223" s="31"/>
      <c r="F223" s="30"/>
      <c r="G223" s="30"/>
      <c r="H223" s="34" t="str">
        <f aca="false">IF(D223="","",IFERROR(INDEX(Categorias!$D$6:$D$45,MATCH(D223,Categorias!$B$6:$B$45,0))&amp;"",""))</f>
        <v/>
      </c>
      <c r="I223" s="35"/>
      <c r="J223" s="35"/>
      <c r="K223" s="35"/>
      <c r="L223" s="36" t="str">
        <f aca="false">IF(OR(H223="",COUNTIF(I223:K223,"S")+COUNTIF(I223:K223,"N")&lt;3),"",COUNTIF(I223:K223,"S")*IF(H223="S",5,IF(H223="M",4,IF(H223="E",3,2))))</f>
        <v/>
      </c>
      <c r="M223" s="37" t="str">
        <f aca="false">IF(L223="","",IF(L223&gt;=12,"Executar",IF(L223&gt;=8,"Executar com controle",IF(L223&gt;=5,"Postergar","Cancelar"))))</f>
        <v/>
      </c>
      <c r="O223" s="28" t="str">
        <f aca="false">IF(D223="","",IFERROR(INDEX(Categorias!$C$6:$C$45,MATCH(D223,Categorias!$B$6:$B$45,0)),"Sem grupo"))</f>
        <v/>
      </c>
      <c r="P223" s="38" t="str">
        <f aca="false">IF(B223="","",DATE(YEAR(B223),MONTH(B223),1))</f>
        <v/>
      </c>
    </row>
    <row r="224" customFormat="false" ht="15" hidden="false" customHeight="false" outlineLevel="0" collapsed="false">
      <c r="B224" s="33"/>
      <c r="C224" s="30"/>
      <c r="D224" s="30"/>
      <c r="E224" s="31"/>
      <c r="F224" s="30"/>
      <c r="G224" s="30"/>
      <c r="H224" s="34" t="str">
        <f aca="false">IF(D224="","",IFERROR(INDEX(Categorias!$D$6:$D$45,MATCH(D224,Categorias!$B$6:$B$45,0))&amp;"",""))</f>
        <v/>
      </c>
      <c r="I224" s="35"/>
      <c r="J224" s="35"/>
      <c r="K224" s="35"/>
      <c r="L224" s="36" t="str">
        <f aca="false">IF(OR(H224="",COUNTIF(I224:K224,"S")+COUNTIF(I224:K224,"N")&lt;3),"",COUNTIF(I224:K224,"S")*IF(H224="S",5,IF(H224="M",4,IF(H224="E",3,2))))</f>
        <v/>
      </c>
      <c r="M224" s="37" t="str">
        <f aca="false">IF(L224="","",IF(L224&gt;=12,"Executar",IF(L224&gt;=8,"Executar com controle",IF(L224&gt;=5,"Postergar","Cancelar"))))</f>
        <v/>
      </c>
      <c r="O224" s="28" t="str">
        <f aca="false">IF(D224="","",IFERROR(INDEX(Categorias!$C$6:$C$45,MATCH(D224,Categorias!$B$6:$B$45,0)),"Sem grupo"))</f>
        <v/>
      </c>
      <c r="P224" s="38" t="str">
        <f aca="false">IF(B224="","",DATE(YEAR(B224),MONTH(B224),1))</f>
        <v/>
      </c>
    </row>
    <row r="225" customFormat="false" ht="15" hidden="false" customHeight="false" outlineLevel="0" collapsed="false">
      <c r="B225" s="33"/>
      <c r="C225" s="30"/>
      <c r="D225" s="30"/>
      <c r="E225" s="31"/>
      <c r="F225" s="30"/>
      <c r="G225" s="30"/>
      <c r="H225" s="34" t="str">
        <f aca="false">IF(D225="","",IFERROR(INDEX(Categorias!$D$6:$D$45,MATCH(D225,Categorias!$B$6:$B$45,0))&amp;"",""))</f>
        <v/>
      </c>
      <c r="I225" s="35"/>
      <c r="J225" s="35"/>
      <c r="K225" s="35"/>
      <c r="L225" s="36" t="str">
        <f aca="false">IF(OR(H225="",COUNTIF(I225:K225,"S")+COUNTIF(I225:K225,"N")&lt;3),"",COUNTIF(I225:K225,"S")*IF(H225="S",5,IF(H225="M",4,IF(H225="E",3,2))))</f>
        <v/>
      </c>
      <c r="M225" s="37" t="str">
        <f aca="false">IF(L225="","",IF(L225&gt;=12,"Executar",IF(L225&gt;=8,"Executar com controle",IF(L225&gt;=5,"Postergar","Cancelar"))))</f>
        <v/>
      </c>
      <c r="O225" s="28" t="str">
        <f aca="false">IF(D225="","",IFERROR(INDEX(Categorias!$C$6:$C$45,MATCH(D225,Categorias!$B$6:$B$45,0)),"Sem grupo"))</f>
        <v/>
      </c>
      <c r="P225" s="38" t="str">
        <f aca="false">IF(B225="","",DATE(YEAR(B225),MONTH(B225),1))</f>
        <v/>
      </c>
    </row>
    <row r="226" customFormat="false" ht="15" hidden="false" customHeight="false" outlineLevel="0" collapsed="false">
      <c r="B226" s="33"/>
      <c r="C226" s="30"/>
      <c r="D226" s="30"/>
      <c r="E226" s="31"/>
      <c r="F226" s="30"/>
      <c r="G226" s="30"/>
      <c r="H226" s="34" t="str">
        <f aca="false">IF(D226="","",IFERROR(INDEX(Categorias!$D$6:$D$45,MATCH(D226,Categorias!$B$6:$B$45,0))&amp;"",""))</f>
        <v/>
      </c>
      <c r="I226" s="35"/>
      <c r="J226" s="35"/>
      <c r="K226" s="35"/>
      <c r="L226" s="36" t="str">
        <f aca="false">IF(OR(H226="",COUNTIF(I226:K226,"S")+COUNTIF(I226:K226,"N")&lt;3),"",COUNTIF(I226:K226,"S")*IF(H226="S",5,IF(H226="M",4,IF(H226="E",3,2))))</f>
        <v/>
      </c>
      <c r="M226" s="37" t="str">
        <f aca="false">IF(L226="","",IF(L226&gt;=12,"Executar",IF(L226&gt;=8,"Executar com controle",IF(L226&gt;=5,"Postergar","Cancelar"))))</f>
        <v/>
      </c>
      <c r="O226" s="28" t="str">
        <f aca="false">IF(D226="","",IFERROR(INDEX(Categorias!$C$6:$C$45,MATCH(D226,Categorias!$B$6:$B$45,0)),"Sem grupo"))</f>
        <v/>
      </c>
      <c r="P226" s="38" t="str">
        <f aca="false">IF(B226="","",DATE(YEAR(B226),MONTH(B226),1))</f>
        <v/>
      </c>
    </row>
    <row r="227" customFormat="false" ht="15" hidden="false" customHeight="false" outlineLevel="0" collapsed="false">
      <c r="B227" s="33"/>
      <c r="C227" s="30"/>
      <c r="D227" s="30"/>
      <c r="E227" s="31"/>
      <c r="F227" s="30"/>
      <c r="G227" s="30"/>
      <c r="H227" s="34" t="str">
        <f aca="false">IF(D227="","",IFERROR(INDEX(Categorias!$D$6:$D$45,MATCH(D227,Categorias!$B$6:$B$45,0))&amp;"",""))</f>
        <v/>
      </c>
      <c r="I227" s="35"/>
      <c r="J227" s="35"/>
      <c r="K227" s="35"/>
      <c r="L227" s="36" t="str">
        <f aca="false">IF(OR(H227="",COUNTIF(I227:K227,"S")+COUNTIF(I227:K227,"N")&lt;3),"",COUNTIF(I227:K227,"S")*IF(H227="S",5,IF(H227="M",4,IF(H227="E",3,2))))</f>
        <v/>
      </c>
      <c r="M227" s="37" t="str">
        <f aca="false">IF(L227="","",IF(L227&gt;=12,"Executar",IF(L227&gt;=8,"Executar com controle",IF(L227&gt;=5,"Postergar","Cancelar"))))</f>
        <v/>
      </c>
      <c r="O227" s="28" t="str">
        <f aca="false">IF(D227="","",IFERROR(INDEX(Categorias!$C$6:$C$45,MATCH(D227,Categorias!$B$6:$B$45,0)),"Sem grupo"))</f>
        <v/>
      </c>
      <c r="P227" s="38" t="str">
        <f aca="false">IF(B227="","",DATE(YEAR(B227),MONTH(B227),1))</f>
        <v/>
      </c>
    </row>
    <row r="228" customFormat="false" ht="15" hidden="false" customHeight="false" outlineLevel="0" collapsed="false">
      <c r="B228" s="33"/>
      <c r="C228" s="30"/>
      <c r="D228" s="30"/>
      <c r="E228" s="31"/>
      <c r="F228" s="30"/>
      <c r="G228" s="30"/>
      <c r="H228" s="34" t="str">
        <f aca="false">IF(D228="","",IFERROR(INDEX(Categorias!$D$6:$D$45,MATCH(D228,Categorias!$B$6:$B$45,0))&amp;"",""))</f>
        <v/>
      </c>
      <c r="I228" s="35"/>
      <c r="J228" s="35"/>
      <c r="K228" s="35"/>
      <c r="L228" s="36" t="str">
        <f aca="false">IF(OR(H228="",COUNTIF(I228:K228,"S")+COUNTIF(I228:K228,"N")&lt;3),"",COUNTIF(I228:K228,"S")*IF(H228="S",5,IF(H228="M",4,IF(H228="E",3,2))))</f>
        <v/>
      </c>
      <c r="M228" s="37" t="str">
        <f aca="false">IF(L228="","",IF(L228&gt;=12,"Executar",IF(L228&gt;=8,"Executar com controle",IF(L228&gt;=5,"Postergar","Cancelar"))))</f>
        <v/>
      </c>
      <c r="O228" s="28" t="str">
        <f aca="false">IF(D228="","",IFERROR(INDEX(Categorias!$C$6:$C$45,MATCH(D228,Categorias!$B$6:$B$45,0)),"Sem grupo"))</f>
        <v/>
      </c>
      <c r="P228" s="38" t="str">
        <f aca="false">IF(B228="","",DATE(YEAR(B228),MONTH(B228),1))</f>
        <v/>
      </c>
    </row>
    <row r="229" customFormat="false" ht="15" hidden="false" customHeight="false" outlineLevel="0" collapsed="false">
      <c r="B229" s="33"/>
      <c r="C229" s="30"/>
      <c r="D229" s="30"/>
      <c r="E229" s="31"/>
      <c r="F229" s="30"/>
      <c r="G229" s="30"/>
      <c r="H229" s="34" t="str">
        <f aca="false">IF(D229="","",IFERROR(INDEX(Categorias!$D$6:$D$45,MATCH(D229,Categorias!$B$6:$B$45,0))&amp;"",""))</f>
        <v/>
      </c>
      <c r="I229" s="35"/>
      <c r="J229" s="35"/>
      <c r="K229" s="35"/>
      <c r="L229" s="36" t="str">
        <f aca="false">IF(OR(H229="",COUNTIF(I229:K229,"S")+COUNTIF(I229:K229,"N")&lt;3),"",COUNTIF(I229:K229,"S")*IF(H229="S",5,IF(H229="M",4,IF(H229="E",3,2))))</f>
        <v/>
      </c>
      <c r="M229" s="37" t="str">
        <f aca="false">IF(L229="","",IF(L229&gt;=12,"Executar",IF(L229&gt;=8,"Executar com controle",IF(L229&gt;=5,"Postergar","Cancelar"))))</f>
        <v/>
      </c>
      <c r="O229" s="28" t="str">
        <f aca="false">IF(D229="","",IFERROR(INDEX(Categorias!$C$6:$C$45,MATCH(D229,Categorias!$B$6:$B$45,0)),"Sem grupo"))</f>
        <v/>
      </c>
      <c r="P229" s="38" t="str">
        <f aca="false">IF(B229="","",DATE(YEAR(B229),MONTH(B229),1))</f>
        <v/>
      </c>
    </row>
    <row r="230" customFormat="false" ht="15" hidden="false" customHeight="false" outlineLevel="0" collapsed="false">
      <c r="B230" s="33"/>
      <c r="C230" s="30"/>
      <c r="D230" s="30"/>
      <c r="E230" s="31"/>
      <c r="F230" s="30"/>
      <c r="G230" s="30"/>
      <c r="H230" s="34" t="str">
        <f aca="false">IF(D230="","",IFERROR(INDEX(Categorias!$D$6:$D$45,MATCH(D230,Categorias!$B$6:$B$45,0))&amp;"",""))</f>
        <v/>
      </c>
      <c r="I230" s="35"/>
      <c r="J230" s="35"/>
      <c r="K230" s="35"/>
      <c r="L230" s="36" t="str">
        <f aca="false">IF(OR(H230="",COUNTIF(I230:K230,"S")+COUNTIF(I230:K230,"N")&lt;3),"",COUNTIF(I230:K230,"S")*IF(H230="S",5,IF(H230="M",4,IF(H230="E",3,2))))</f>
        <v/>
      </c>
      <c r="M230" s="37" t="str">
        <f aca="false">IF(L230="","",IF(L230&gt;=12,"Executar",IF(L230&gt;=8,"Executar com controle",IF(L230&gt;=5,"Postergar","Cancelar"))))</f>
        <v/>
      </c>
      <c r="O230" s="28" t="str">
        <f aca="false">IF(D230="","",IFERROR(INDEX(Categorias!$C$6:$C$45,MATCH(D230,Categorias!$B$6:$B$45,0)),"Sem grupo"))</f>
        <v/>
      </c>
      <c r="P230" s="38" t="str">
        <f aca="false">IF(B230="","",DATE(YEAR(B230),MONTH(B230),1))</f>
        <v/>
      </c>
    </row>
    <row r="231" customFormat="false" ht="15" hidden="false" customHeight="false" outlineLevel="0" collapsed="false">
      <c r="B231" s="33"/>
      <c r="C231" s="30"/>
      <c r="D231" s="30"/>
      <c r="E231" s="31"/>
      <c r="F231" s="30"/>
      <c r="G231" s="30"/>
      <c r="H231" s="34" t="str">
        <f aca="false">IF(D231="","",IFERROR(INDEX(Categorias!$D$6:$D$45,MATCH(D231,Categorias!$B$6:$B$45,0))&amp;"",""))</f>
        <v/>
      </c>
      <c r="I231" s="35"/>
      <c r="J231" s="35"/>
      <c r="K231" s="35"/>
      <c r="L231" s="36" t="str">
        <f aca="false">IF(OR(H231="",COUNTIF(I231:K231,"S")+COUNTIF(I231:K231,"N")&lt;3),"",COUNTIF(I231:K231,"S")*IF(H231="S",5,IF(H231="M",4,IF(H231="E",3,2))))</f>
        <v/>
      </c>
      <c r="M231" s="37" t="str">
        <f aca="false">IF(L231="","",IF(L231&gt;=12,"Executar",IF(L231&gt;=8,"Executar com controle",IF(L231&gt;=5,"Postergar","Cancelar"))))</f>
        <v/>
      </c>
      <c r="O231" s="28" t="str">
        <f aca="false">IF(D231="","",IFERROR(INDEX(Categorias!$C$6:$C$45,MATCH(D231,Categorias!$B$6:$B$45,0)),"Sem grupo"))</f>
        <v/>
      </c>
      <c r="P231" s="38" t="str">
        <f aca="false">IF(B231="","",DATE(YEAR(B231),MONTH(B231),1))</f>
        <v/>
      </c>
    </row>
    <row r="232" customFormat="false" ht="15" hidden="false" customHeight="false" outlineLevel="0" collapsed="false">
      <c r="B232" s="33"/>
      <c r="C232" s="30"/>
      <c r="D232" s="30"/>
      <c r="E232" s="31"/>
      <c r="F232" s="30"/>
      <c r="G232" s="30"/>
      <c r="H232" s="34" t="str">
        <f aca="false">IF(D232="","",IFERROR(INDEX(Categorias!$D$6:$D$45,MATCH(D232,Categorias!$B$6:$B$45,0))&amp;"",""))</f>
        <v/>
      </c>
      <c r="I232" s="35"/>
      <c r="J232" s="35"/>
      <c r="K232" s="35"/>
      <c r="L232" s="36" t="str">
        <f aca="false">IF(OR(H232="",COUNTIF(I232:K232,"S")+COUNTIF(I232:K232,"N")&lt;3),"",COUNTIF(I232:K232,"S")*IF(H232="S",5,IF(H232="M",4,IF(H232="E",3,2))))</f>
        <v/>
      </c>
      <c r="M232" s="37" t="str">
        <f aca="false">IF(L232="","",IF(L232&gt;=12,"Executar",IF(L232&gt;=8,"Executar com controle",IF(L232&gt;=5,"Postergar","Cancelar"))))</f>
        <v/>
      </c>
      <c r="O232" s="28" t="str">
        <f aca="false">IF(D232="","",IFERROR(INDEX(Categorias!$C$6:$C$45,MATCH(D232,Categorias!$B$6:$B$45,0)),"Sem grupo"))</f>
        <v/>
      </c>
      <c r="P232" s="38" t="str">
        <f aca="false">IF(B232="","",DATE(YEAR(B232),MONTH(B232),1))</f>
        <v/>
      </c>
    </row>
    <row r="233" customFormat="false" ht="15" hidden="false" customHeight="false" outlineLevel="0" collapsed="false">
      <c r="B233" s="33"/>
      <c r="C233" s="30"/>
      <c r="D233" s="30"/>
      <c r="E233" s="31"/>
      <c r="F233" s="30"/>
      <c r="G233" s="30"/>
      <c r="H233" s="34" t="str">
        <f aca="false">IF(D233="","",IFERROR(INDEX(Categorias!$D$6:$D$45,MATCH(D233,Categorias!$B$6:$B$45,0))&amp;"",""))</f>
        <v/>
      </c>
      <c r="I233" s="35"/>
      <c r="J233" s="35"/>
      <c r="K233" s="35"/>
      <c r="L233" s="36" t="str">
        <f aca="false">IF(OR(H233="",COUNTIF(I233:K233,"S")+COUNTIF(I233:K233,"N")&lt;3),"",COUNTIF(I233:K233,"S")*IF(H233="S",5,IF(H233="M",4,IF(H233="E",3,2))))</f>
        <v/>
      </c>
      <c r="M233" s="37" t="str">
        <f aca="false">IF(L233="","",IF(L233&gt;=12,"Executar",IF(L233&gt;=8,"Executar com controle",IF(L233&gt;=5,"Postergar","Cancelar"))))</f>
        <v/>
      </c>
      <c r="O233" s="28" t="str">
        <f aca="false">IF(D233="","",IFERROR(INDEX(Categorias!$C$6:$C$45,MATCH(D233,Categorias!$B$6:$B$45,0)),"Sem grupo"))</f>
        <v/>
      </c>
      <c r="P233" s="38" t="str">
        <f aca="false">IF(B233="","",DATE(YEAR(B233),MONTH(B233),1))</f>
        <v/>
      </c>
    </row>
    <row r="234" customFormat="false" ht="15" hidden="false" customHeight="false" outlineLevel="0" collapsed="false">
      <c r="B234" s="33"/>
      <c r="C234" s="30"/>
      <c r="D234" s="30"/>
      <c r="E234" s="31"/>
      <c r="F234" s="30"/>
      <c r="G234" s="30"/>
      <c r="H234" s="34" t="str">
        <f aca="false">IF(D234="","",IFERROR(INDEX(Categorias!$D$6:$D$45,MATCH(D234,Categorias!$B$6:$B$45,0))&amp;"",""))</f>
        <v/>
      </c>
      <c r="I234" s="35"/>
      <c r="J234" s="35"/>
      <c r="K234" s="35"/>
      <c r="L234" s="36" t="str">
        <f aca="false">IF(OR(H234="",COUNTIF(I234:K234,"S")+COUNTIF(I234:K234,"N")&lt;3),"",COUNTIF(I234:K234,"S")*IF(H234="S",5,IF(H234="M",4,IF(H234="E",3,2))))</f>
        <v/>
      </c>
      <c r="M234" s="37" t="str">
        <f aca="false">IF(L234="","",IF(L234&gt;=12,"Executar",IF(L234&gt;=8,"Executar com controle",IF(L234&gt;=5,"Postergar","Cancelar"))))</f>
        <v/>
      </c>
      <c r="O234" s="28" t="str">
        <f aca="false">IF(D234="","",IFERROR(INDEX(Categorias!$C$6:$C$45,MATCH(D234,Categorias!$B$6:$B$45,0)),"Sem grupo"))</f>
        <v/>
      </c>
      <c r="P234" s="38" t="str">
        <f aca="false">IF(B234="","",DATE(YEAR(B234),MONTH(B234),1))</f>
        <v/>
      </c>
    </row>
    <row r="235" customFormat="false" ht="15" hidden="false" customHeight="false" outlineLevel="0" collapsed="false">
      <c r="B235" s="33"/>
      <c r="C235" s="30"/>
      <c r="D235" s="30"/>
      <c r="E235" s="31"/>
      <c r="F235" s="30"/>
      <c r="G235" s="30"/>
      <c r="H235" s="34" t="str">
        <f aca="false">IF(D235="","",IFERROR(INDEX(Categorias!$D$6:$D$45,MATCH(D235,Categorias!$B$6:$B$45,0))&amp;"",""))</f>
        <v/>
      </c>
      <c r="I235" s="35"/>
      <c r="J235" s="35"/>
      <c r="K235" s="35"/>
      <c r="L235" s="36" t="str">
        <f aca="false">IF(OR(H235="",COUNTIF(I235:K235,"S")+COUNTIF(I235:K235,"N")&lt;3),"",COUNTIF(I235:K235,"S")*IF(H235="S",5,IF(H235="M",4,IF(H235="E",3,2))))</f>
        <v/>
      </c>
      <c r="M235" s="37" t="str">
        <f aca="false">IF(L235="","",IF(L235&gt;=12,"Executar",IF(L235&gt;=8,"Executar com controle",IF(L235&gt;=5,"Postergar","Cancelar"))))</f>
        <v/>
      </c>
      <c r="O235" s="28" t="str">
        <f aca="false">IF(D235="","",IFERROR(INDEX(Categorias!$C$6:$C$45,MATCH(D235,Categorias!$B$6:$B$45,0)),"Sem grupo"))</f>
        <v/>
      </c>
      <c r="P235" s="38" t="str">
        <f aca="false">IF(B235="","",DATE(YEAR(B235),MONTH(B235),1))</f>
        <v/>
      </c>
    </row>
    <row r="236" customFormat="false" ht="15" hidden="false" customHeight="false" outlineLevel="0" collapsed="false">
      <c r="B236" s="33"/>
      <c r="C236" s="30"/>
      <c r="D236" s="30"/>
      <c r="E236" s="31"/>
      <c r="F236" s="30"/>
      <c r="G236" s="30"/>
      <c r="H236" s="34" t="str">
        <f aca="false">IF(D236="","",IFERROR(INDEX(Categorias!$D$6:$D$45,MATCH(D236,Categorias!$B$6:$B$45,0))&amp;"",""))</f>
        <v/>
      </c>
      <c r="I236" s="35"/>
      <c r="J236" s="35"/>
      <c r="K236" s="35"/>
      <c r="L236" s="36" t="str">
        <f aca="false">IF(OR(H236="",COUNTIF(I236:K236,"S")+COUNTIF(I236:K236,"N")&lt;3),"",COUNTIF(I236:K236,"S")*IF(H236="S",5,IF(H236="M",4,IF(H236="E",3,2))))</f>
        <v/>
      </c>
      <c r="M236" s="37" t="str">
        <f aca="false">IF(L236="","",IF(L236&gt;=12,"Executar",IF(L236&gt;=8,"Executar com controle",IF(L236&gt;=5,"Postergar","Cancelar"))))</f>
        <v/>
      </c>
      <c r="O236" s="28" t="str">
        <f aca="false">IF(D236="","",IFERROR(INDEX(Categorias!$C$6:$C$45,MATCH(D236,Categorias!$B$6:$B$45,0)),"Sem grupo"))</f>
        <v/>
      </c>
      <c r="P236" s="38" t="str">
        <f aca="false">IF(B236="","",DATE(YEAR(B236),MONTH(B236),1))</f>
        <v/>
      </c>
    </row>
    <row r="237" customFormat="false" ht="15" hidden="false" customHeight="false" outlineLevel="0" collapsed="false">
      <c r="B237" s="33"/>
      <c r="C237" s="30"/>
      <c r="D237" s="30"/>
      <c r="E237" s="31"/>
      <c r="F237" s="30"/>
      <c r="G237" s="30"/>
      <c r="H237" s="34" t="str">
        <f aca="false">IF(D237="","",IFERROR(INDEX(Categorias!$D$6:$D$45,MATCH(D237,Categorias!$B$6:$B$45,0))&amp;"",""))</f>
        <v/>
      </c>
      <c r="I237" s="35"/>
      <c r="J237" s="35"/>
      <c r="K237" s="35"/>
      <c r="L237" s="36" t="str">
        <f aca="false">IF(OR(H237="",COUNTIF(I237:K237,"S")+COUNTIF(I237:K237,"N")&lt;3),"",COUNTIF(I237:K237,"S")*IF(H237="S",5,IF(H237="M",4,IF(H237="E",3,2))))</f>
        <v/>
      </c>
      <c r="M237" s="37" t="str">
        <f aca="false">IF(L237="","",IF(L237&gt;=12,"Executar",IF(L237&gt;=8,"Executar com controle",IF(L237&gt;=5,"Postergar","Cancelar"))))</f>
        <v/>
      </c>
      <c r="O237" s="28" t="str">
        <f aca="false">IF(D237="","",IFERROR(INDEX(Categorias!$C$6:$C$45,MATCH(D237,Categorias!$B$6:$B$45,0)),"Sem grupo"))</f>
        <v/>
      </c>
      <c r="P237" s="38" t="str">
        <f aca="false">IF(B237="","",DATE(YEAR(B237),MONTH(B237),1))</f>
        <v/>
      </c>
    </row>
    <row r="238" customFormat="false" ht="15" hidden="false" customHeight="false" outlineLevel="0" collapsed="false">
      <c r="B238" s="33"/>
      <c r="C238" s="30"/>
      <c r="D238" s="30"/>
      <c r="E238" s="31"/>
      <c r="F238" s="30"/>
      <c r="G238" s="30"/>
      <c r="H238" s="34" t="str">
        <f aca="false">IF(D238="","",IFERROR(INDEX(Categorias!$D$6:$D$45,MATCH(D238,Categorias!$B$6:$B$45,0))&amp;"",""))</f>
        <v/>
      </c>
      <c r="I238" s="35"/>
      <c r="J238" s="35"/>
      <c r="K238" s="35"/>
      <c r="L238" s="36" t="str">
        <f aca="false">IF(OR(H238="",COUNTIF(I238:K238,"S")+COUNTIF(I238:K238,"N")&lt;3),"",COUNTIF(I238:K238,"S")*IF(H238="S",5,IF(H238="M",4,IF(H238="E",3,2))))</f>
        <v/>
      </c>
      <c r="M238" s="37" t="str">
        <f aca="false">IF(L238="","",IF(L238&gt;=12,"Executar",IF(L238&gt;=8,"Executar com controle",IF(L238&gt;=5,"Postergar","Cancelar"))))</f>
        <v/>
      </c>
      <c r="O238" s="28" t="str">
        <f aca="false">IF(D238="","",IFERROR(INDEX(Categorias!$C$6:$C$45,MATCH(D238,Categorias!$B$6:$B$45,0)),"Sem grupo"))</f>
        <v/>
      </c>
      <c r="P238" s="38" t="str">
        <f aca="false">IF(B238="","",DATE(YEAR(B238),MONTH(B238),1))</f>
        <v/>
      </c>
    </row>
    <row r="239" customFormat="false" ht="15" hidden="false" customHeight="false" outlineLevel="0" collapsed="false">
      <c r="B239" s="33"/>
      <c r="C239" s="30"/>
      <c r="D239" s="30"/>
      <c r="E239" s="31"/>
      <c r="F239" s="30"/>
      <c r="G239" s="30"/>
      <c r="H239" s="34" t="str">
        <f aca="false">IF(D239="","",IFERROR(INDEX(Categorias!$D$6:$D$45,MATCH(D239,Categorias!$B$6:$B$45,0))&amp;"",""))</f>
        <v/>
      </c>
      <c r="I239" s="35"/>
      <c r="J239" s="35"/>
      <c r="K239" s="35"/>
      <c r="L239" s="36" t="str">
        <f aca="false">IF(OR(H239="",COUNTIF(I239:K239,"S")+COUNTIF(I239:K239,"N")&lt;3),"",COUNTIF(I239:K239,"S")*IF(H239="S",5,IF(H239="M",4,IF(H239="E",3,2))))</f>
        <v/>
      </c>
      <c r="M239" s="37" t="str">
        <f aca="false">IF(L239="","",IF(L239&gt;=12,"Executar",IF(L239&gt;=8,"Executar com controle",IF(L239&gt;=5,"Postergar","Cancelar"))))</f>
        <v/>
      </c>
      <c r="O239" s="28" t="str">
        <f aca="false">IF(D239="","",IFERROR(INDEX(Categorias!$C$6:$C$45,MATCH(D239,Categorias!$B$6:$B$45,0)),"Sem grupo"))</f>
        <v/>
      </c>
      <c r="P239" s="38" t="str">
        <f aca="false">IF(B239="","",DATE(YEAR(B239),MONTH(B239),1))</f>
        <v/>
      </c>
    </row>
    <row r="240" customFormat="false" ht="15" hidden="false" customHeight="false" outlineLevel="0" collapsed="false">
      <c r="B240" s="33"/>
      <c r="C240" s="30"/>
      <c r="D240" s="30"/>
      <c r="E240" s="31"/>
      <c r="F240" s="30"/>
      <c r="G240" s="30"/>
      <c r="H240" s="34" t="str">
        <f aca="false">IF(D240="","",IFERROR(INDEX(Categorias!$D$6:$D$45,MATCH(D240,Categorias!$B$6:$B$45,0))&amp;"",""))</f>
        <v/>
      </c>
      <c r="I240" s="35"/>
      <c r="J240" s="35"/>
      <c r="K240" s="35"/>
      <c r="L240" s="36" t="str">
        <f aca="false">IF(OR(H240="",COUNTIF(I240:K240,"S")+COUNTIF(I240:K240,"N")&lt;3),"",COUNTIF(I240:K240,"S")*IF(H240="S",5,IF(H240="M",4,IF(H240="E",3,2))))</f>
        <v/>
      </c>
      <c r="M240" s="37" t="str">
        <f aca="false">IF(L240="","",IF(L240&gt;=12,"Executar",IF(L240&gt;=8,"Executar com controle",IF(L240&gt;=5,"Postergar","Cancelar"))))</f>
        <v/>
      </c>
      <c r="O240" s="28" t="str">
        <f aca="false">IF(D240="","",IFERROR(INDEX(Categorias!$C$6:$C$45,MATCH(D240,Categorias!$B$6:$B$45,0)),"Sem grupo"))</f>
        <v/>
      </c>
      <c r="P240" s="38" t="str">
        <f aca="false">IF(B240="","",DATE(YEAR(B240),MONTH(B240),1))</f>
        <v/>
      </c>
    </row>
    <row r="241" customFormat="false" ht="15" hidden="false" customHeight="false" outlineLevel="0" collapsed="false">
      <c r="B241" s="33"/>
      <c r="C241" s="30"/>
      <c r="D241" s="30"/>
      <c r="E241" s="31"/>
      <c r="F241" s="30"/>
      <c r="G241" s="30"/>
      <c r="H241" s="34" t="str">
        <f aca="false">IF(D241="","",IFERROR(INDEX(Categorias!$D$6:$D$45,MATCH(D241,Categorias!$B$6:$B$45,0))&amp;"",""))</f>
        <v/>
      </c>
      <c r="I241" s="35"/>
      <c r="J241" s="35"/>
      <c r="K241" s="35"/>
      <c r="L241" s="36" t="str">
        <f aca="false">IF(OR(H241="",COUNTIF(I241:K241,"S")+COUNTIF(I241:K241,"N")&lt;3),"",COUNTIF(I241:K241,"S")*IF(H241="S",5,IF(H241="M",4,IF(H241="E",3,2))))</f>
        <v/>
      </c>
      <c r="M241" s="37" t="str">
        <f aca="false">IF(L241="","",IF(L241&gt;=12,"Executar",IF(L241&gt;=8,"Executar com controle",IF(L241&gt;=5,"Postergar","Cancelar"))))</f>
        <v/>
      </c>
      <c r="O241" s="28" t="str">
        <f aca="false">IF(D241="","",IFERROR(INDEX(Categorias!$C$6:$C$45,MATCH(D241,Categorias!$B$6:$B$45,0)),"Sem grupo"))</f>
        <v/>
      </c>
      <c r="P241" s="38" t="str">
        <f aca="false">IF(B241="","",DATE(YEAR(B241),MONTH(B241),1))</f>
        <v/>
      </c>
    </row>
    <row r="242" customFormat="false" ht="15" hidden="false" customHeight="false" outlineLevel="0" collapsed="false">
      <c r="B242" s="33"/>
      <c r="C242" s="30"/>
      <c r="D242" s="30"/>
      <c r="E242" s="31"/>
      <c r="F242" s="30"/>
      <c r="G242" s="30"/>
      <c r="H242" s="34" t="str">
        <f aca="false">IF(D242="","",IFERROR(INDEX(Categorias!$D$6:$D$45,MATCH(D242,Categorias!$B$6:$B$45,0))&amp;"",""))</f>
        <v/>
      </c>
      <c r="I242" s="35"/>
      <c r="J242" s="35"/>
      <c r="K242" s="35"/>
      <c r="L242" s="36" t="str">
        <f aca="false">IF(OR(H242="",COUNTIF(I242:K242,"S")+COUNTIF(I242:K242,"N")&lt;3),"",COUNTIF(I242:K242,"S")*IF(H242="S",5,IF(H242="M",4,IF(H242="E",3,2))))</f>
        <v/>
      </c>
      <c r="M242" s="37" t="str">
        <f aca="false">IF(L242="","",IF(L242&gt;=12,"Executar",IF(L242&gt;=8,"Executar com controle",IF(L242&gt;=5,"Postergar","Cancelar"))))</f>
        <v/>
      </c>
      <c r="O242" s="28" t="str">
        <f aca="false">IF(D242="","",IFERROR(INDEX(Categorias!$C$6:$C$45,MATCH(D242,Categorias!$B$6:$B$45,0)),"Sem grupo"))</f>
        <v/>
      </c>
      <c r="P242" s="38" t="str">
        <f aca="false">IF(B242="","",DATE(YEAR(B242),MONTH(B242),1))</f>
        <v/>
      </c>
    </row>
    <row r="243" customFormat="false" ht="15" hidden="false" customHeight="false" outlineLevel="0" collapsed="false">
      <c r="B243" s="33"/>
      <c r="C243" s="30"/>
      <c r="D243" s="30"/>
      <c r="E243" s="31"/>
      <c r="F243" s="30"/>
      <c r="G243" s="30"/>
      <c r="H243" s="34" t="str">
        <f aca="false">IF(D243="","",IFERROR(INDEX(Categorias!$D$6:$D$45,MATCH(D243,Categorias!$B$6:$B$45,0))&amp;"",""))</f>
        <v/>
      </c>
      <c r="I243" s="35"/>
      <c r="J243" s="35"/>
      <c r="K243" s="35"/>
      <c r="L243" s="36" t="str">
        <f aca="false">IF(OR(H243="",COUNTIF(I243:K243,"S")+COUNTIF(I243:K243,"N")&lt;3),"",COUNTIF(I243:K243,"S")*IF(H243="S",5,IF(H243="M",4,IF(H243="E",3,2))))</f>
        <v/>
      </c>
      <c r="M243" s="37" t="str">
        <f aca="false">IF(L243="","",IF(L243&gt;=12,"Executar",IF(L243&gt;=8,"Executar com controle",IF(L243&gt;=5,"Postergar","Cancelar"))))</f>
        <v/>
      </c>
      <c r="O243" s="28" t="str">
        <f aca="false">IF(D243="","",IFERROR(INDEX(Categorias!$C$6:$C$45,MATCH(D243,Categorias!$B$6:$B$45,0)),"Sem grupo"))</f>
        <v/>
      </c>
      <c r="P243" s="38" t="str">
        <f aca="false">IF(B243="","",DATE(YEAR(B243),MONTH(B243),1))</f>
        <v/>
      </c>
    </row>
    <row r="244" customFormat="false" ht="15" hidden="false" customHeight="false" outlineLevel="0" collapsed="false">
      <c r="B244" s="33"/>
      <c r="C244" s="30"/>
      <c r="D244" s="30"/>
      <c r="E244" s="31"/>
      <c r="F244" s="30"/>
      <c r="G244" s="30"/>
      <c r="H244" s="34" t="str">
        <f aca="false">IF(D244="","",IFERROR(INDEX(Categorias!$D$6:$D$45,MATCH(D244,Categorias!$B$6:$B$45,0))&amp;"",""))</f>
        <v/>
      </c>
      <c r="I244" s="35"/>
      <c r="J244" s="35"/>
      <c r="K244" s="35"/>
      <c r="L244" s="36" t="str">
        <f aca="false">IF(OR(H244="",COUNTIF(I244:K244,"S")+COUNTIF(I244:K244,"N")&lt;3),"",COUNTIF(I244:K244,"S")*IF(H244="S",5,IF(H244="M",4,IF(H244="E",3,2))))</f>
        <v/>
      </c>
      <c r="M244" s="37" t="str">
        <f aca="false">IF(L244="","",IF(L244&gt;=12,"Executar",IF(L244&gt;=8,"Executar com controle",IF(L244&gt;=5,"Postergar","Cancelar"))))</f>
        <v/>
      </c>
      <c r="O244" s="28" t="str">
        <f aca="false">IF(D244="","",IFERROR(INDEX(Categorias!$C$6:$C$45,MATCH(D244,Categorias!$B$6:$B$45,0)),"Sem grupo"))</f>
        <v/>
      </c>
      <c r="P244" s="38" t="str">
        <f aca="false">IF(B244="","",DATE(YEAR(B244),MONTH(B244),1))</f>
        <v/>
      </c>
    </row>
    <row r="245" customFormat="false" ht="15" hidden="false" customHeight="false" outlineLevel="0" collapsed="false">
      <c r="B245" s="33"/>
      <c r="C245" s="30"/>
      <c r="D245" s="30"/>
      <c r="E245" s="31"/>
      <c r="F245" s="30"/>
      <c r="G245" s="30"/>
      <c r="H245" s="34" t="str">
        <f aca="false">IF(D245="","",IFERROR(INDEX(Categorias!$D$6:$D$45,MATCH(D245,Categorias!$B$6:$B$45,0))&amp;"",""))</f>
        <v/>
      </c>
      <c r="I245" s="35"/>
      <c r="J245" s="35"/>
      <c r="K245" s="35"/>
      <c r="L245" s="36" t="str">
        <f aca="false">IF(OR(H245="",COUNTIF(I245:K245,"S")+COUNTIF(I245:K245,"N")&lt;3),"",COUNTIF(I245:K245,"S")*IF(H245="S",5,IF(H245="M",4,IF(H245="E",3,2))))</f>
        <v/>
      </c>
      <c r="M245" s="37" t="str">
        <f aca="false">IF(L245="","",IF(L245&gt;=12,"Executar",IF(L245&gt;=8,"Executar com controle",IF(L245&gt;=5,"Postergar","Cancelar"))))</f>
        <v/>
      </c>
      <c r="O245" s="28" t="str">
        <f aca="false">IF(D245="","",IFERROR(INDEX(Categorias!$C$6:$C$45,MATCH(D245,Categorias!$B$6:$B$45,0)),"Sem grupo"))</f>
        <v/>
      </c>
      <c r="P245" s="38" t="str">
        <f aca="false">IF(B245="","",DATE(YEAR(B245),MONTH(B245),1))</f>
        <v/>
      </c>
    </row>
    <row r="246" customFormat="false" ht="15" hidden="false" customHeight="false" outlineLevel="0" collapsed="false">
      <c r="B246" s="33"/>
      <c r="C246" s="30"/>
      <c r="D246" s="30"/>
      <c r="E246" s="31"/>
      <c r="F246" s="30"/>
      <c r="G246" s="30"/>
      <c r="H246" s="34" t="str">
        <f aca="false">IF(D246="","",IFERROR(INDEX(Categorias!$D$6:$D$45,MATCH(D246,Categorias!$B$6:$B$45,0))&amp;"",""))</f>
        <v/>
      </c>
      <c r="I246" s="35"/>
      <c r="J246" s="35"/>
      <c r="K246" s="35"/>
      <c r="L246" s="36" t="str">
        <f aca="false">IF(OR(H246="",COUNTIF(I246:K246,"S")+COUNTIF(I246:K246,"N")&lt;3),"",COUNTIF(I246:K246,"S")*IF(H246="S",5,IF(H246="M",4,IF(H246="E",3,2))))</f>
        <v/>
      </c>
      <c r="M246" s="37" t="str">
        <f aca="false">IF(L246="","",IF(L246&gt;=12,"Executar",IF(L246&gt;=8,"Executar com controle",IF(L246&gt;=5,"Postergar","Cancelar"))))</f>
        <v/>
      </c>
      <c r="O246" s="28" t="str">
        <f aca="false">IF(D246="","",IFERROR(INDEX(Categorias!$C$6:$C$45,MATCH(D246,Categorias!$B$6:$B$45,0)),"Sem grupo"))</f>
        <v/>
      </c>
      <c r="P246" s="38" t="str">
        <f aca="false">IF(B246="","",DATE(YEAR(B246),MONTH(B246),1))</f>
        <v/>
      </c>
    </row>
    <row r="247" customFormat="false" ht="15" hidden="false" customHeight="false" outlineLevel="0" collapsed="false">
      <c r="B247" s="33"/>
      <c r="C247" s="30"/>
      <c r="D247" s="30"/>
      <c r="E247" s="31"/>
      <c r="F247" s="30"/>
      <c r="G247" s="30"/>
      <c r="H247" s="34" t="str">
        <f aca="false">IF(D247="","",IFERROR(INDEX(Categorias!$D$6:$D$45,MATCH(D247,Categorias!$B$6:$B$45,0))&amp;"",""))</f>
        <v/>
      </c>
      <c r="I247" s="35"/>
      <c r="J247" s="35"/>
      <c r="K247" s="35"/>
      <c r="L247" s="36" t="str">
        <f aca="false">IF(OR(H247="",COUNTIF(I247:K247,"S")+COUNTIF(I247:K247,"N")&lt;3),"",COUNTIF(I247:K247,"S")*IF(H247="S",5,IF(H247="M",4,IF(H247="E",3,2))))</f>
        <v/>
      </c>
      <c r="M247" s="37" t="str">
        <f aca="false">IF(L247="","",IF(L247&gt;=12,"Executar",IF(L247&gt;=8,"Executar com controle",IF(L247&gt;=5,"Postergar","Cancelar"))))</f>
        <v/>
      </c>
      <c r="O247" s="28" t="str">
        <f aca="false">IF(D247="","",IFERROR(INDEX(Categorias!$C$6:$C$45,MATCH(D247,Categorias!$B$6:$B$45,0)),"Sem grupo"))</f>
        <v/>
      </c>
      <c r="P247" s="38" t="str">
        <f aca="false">IF(B247="","",DATE(YEAR(B247),MONTH(B247),1))</f>
        <v/>
      </c>
    </row>
    <row r="248" customFormat="false" ht="15" hidden="false" customHeight="false" outlineLevel="0" collapsed="false">
      <c r="B248" s="33"/>
      <c r="C248" s="30"/>
      <c r="D248" s="30"/>
      <c r="E248" s="31"/>
      <c r="F248" s="30"/>
      <c r="G248" s="30"/>
      <c r="H248" s="34" t="str">
        <f aca="false">IF(D248="","",IFERROR(INDEX(Categorias!$D$6:$D$45,MATCH(D248,Categorias!$B$6:$B$45,0))&amp;"",""))</f>
        <v/>
      </c>
      <c r="I248" s="35"/>
      <c r="J248" s="35"/>
      <c r="K248" s="35"/>
      <c r="L248" s="36" t="str">
        <f aca="false">IF(OR(H248="",COUNTIF(I248:K248,"S")+COUNTIF(I248:K248,"N")&lt;3),"",COUNTIF(I248:K248,"S")*IF(H248="S",5,IF(H248="M",4,IF(H248="E",3,2))))</f>
        <v/>
      </c>
      <c r="M248" s="37" t="str">
        <f aca="false">IF(L248="","",IF(L248&gt;=12,"Executar",IF(L248&gt;=8,"Executar com controle",IF(L248&gt;=5,"Postergar","Cancelar"))))</f>
        <v/>
      </c>
      <c r="O248" s="28" t="str">
        <f aca="false">IF(D248="","",IFERROR(INDEX(Categorias!$C$6:$C$45,MATCH(D248,Categorias!$B$6:$B$45,0)),"Sem grupo"))</f>
        <v/>
      </c>
      <c r="P248" s="38" t="str">
        <f aca="false">IF(B248="","",DATE(YEAR(B248),MONTH(B248),1))</f>
        <v/>
      </c>
    </row>
    <row r="249" customFormat="false" ht="15" hidden="false" customHeight="false" outlineLevel="0" collapsed="false">
      <c r="B249" s="33"/>
      <c r="C249" s="30"/>
      <c r="D249" s="30"/>
      <c r="E249" s="31"/>
      <c r="F249" s="30"/>
      <c r="G249" s="30"/>
      <c r="H249" s="34" t="str">
        <f aca="false">IF(D249="","",IFERROR(INDEX(Categorias!$D$6:$D$45,MATCH(D249,Categorias!$B$6:$B$45,0))&amp;"",""))</f>
        <v/>
      </c>
      <c r="I249" s="35"/>
      <c r="J249" s="35"/>
      <c r="K249" s="35"/>
      <c r="L249" s="36" t="str">
        <f aca="false">IF(OR(H249="",COUNTIF(I249:K249,"S")+COUNTIF(I249:K249,"N")&lt;3),"",COUNTIF(I249:K249,"S")*IF(H249="S",5,IF(H249="M",4,IF(H249="E",3,2))))</f>
        <v/>
      </c>
      <c r="M249" s="37" t="str">
        <f aca="false">IF(L249="","",IF(L249&gt;=12,"Executar",IF(L249&gt;=8,"Executar com controle",IF(L249&gt;=5,"Postergar","Cancelar"))))</f>
        <v/>
      </c>
      <c r="O249" s="28" t="str">
        <f aca="false">IF(D249="","",IFERROR(INDEX(Categorias!$C$6:$C$45,MATCH(D249,Categorias!$B$6:$B$45,0)),"Sem grupo"))</f>
        <v/>
      </c>
      <c r="P249" s="38" t="str">
        <f aca="false">IF(B249="","",DATE(YEAR(B249),MONTH(B249),1))</f>
        <v/>
      </c>
    </row>
    <row r="250" customFormat="false" ht="15" hidden="false" customHeight="false" outlineLevel="0" collapsed="false">
      <c r="B250" s="33"/>
      <c r="C250" s="30"/>
      <c r="D250" s="30"/>
      <c r="E250" s="31"/>
      <c r="F250" s="30"/>
      <c r="G250" s="30"/>
      <c r="H250" s="34" t="str">
        <f aca="false">IF(D250="","",IFERROR(INDEX(Categorias!$D$6:$D$45,MATCH(D250,Categorias!$B$6:$B$45,0))&amp;"",""))</f>
        <v/>
      </c>
      <c r="I250" s="35"/>
      <c r="J250" s="35"/>
      <c r="K250" s="35"/>
      <c r="L250" s="36" t="str">
        <f aca="false">IF(OR(H250="",COUNTIF(I250:K250,"S")+COUNTIF(I250:K250,"N")&lt;3),"",COUNTIF(I250:K250,"S")*IF(H250="S",5,IF(H250="M",4,IF(H250="E",3,2))))</f>
        <v/>
      </c>
      <c r="M250" s="37" t="str">
        <f aca="false">IF(L250="","",IF(L250&gt;=12,"Executar",IF(L250&gt;=8,"Executar com controle",IF(L250&gt;=5,"Postergar","Cancelar"))))</f>
        <v/>
      </c>
      <c r="O250" s="28" t="str">
        <f aca="false">IF(D250="","",IFERROR(INDEX(Categorias!$C$6:$C$45,MATCH(D250,Categorias!$B$6:$B$45,0)),"Sem grupo"))</f>
        <v/>
      </c>
      <c r="P250" s="38" t="str">
        <f aca="false">IF(B250="","",DATE(YEAR(B250),MONTH(B250),1))</f>
        <v/>
      </c>
    </row>
    <row r="251" customFormat="false" ht="15" hidden="false" customHeight="false" outlineLevel="0" collapsed="false">
      <c r="B251" s="33"/>
      <c r="C251" s="30"/>
      <c r="D251" s="30"/>
      <c r="E251" s="31"/>
      <c r="F251" s="30"/>
      <c r="G251" s="30"/>
      <c r="H251" s="34" t="str">
        <f aca="false">IF(D251="","",IFERROR(INDEX(Categorias!$D$6:$D$45,MATCH(D251,Categorias!$B$6:$B$45,0))&amp;"",""))</f>
        <v/>
      </c>
      <c r="I251" s="35"/>
      <c r="J251" s="35"/>
      <c r="K251" s="35"/>
      <c r="L251" s="36" t="str">
        <f aca="false">IF(OR(H251="",COUNTIF(I251:K251,"S")+COUNTIF(I251:K251,"N")&lt;3),"",COUNTIF(I251:K251,"S")*IF(H251="S",5,IF(H251="M",4,IF(H251="E",3,2))))</f>
        <v/>
      </c>
      <c r="M251" s="37" t="str">
        <f aca="false">IF(L251="","",IF(L251&gt;=12,"Executar",IF(L251&gt;=8,"Executar com controle",IF(L251&gt;=5,"Postergar","Cancelar"))))</f>
        <v/>
      </c>
      <c r="O251" s="28" t="str">
        <f aca="false">IF(D251="","",IFERROR(INDEX(Categorias!$C$6:$C$45,MATCH(D251,Categorias!$B$6:$B$45,0)),"Sem grupo"))</f>
        <v/>
      </c>
      <c r="P251" s="38" t="str">
        <f aca="false">IF(B251="","",DATE(YEAR(B251),MONTH(B251),1))</f>
        <v/>
      </c>
    </row>
    <row r="252" customFormat="false" ht="15" hidden="false" customHeight="false" outlineLevel="0" collapsed="false">
      <c r="B252" s="33"/>
      <c r="C252" s="30"/>
      <c r="D252" s="30"/>
      <c r="E252" s="31"/>
      <c r="F252" s="30"/>
      <c r="G252" s="30"/>
      <c r="H252" s="34" t="str">
        <f aca="false">IF(D252="","",IFERROR(INDEX(Categorias!$D$6:$D$45,MATCH(D252,Categorias!$B$6:$B$45,0))&amp;"",""))</f>
        <v/>
      </c>
      <c r="I252" s="35"/>
      <c r="J252" s="35"/>
      <c r="K252" s="35"/>
      <c r="L252" s="36" t="str">
        <f aca="false">IF(OR(H252="",COUNTIF(I252:K252,"S")+COUNTIF(I252:K252,"N")&lt;3),"",COUNTIF(I252:K252,"S")*IF(H252="S",5,IF(H252="M",4,IF(H252="E",3,2))))</f>
        <v/>
      </c>
      <c r="M252" s="37" t="str">
        <f aca="false">IF(L252="","",IF(L252&gt;=12,"Executar",IF(L252&gt;=8,"Executar com controle",IF(L252&gt;=5,"Postergar","Cancelar"))))</f>
        <v/>
      </c>
      <c r="O252" s="28" t="str">
        <f aca="false">IF(D252="","",IFERROR(INDEX(Categorias!$C$6:$C$45,MATCH(D252,Categorias!$B$6:$B$45,0)),"Sem grupo"))</f>
        <v/>
      </c>
      <c r="P252" s="38" t="str">
        <f aca="false">IF(B252="","",DATE(YEAR(B252),MONTH(B252),1))</f>
        <v/>
      </c>
    </row>
    <row r="253" customFormat="false" ht="15" hidden="false" customHeight="false" outlineLevel="0" collapsed="false">
      <c r="B253" s="33"/>
      <c r="C253" s="30"/>
      <c r="D253" s="30"/>
      <c r="E253" s="31"/>
      <c r="F253" s="30"/>
      <c r="G253" s="30"/>
      <c r="H253" s="34" t="str">
        <f aca="false">IF(D253="","",IFERROR(INDEX(Categorias!$D$6:$D$45,MATCH(D253,Categorias!$B$6:$B$45,0))&amp;"",""))</f>
        <v/>
      </c>
      <c r="I253" s="35"/>
      <c r="J253" s="35"/>
      <c r="K253" s="35"/>
      <c r="L253" s="36" t="str">
        <f aca="false">IF(OR(H253="",COUNTIF(I253:K253,"S")+COUNTIF(I253:K253,"N")&lt;3),"",COUNTIF(I253:K253,"S")*IF(H253="S",5,IF(H253="M",4,IF(H253="E",3,2))))</f>
        <v/>
      </c>
      <c r="M253" s="37" t="str">
        <f aca="false">IF(L253="","",IF(L253&gt;=12,"Executar",IF(L253&gt;=8,"Executar com controle",IF(L253&gt;=5,"Postergar","Cancelar"))))</f>
        <v/>
      </c>
      <c r="O253" s="28" t="str">
        <f aca="false">IF(D253="","",IFERROR(INDEX(Categorias!$C$6:$C$45,MATCH(D253,Categorias!$B$6:$B$45,0)),"Sem grupo"))</f>
        <v/>
      </c>
      <c r="P253" s="38" t="str">
        <f aca="false">IF(B253="","",DATE(YEAR(B253),MONTH(B253),1))</f>
        <v/>
      </c>
    </row>
    <row r="254" customFormat="false" ht="15" hidden="false" customHeight="false" outlineLevel="0" collapsed="false">
      <c r="B254" s="33"/>
      <c r="C254" s="30"/>
      <c r="D254" s="30"/>
      <c r="E254" s="31"/>
      <c r="F254" s="30"/>
      <c r="G254" s="30"/>
      <c r="H254" s="34" t="str">
        <f aca="false">IF(D254="","",IFERROR(INDEX(Categorias!$D$6:$D$45,MATCH(D254,Categorias!$B$6:$B$45,0))&amp;"",""))</f>
        <v/>
      </c>
      <c r="I254" s="35"/>
      <c r="J254" s="35"/>
      <c r="K254" s="35"/>
      <c r="L254" s="36" t="str">
        <f aca="false">IF(OR(H254="",COUNTIF(I254:K254,"S")+COUNTIF(I254:K254,"N")&lt;3),"",COUNTIF(I254:K254,"S")*IF(H254="S",5,IF(H254="M",4,IF(H254="E",3,2))))</f>
        <v/>
      </c>
      <c r="M254" s="37" t="str">
        <f aca="false">IF(L254="","",IF(L254&gt;=12,"Executar",IF(L254&gt;=8,"Executar com controle",IF(L254&gt;=5,"Postergar","Cancelar"))))</f>
        <v/>
      </c>
      <c r="O254" s="28" t="str">
        <f aca="false">IF(D254="","",IFERROR(INDEX(Categorias!$C$6:$C$45,MATCH(D254,Categorias!$B$6:$B$45,0)),"Sem grupo"))</f>
        <v/>
      </c>
      <c r="P254" s="38" t="str">
        <f aca="false">IF(B254="","",DATE(YEAR(B254),MONTH(B254),1))</f>
        <v/>
      </c>
    </row>
    <row r="255" customFormat="false" ht="15" hidden="false" customHeight="false" outlineLevel="0" collapsed="false">
      <c r="B255" s="33"/>
      <c r="C255" s="30"/>
      <c r="D255" s="30"/>
      <c r="E255" s="31"/>
      <c r="F255" s="30"/>
      <c r="G255" s="30"/>
      <c r="H255" s="34" t="str">
        <f aca="false">IF(D255="","",IFERROR(INDEX(Categorias!$D$6:$D$45,MATCH(D255,Categorias!$B$6:$B$45,0))&amp;"",""))</f>
        <v/>
      </c>
      <c r="I255" s="35"/>
      <c r="J255" s="35"/>
      <c r="K255" s="35"/>
      <c r="L255" s="36" t="str">
        <f aca="false">IF(OR(H255="",COUNTIF(I255:K255,"S")+COUNTIF(I255:K255,"N")&lt;3),"",COUNTIF(I255:K255,"S")*IF(H255="S",5,IF(H255="M",4,IF(H255="E",3,2))))</f>
        <v/>
      </c>
      <c r="M255" s="37" t="str">
        <f aca="false">IF(L255="","",IF(L255&gt;=12,"Executar",IF(L255&gt;=8,"Executar com controle",IF(L255&gt;=5,"Postergar","Cancelar"))))</f>
        <v/>
      </c>
      <c r="O255" s="28" t="str">
        <f aca="false">IF(D255="","",IFERROR(INDEX(Categorias!$C$6:$C$45,MATCH(D255,Categorias!$B$6:$B$45,0)),"Sem grupo"))</f>
        <v/>
      </c>
      <c r="P255" s="38" t="str">
        <f aca="false">IF(B255="","",DATE(YEAR(B255),MONTH(B255),1))</f>
        <v/>
      </c>
    </row>
    <row r="256" customFormat="false" ht="15" hidden="false" customHeight="false" outlineLevel="0" collapsed="false">
      <c r="B256" s="33"/>
      <c r="C256" s="30"/>
      <c r="D256" s="30"/>
      <c r="E256" s="31"/>
      <c r="F256" s="30"/>
      <c r="G256" s="30"/>
      <c r="H256" s="34" t="str">
        <f aca="false">IF(D256="","",IFERROR(INDEX(Categorias!$D$6:$D$45,MATCH(D256,Categorias!$B$6:$B$45,0))&amp;"",""))</f>
        <v/>
      </c>
      <c r="I256" s="35"/>
      <c r="J256" s="35"/>
      <c r="K256" s="35"/>
      <c r="L256" s="36" t="str">
        <f aca="false">IF(OR(H256="",COUNTIF(I256:K256,"S")+COUNTIF(I256:K256,"N")&lt;3),"",COUNTIF(I256:K256,"S")*IF(H256="S",5,IF(H256="M",4,IF(H256="E",3,2))))</f>
        <v/>
      </c>
      <c r="M256" s="37" t="str">
        <f aca="false">IF(L256="","",IF(L256&gt;=12,"Executar",IF(L256&gt;=8,"Executar com controle",IF(L256&gt;=5,"Postergar","Cancelar"))))</f>
        <v/>
      </c>
      <c r="O256" s="28" t="str">
        <f aca="false">IF(D256="","",IFERROR(INDEX(Categorias!$C$6:$C$45,MATCH(D256,Categorias!$B$6:$B$45,0)),"Sem grupo"))</f>
        <v/>
      </c>
      <c r="P256" s="38" t="str">
        <f aca="false">IF(B256="","",DATE(YEAR(B256),MONTH(B256),1))</f>
        <v/>
      </c>
    </row>
    <row r="257" customFormat="false" ht="15" hidden="false" customHeight="false" outlineLevel="0" collapsed="false">
      <c r="B257" s="33"/>
      <c r="C257" s="30"/>
      <c r="D257" s="30"/>
      <c r="E257" s="31"/>
      <c r="F257" s="30"/>
      <c r="G257" s="30"/>
      <c r="H257" s="34" t="str">
        <f aca="false">IF(D257="","",IFERROR(INDEX(Categorias!$D$6:$D$45,MATCH(D257,Categorias!$B$6:$B$45,0))&amp;"",""))</f>
        <v/>
      </c>
      <c r="I257" s="35"/>
      <c r="J257" s="35"/>
      <c r="K257" s="35"/>
      <c r="L257" s="36" t="str">
        <f aca="false">IF(OR(H257="",COUNTIF(I257:K257,"S")+COUNTIF(I257:K257,"N")&lt;3),"",COUNTIF(I257:K257,"S")*IF(H257="S",5,IF(H257="M",4,IF(H257="E",3,2))))</f>
        <v/>
      </c>
      <c r="M257" s="37" t="str">
        <f aca="false">IF(L257="","",IF(L257&gt;=12,"Executar",IF(L257&gt;=8,"Executar com controle",IF(L257&gt;=5,"Postergar","Cancelar"))))</f>
        <v/>
      </c>
      <c r="O257" s="28" t="str">
        <f aca="false">IF(D257="","",IFERROR(INDEX(Categorias!$C$6:$C$45,MATCH(D257,Categorias!$B$6:$B$45,0)),"Sem grupo"))</f>
        <v/>
      </c>
      <c r="P257" s="38" t="str">
        <f aca="false">IF(B257="","",DATE(YEAR(B257),MONTH(B257),1))</f>
        <v/>
      </c>
    </row>
    <row r="258" customFormat="false" ht="15" hidden="false" customHeight="false" outlineLevel="0" collapsed="false">
      <c r="B258" s="33"/>
      <c r="C258" s="30"/>
      <c r="D258" s="30"/>
      <c r="E258" s="31"/>
      <c r="F258" s="30"/>
      <c r="G258" s="30"/>
      <c r="H258" s="34" t="str">
        <f aca="false">IF(D258="","",IFERROR(INDEX(Categorias!$D$6:$D$45,MATCH(D258,Categorias!$B$6:$B$45,0))&amp;"",""))</f>
        <v/>
      </c>
      <c r="I258" s="35"/>
      <c r="J258" s="35"/>
      <c r="K258" s="35"/>
      <c r="L258" s="36" t="str">
        <f aca="false">IF(OR(H258="",COUNTIF(I258:K258,"S")+COUNTIF(I258:K258,"N")&lt;3),"",COUNTIF(I258:K258,"S")*IF(H258="S",5,IF(H258="M",4,IF(H258="E",3,2))))</f>
        <v/>
      </c>
      <c r="M258" s="37" t="str">
        <f aca="false">IF(L258="","",IF(L258&gt;=12,"Executar",IF(L258&gt;=8,"Executar com controle",IF(L258&gt;=5,"Postergar","Cancelar"))))</f>
        <v/>
      </c>
      <c r="O258" s="28" t="str">
        <f aca="false">IF(D258="","",IFERROR(INDEX(Categorias!$C$6:$C$45,MATCH(D258,Categorias!$B$6:$B$45,0)),"Sem grupo"))</f>
        <v/>
      </c>
      <c r="P258" s="38" t="str">
        <f aca="false">IF(B258="","",DATE(YEAR(B258),MONTH(B258),1))</f>
        <v/>
      </c>
    </row>
    <row r="259" customFormat="false" ht="15" hidden="false" customHeight="false" outlineLevel="0" collapsed="false">
      <c r="B259" s="33"/>
      <c r="C259" s="30"/>
      <c r="D259" s="30"/>
      <c r="E259" s="31"/>
      <c r="F259" s="30"/>
      <c r="G259" s="30"/>
      <c r="H259" s="34" t="str">
        <f aca="false">IF(D259="","",IFERROR(INDEX(Categorias!$D$6:$D$45,MATCH(D259,Categorias!$B$6:$B$45,0))&amp;"",""))</f>
        <v/>
      </c>
      <c r="I259" s="35"/>
      <c r="J259" s="35"/>
      <c r="K259" s="35"/>
      <c r="L259" s="36" t="str">
        <f aca="false">IF(OR(H259="",COUNTIF(I259:K259,"S")+COUNTIF(I259:K259,"N")&lt;3),"",COUNTIF(I259:K259,"S")*IF(H259="S",5,IF(H259="M",4,IF(H259="E",3,2))))</f>
        <v/>
      </c>
      <c r="M259" s="37" t="str">
        <f aca="false">IF(L259="","",IF(L259&gt;=12,"Executar",IF(L259&gt;=8,"Executar com controle",IF(L259&gt;=5,"Postergar","Cancelar"))))</f>
        <v/>
      </c>
      <c r="O259" s="28" t="str">
        <f aca="false">IF(D259="","",IFERROR(INDEX(Categorias!$C$6:$C$45,MATCH(D259,Categorias!$B$6:$B$45,0)),"Sem grupo"))</f>
        <v/>
      </c>
      <c r="P259" s="38" t="str">
        <f aca="false">IF(B259="","",DATE(YEAR(B259),MONTH(B259),1))</f>
        <v/>
      </c>
    </row>
    <row r="260" customFormat="false" ht="15" hidden="false" customHeight="false" outlineLevel="0" collapsed="false">
      <c r="B260" s="33"/>
      <c r="C260" s="30"/>
      <c r="D260" s="30"/>
      <c r="E260" s="31"/>
      <c r="F260" s="30"/>
      <c r="G260" s="30"/>
      <c r="H260" s="34" t="str">
        <f aca="false">IF(D260="","",IFERROR(INDEX(Categorias!$D$6:$D$45,MATCH(D260,Categorias!$B$6:$B$45,0))&amp;"",""))</f>
        <v/>
      </c>
      <c r="I260" s="35"/>
      <c r="J260" s="35"/>
      <c r="K260" s="35"/>
      <c r="L260" s="36" t="str">
        <f aca="false">IF(OR(H260="",COUNTIF(I260:K260,"S")+COUNTIF(I260:K260,"N")&lt;3),"",COUNTIF(I260:K260,"S")*IF(H260="S",5,IF(H260="M",4,IF(H260="E",3,2))))</f>
        <v/>
      </c>
      <c r="M260" s="37" t="str">
        <f aca="false">IF(L260="","",IF(L260&gt;=12,"Executar",IF(L260&gt;=8,"Executar com controle",IF(L260&gt;=5,"Postergar","Cancelar"))))</f>
        <v/>
      </c>
      <c r="O260" s="28" t="str">
        <f aca="false">IF(D260="","",IFERROR(INDEX(Categorias!$C$6:$C$45,MATCH(D260,Categorias!$B$6:$B$45,0)),"Sem grupo"))</f>
        <v/>
      </c>
      <c r="P260" s="38" t="str">
        <f aca="false">IF(B260="","",DATE(YEAR(B260),MONTH(B260),1))</f>
        <v/>
      </c>
    </row>
    <row r="261" customFormat="false" ht="15" hidden="false" customHeight="false" outlineLevel="0" collapsed="false">
      <c r="B261" s="33"/>
      <c r="C261" s="30"/>
      <c r="D261" s="30"/>
      <c r="E261" s="31"/>
      <c r="F261" s="30"/>
      <c r="G261" s="30"/>
      <c r="H261" s="34" t="str">
        <f aca="false">IF(D261="","",IFERROR(INDEX(Categorias!$D$6:$D$45,MATCH(D261,Categorias!$B$6:$B$45,0))&amp;"",""))</f>
        <v/>
      </c>
      <c r="I261" s="35"/>
      <c r="J261" s="35"/>
      <c r="K261" s="35"/>
      <c r="L261" s="36" t="str">
        <f aca="false">IF(OR(H261="",COUNTIF(I261:K261,"S")+COUNTIF(I261:K261,"N")&lt;3),"",COUNTIF(I261:K261,"S")*IF(H261="S",5,IF(H261="M",4,IF(H261="E",3,2))))</f>
        <v/>
      </c>
      <c r="M261" s="37" t="str">
        <f aca="false">IF(L261="","",IF(L261&gt;=12,"Executar",IF(L261&gt;=8,"Executar com controle",IF(L261&gt;=5,"Postergar","Cancelar"))))</f>
        <v/>
      </c>
      <c r="O261" s="28" t="str">
        <f aca="false">IF(D261="","",IFERROR(INDEX(Categorias!$C$6:$C$45,MATCH(D261,Categorias!$B$6:$B$45,0)),"Sem grupo"))</f>
        <v/>
      </c>
      <c r="P261" s="38" t="str">
        <f aca="false">IF(B261="","",DATE(YEAR(B261),MONTH(B261),1))</f>
        <v/>
      </c>
    </row>
    <row r="262" customFormat="false" ht="15" hidden="false" customHeight="false" outlineLevel="0" collapsed="false">
      <c r="B262" s="33"/>
      <c r="C262" s="30"/>
      <c r="D262" s="30"/>
      <c r="E262" s="31"/>
      <c r="F262" s="30"/>
      <c r="G262" s="30"/>
      <c r="H262" s="34" t="str">
        <f aca="false">IF(D262="","",IFERROR(INDEX(Categorias!$D$6:$D$45,MATCH(D262,Categorias!$B$6:$B$45,0))&amp;"",""))</f>
        <v/>
      </c>
      <c r="I262" s="35"/>
      <c r="J262" s="35"/>
      <c r="K262" s="35"/>
      <c r="L262" s="36" t="str">
        <f aca="false">IF(OR(H262="",COUNTIF(I262:K262,"S")+COUNTIF(I262:K262,"N")&lt;3),"",COUNTIF(I262:K262,"S")*IF(H262="S",5,IF(H262="M",4,IF(H262="E",3,2))))</f>
        <v/>
      </c>
      <c r="M262" s="37" t="str">
        <f aca="false">IF(L262="","",IF(L262&gt;=12,"Executar",IF(L262&gt;=8,"Executar com controle",IF(L262&gt;=5,"Postergar","Cancelar"))))</f>
        <v/>
      </c>
      <c r="O262" s="28" t="str">
        <f aca="false">IF(D262="","",IFERROR(INDEX(Categorias!$C$6:$C$45,MATCH(D262,Categorias!$B$6:$B$45,0)),"Sem grupo"))</f>
        <v/>
      </c>
      <c r="P262" s="38" t="str">
        <f aca="false">IF(B262="","",DATE(YEAR(B262),MONTH(B262),1))</f>
        <v/>
      </c>
    </row>
    <row r="263" customFormat="false" ht="15" hidden="false" customHeight="false" outlineLevel="0" collapsed="false">
      <c r="B263" s="33"/>
      <c r="C263" s="30"/>
      <c r="D263" s="30"/>
      <c r="E263" s="31"/>
      <c r="F263" s="30"/>
      <c r="G263" s="30"/>
      <c r="H263" s="34" t="str">
        <f aca="false">IF(D263="","",IFERROR(INDEX(Categorias!$D$6:$D$45,MATCH(D263,Categorias!$B$6:$B$45,0))&amp;"",""))</f>
        <v/>
      </c>
      <c r="I263" s="35"/>
      <c r="J263" s="35"/>
      <c r="K263" s="35"/>
      <c r="L263" s="36" t="str">
        <f aca="false">IF(OR(H263="",COUNTIF(I263:K263,"S")+COUNTIF(I263:K263,"N")&lt;3),"",COUNTIF(I263:K263,"S")*IF(H263="S",5,IF(H263="M",4,IF(H263="E",3,2))))</f>
        <v/>
      </c>
      <c r="M263" s="37" t="str">
        <f aca="false">IF(L263="","",IF(L263&gt;=12,"Executar",IF(L263&gt;=8,"Executar com controle",IF(L263&gt;=5,"Postergar","Cancelar"))))</f>
        <v/>
      </c>
      <c r="O263" s="28" t="str">
        <f aca="false">IF(D263="","",IFERROR(INDEX(Categorias!$C$6:$C$45,MATCH(D263,Categorias!$B$6:$B$45,0)),"Sem grupo"))</f>
        <v/>
      </c>
      <c r="P263" s="38" t="str">
        <f aca="false">IF(B263="","",DATE(YEAR(B263),MONTH(B263),1))</f>
        <v/>
      </c>
    </row>
    <row r="264" customFormat="false" ht="15" hidden="false" customHeight="false" outlineLevel="0" collapsed="false">
      <c r="B264" s="33"/>
      <c r="C264" s="30"/>
      <c r="D264" s="30"/>
      <c r="E264" s="31"/>
      <c r="F264" s="30"/>
      <c r="G264" s="30"/>
      <c r="H264" s="34" t="str">
        <f aca="false">IF(D264="","",IFERROR(INDEX(Categorias!$D$6:$D$45,MATCH(D264,Categorias!$B$6:$B$45,0))&amp;"",""))</f>
        <v/>
      </c>
      <c r="I264" s="35"/>
      <c r="J264" s="35"/>
      <c r="K264" s="35"/>
      <c r="L264" s="36" t="str">
        <f aca="false">IF(OR(H264="",COUNTIF(I264:K264,"S")+COUNTIF(I264:K264,"N")&lt;3),"",COUNTIF(I264:K264,"S")*IF(H264="S",5,IF(H264="M",4,IF(H264="E",3,2))))</f>
        <v/>
      </c>
      <c r="M264" s="37" t="str">
        <f aca="false">IF(L264="","",IF(L264&gt;=12,"Executar",IF(L264&gt;=8,"Executar com controle",IF(L264&gt;=5,"Postergar","Cancelar"))))</f>
        <v/>
      </c>
      <c r="O264" s="28" t="str">
        <f aca="false">IF(D264="","",IFERROR(INDEX(Categorias!$C$6:$C$45,MATCH(D264,Categorias!$B$6:$B$45,0)),"Sem grupo"))</f>
        <v/>
      </c>
      <c r="P264" s="38" t="str">
        <f aca="false">IF(B264="","",DATE(YEAR(B264),MONTH(B264),1))</f>
        <v/>
      </c>
    </row>
    <row r="265" customFormat="false" ht="15" hidden="false" customHeight="false" outlineLevel="0" collapsed="false">
      <c r="B265" s="33"/>
      <c r="C265" s="30"/>
      <c r="D265" s="30"/>
      <c r="E265" s="31"/>
      <c r="F265" s="30"/>
      <c r="G265" s="30"/>
      <c r="H265" s="34" t="str">
        <f aca="false">IF(D265="","",IFERROR(INDEX(Categorias!$D$6:$D$45,MATCH(D265,Categorias!$B$6:$B$45,0))&amp;"",""))</f>
        <v/>
      </c>
      <c r="I265" s="35"/>
      <c r="J265" s="35"/>
      <c r="K265" s="35"/>
      <c r="L265" s="36" t="str">
        <f aca="false">IF(OR(H265="",COUNTIF(I265:K265,"S")+COUNTIF(I265:K265,"N")&lt;3),"",COUNTIF(I265:K265,"S")*IF(H265="S",5,IF(H265="M",4,IF(H265="E",3,2))))</f>
        <v/>
      </c>
      <c r="M265" s="37" t="str">
        <f aca="false">IF(L265="","",IF(L265&gt;=12,"Executar",IF(L265&gt;=8,"Executar com controle",IF(L265&gt;=5,"Postergar","Cancelar"))))</f>
        <v/>
      </c>
      <c r="O265" s="28" t="str">
        <f aca="false">IF(D265="","",IFERROR(INDEX(Categorias!$C$6:$C$45,MATCH(D265,Categorias!$B$6:$B$45,0)),"Sem grupo"))</f>
        <v/>
      </c>
      <c r="P265" s="38" t="str">
        <f aca="false">IF(B265="","",DATE(YEAR(B265),MONTH(B265),1))</f>
        <v/>
      </c>
    </row>
    <row r="266" customFormat="false" ht="15" hidden="false" customHeight="false" outlineLevel="0" collapsed="false">
      <c r="B266" s="33"/>
      <c r="C266" s="30"/>
      <c r="D266" s="30"/>
      <c r="E266" s="31"/>
      <c r="F266" s="30"/>
      <c r="G266" s="30"/>
      <c r="H266" s="34" t="str">
        <f aca="false">IF(D266="","",IFERROR(INDEX(Categorias!$D$6:$D$45,MATCH(D266,Categorias!$B$6:$B$45,0))&amp;"",""))</f>
        <v/>
      </c>
      <c r="I266" s="35"/>
      <c r="J266" s="35"/>
      <c r="K266" s="35"/>
      <c r="L266" s="36" t="str">
        <f aca="false">IF(OR(H266="",COUNTIF(I266:K266,"S")+COUNTIF(I266:K266,"N")&lt;3),"",COUNTIF(I266:K266,"S")*IF(H266="S",5,IF(H266="M",4,IF(H266="E",3,2))))</f>
        <v/>
      </c>
      <c r="M266" s="37" t="str">
        <f aca="false">IF(L266="","",IF(L266&gt;=12,"Executar",IF(L266&gt;=8,"Executar com controle",IF(L266&gt;=5,"Postergar","Cancelar"))))</f>
        <v/>
      </c>
      <c r="O266" s="28" t="str">
        <f aca="false">IF(D266="","",IFERROR(INDEX(Categorias!$C$6:$C$45,MATCH(D266,Categorias!$B$6:$B$45,0)),"Sem grupo"))</f>
        <v/>
      </c>
      <c r="P266" s="38" t="str">
        <f aca="false">IF(B266="","",DATE(YEAR(B266),MONTH(B266),1))</f>
        <v/>
      </c>
    </row>
    <row r="267" customFormat="false" ht="15" hidden="false" customHeight="false" outlineLevel="0" collapsed="false">
      <c r="B267" s="33"/>
      <c r="C267" s="30"/>
      <c r="D267" s="30"/>
      <c r="E267" s="31"/>
      <c r="F267" s="30"/>
      <c r="G267" s="30"/>
      <c r="H267" s="34" t="str">
        <f aca="false">IF(D267="","",IFERROR(INDEX(Categorias!$D$6:$D$45,MATCH(D267,Categorias!$B$6:$B$45,0))&amp;"",""))</f>
        <v/>
      </c>
      <c r="I267" s="35"/>
      <c r="J267" s="35"/>
      <c r="K267" s="35"/>
      <c r="L267" s="36" t="str">
        <f aca="false">IF(OR(H267="",COUNTIF(I267:K267,"S")+COUNTIF(I267:K267,"N")&lt;3),"",COUNTIF(I267:K267,"S")*IF(H267="S",5,IF(H267="M",4,IF(H267="E",3,2))))</f>
        <v/>
      </c>
      <c r="M267" s="37" t="str">
        <f aca="false">IF(L267="","",IF(L267&gt;=12,"Executar",IF(L267&gt;=8,"Executar com controle",IF(L267&gt;=5,"Postergar","Cancelar"))))</f>
        <v/>
      </c>
      <c r="O267" s="28" t="str">
        <f aca="false">IF(D267="","",IFERROR(INDEX(Categorias!$C$6:$C$45,MATCH(D267,Categorias!$B$6:$B$45,0)),"Sem grupo"))</f>
        <v/>
      </c>
      <c r="P267" s="38" t="str">
        <f aca="false">IF(B267="","",DATE(YEAR(B267),MONTH(B267),1))</f>
        <v/>
      </c>
    </row>
    <row r="268" customFormat="false" ht="15" hidden="false" customHeight="false" outlineLevel="0" collapsed="false">
      <c r="B268" s="33"/>
      <c r="C268" s="30"/>
      <c r="D268" s="30"/>
      <c r="E268" s="31"/>
      <c r="F268" s="30"/>
      <c r="G268" s="30"/>
      <c r="H268" s="34" t="str">
        <f aca="false">IF(D268="","",IFERROR(INDEX(Categorias!$D$6:$D$45,MATCH(D268,Categorias!$B$6:$B$45,0))&amp;"",""))</f>
        <v/>
      </c>
      <c r="I268" s="35"/>
      <c r="J268" s="35"/>
      <c r="K268" s="35"/>
      <c r="L268" s="36" t="str">
        <f aca="false">IF(OR(H268="",COUNTIF(I268:K268,"S")+COUNTIF(I268:K268,"N")&lt;3),"",COUNTIF(I268:K268,"S")*IF(H268="S",5,IF(H268="M",4,IF(H268="E",3,2))))</f>
        <v/>
      </c>
      <c r="M268" s="37" t="str">
        <f aca="false">IF(L268="","",IF(L268&gt;=12,"Executar",IF(L268&gt;=8,"Executar com controle",IF(L268&gt;=5,"Postergar","Cancelar"))))</f>
        <v/>
      </c>
      <c r="O268" s="28" t="str">
        <f aca="false">IF(D268="","",IFERROR(INDEX(Categorias!$C$6:$C$45,MATCH(D268,Categorias!$B$6:$B$45,0)),"Sem grupo"))</f>
        <v/>
      </c>
      <c r="P268" s="38" t="str">
        <f aca="false">IF(B268="","",DATE(YEAR(B268),MONTH(B268),1))</f>
        <v/>
      </c>
    </row>
    <row r="269" customFormat="false" ht="15" hidden="false" customHeight="false" outlineLevel="0" collapsed="false">
      <c r="B269" s="33"/>
      <c r="C269" s="30"/>
      <c r="D269" s="30"/>
      <c r="E269" s="31"/>
      <c r="F269" s="30"/>
      <c r="G269" s="30"/>
      <c r="H269" s="34" t="str">
        <f aca="false">IF(D269="","",IFERROR(INDEX(Categorias!$D$6:$D$45,MATCH(D269,Categorias!$B$6:$B$45,0))&amp;"",""))</f>
        <v/>
      </c>
      <c r="I269" s="35"/>
      <c r="J269" s="35"/>
      <c r="K269" s="35"/>
      <c r="L269" s="36" t="str">
        <f aca="false">IF(OR(H269="",COUNTIF(I269:K269,"S")+COUNTIF(I269:K269,"N")&lt;3),"",COUNTIF(I269:K269,"S")*IF(H269="S",5,IF(H269="M",4,IF(H269="E",3,2))))</f>
        <v/>
      </c>
      <c r="M269" s="37" t="str">
        <f aca="false">IF(L269="","",IF(L269&gt;=12,"Executar",IF(L269&gt;=8,"Executar com controle",IF(L269&gt;=5,"Postergar","Cancelar"))))</f>
        <v/>
      </c>
      <c r="O269" s="28" t="str">
        <f aca="false">IF(D269="","",IFERROR(INDEX(Categorias!$C$6:$C$45,MATCH(D269,Categorias!$B$6:$B$45,0)),"Sem grupo"))</f>
        <v/>
      </c>
      <c r="P269" s="38" t="str">
        <f aca="false">IF(B269="","",DATE(YEAR(B269),MONTH(B269),1))</f>
        <v/>
      </c>
    </row>
    <row r="270" customFormat="false" ht="15" hidden="false" customHeight="false" outlineLevel="0" collapsed="false">
      <c r="B270" s="33"/>
      <c r="C270" s="30"/>
      <c r="D270" s="30"/>
      <c r="E270" s="31"/>
      <c r="F270" s="30"/>
      <c r="G270" s="30"/>
      <c r="H270" s="34" t="str">
        <f aca="false">IF(D270="","",IFERROR(INDEX(Categorias!$D$6:$D$45,MATCH(D270,Categorias!$B$6:$B$45,0))&amp;"",""))</f>
        <v/>
      </c>
      <c r="I270" s="35"/>
      <c r="J270" s="35"/>
      <c r="K270" s="35"/>
      <c r="L270" s="36" t="str">
        <f aca="false">IF(OR(H270="",COUNTIF(I270:K270,"S")+COUNTIF(I270:K270,"N")&lt;3),"",COUNTIF(I270:K270,"S")*IF(H270="S",5,IF(H270="M",4,IF(H270="E",3,2))))</f>
        <v/>
      </c>
      <c r="M270" s="37" t="str">
        <f aca="false">IF(L270="","",IF(L270&gt;=12,"Executar",IF(L270&gt;=8,"Executar com controle",IF(L270&gt;=5,"Postergar","Cancelar"))))</f>
        <v/>
      </c>
      <c r="O270" s="28" t="str">
        <f aca="false">IF(D270="","",IFERROR(INDEX(Categorias!$C$6:$C$45,MATCH(D270,Categorias!$B$6:$B$45,0)),"Sem grupo"))</f>
        <v/>
      </c>
      <c r="P270" s="38" t="str">
        <f aca="false">IF(B270="","",DATE(YEAR(B270),MONTH(B270),1))</f>
        <v/>
      </c>
    </row>
    <row r="271" customFormat="false" ht="15" hidden="false" customHeight="false" outlineLevel="0" collapsed="false">
      <c r="B271" s="33"/>
      <c r="C271" s="30"/>
      <c r="D271" s="30"/>
      <c r="E271" s="31"/>
      <c r="F271" s="30"/>
      <c r="G271" s="30"/>
      <c r="H271" s="34" t="str">
        <f aca="false">IF(D271="","",IFERROR(INDEX(Categorias!$D$6:$D$45,MATCH(D271,Categorias!$B$6:$B$45,0))&amp;"",""))</f>
        <v/>
      </c>
      <c r="I271" s="35"/>
      <c r="J271" s="35"/>
      <c r="K271" s="35"/>
      <c r="L271" s="36" t="str">
        <f aca="false">IF(OR(H271="",COUNTIF(I271:K271,"S")+COUNTIF(I271:K271,"N")&lt;3),"",COUNTIF(I271:K271,"S")*IF(H271="S",5,IF(H271="M",4,IF(H271="E",3,2))))</f>
        <v/>
      </c>
      <c r="M271" s="37" t="str">
        <f aca="false">IF(L271="","",IF(L271&gt;=12,"Executar",IF(L271&gt;=8,"Executar com controle",IF(L271&gt;=5,"Postergar","Cancelar"))))</f>
        <v/>
      </c>
      <c r="O271" s="28" t="str">
        <f aca="false">IF(D271="","",IFERROR(INDEX(Categorias!$C$6:$C$45,MATCH(D271,Categorias!$B$6:$B$45,0)),"Sem grupo"))</f>
        <v/>
      </c>
      <c r="P271" s="38" t="str">
        <f aca="false">IF(B271="","",DATE(YEAR(B271),MONTH(B271),1))</f>
        <v/>
      </c>
    </row>
    <row r="272" customFormat="false" ht="15" hidden="false" customHeight="false" outlineLevel="0" collapsed="false">
      <c r="B272" s="33"/>
      <c r="C272" s="30"/>
      <c r="D272" s="30"/>
      <c r="E272" s="31"/>
      <c r="F272" s="30"/>
      <c r="G272" s="30"/>
      <c r="H272" s="34" t="str">
        <f aca="false">IF(D272="","",IFERROR(INDEX(Categorias!$D$6:$D$45,MATCH(D272,Categorias!$B$6:$B$45,0))&amp;"",""))</f>
        <v/>
      </c>
      <c r="I272" s="35"/>
      <c r="J272" s="35"/>
      <c r="K272" s="35"/>
      <c r="L272" s="36" t="str">
        <f aca="false">IF(OR(H272="",COUNTIF(I272:K272,"S")+COUNTIF(I272:K272,"N")&lt;3),"",COUNTIF(I272:K272,"S")*IF(H272="S",5,IF(H272="M",4,IF(H272="E",3,2))))</f>
        <v/>
      </c>
      <c r="M272" s="37" t="str">
        <f aca="false">IF(L272="","",IF(L272&gt;=12,"Executar",IF(L272&gt;=8,"Executar com controle",IF(L272&gt;=5,"Postergar","Cancelar"))))</f>
        <v/>
      </c>
      <c r="O272" s="28" t="str">
        <f aca="false">IF(D272="","",IFERROR(INDEX(Categorias!$C$6:$C$45,MATCH(D272,Categorias!$B$6:$B$45,0)),"Sem grupo"))</f>
        <v/>
      </c>
      <c r="P272" s="38" t="str">
        <f aca="false">IF(B272="","",DATE(YEAR(B272),MONTH(B272),1))</f>
        <v/>
      </c>
    </row>
    <row r="273" customFormat="false" ht="15" hidden="false" customHeight="false" outlineLevel="0" collapsed="false">
      <c r="B273" s="33"/>
      <c r="C273" s="30"/>
      <c r="D273" s="30"/>
      <c r="E273" s="31"/>
      <c r="F273" s="30"/>
      <c r="G273" s="30"/>
      <c r="H273" s="34" t="str">
        <f aca="false">IF(D273="","",IFERROR(INDEX(Categorias!$D$6:$D$45,MATCH(D273,Categorias!$B$6:$B$45,0))&amp;"",""))</f>
        <v/>
      </c>
      <c r="I273" s="35"/>
      <c r="J273" s="35"/>
      <c r="K273" s="35"/>
      <c r="L273" s="36" t="str">
        <f aca="false">IF(OR(H273="",COUNTIF(I273:K273,"S")+COUNTIF(I273:K273,"N")&lt;3),"",COUNTIF(I273:K273,"S")*IF(H273="S",5,IF(H273="M",4,IF(H273="E",3,2))))</f>
        <v/>
      </c>
      <c r="M273" s="37" t="str">
        <f aca="false">IF(L273="","",IF(L273&gt;=12,"Executar",IF(L273&gt;=8,"Executar com controle",IF(L273&gt;=5,"Postergar","Cancelar"))))</f>
        <v/>
      </c>
      <c r="O273" s="28" t="str">
        <f aca="false">IF(D273="","",IFERROR(INDEX(Categorias!$C$6:$C$45,MATCH(D273,Categorias!$B$6:$B$45,0)),"Sem grupo"))</f>
        <v/>
      </c>
      <c r="P273" s="38" t="str">
        <f aca="false">IF(B273="","",DATE(YEAR(B273),MONTH(B273),1))</f>
        <v/>
      </c>
    </row>
    <row r="274" customFormat="false" ht="15" hidden="false" customHeight="false" outlineLevel="0" collapsed="false">
      <c r="B274" s="33"/>
      <c r="C274" s="30"/>
      <c r="D274" s="30"/>
      <c r="E274" s="31"/>
      <c r="F274" s="30"/>
      <c r="G274" s="30"/>
      <c r="H274" s="34" t="str">
        <f aca="false">IF(D274="","",IFERROR(INDEX(Categorias!$D$6:$D$45,MATCH(D274,Categorias!$B$6:$B$45,0))&amp;"",""))</f>
        <v/>
      </c>
      <c r="I274" s="35"/>
      <c r="J274" s="35"/>
      <c r="K274" s="35"/>
      <c r="L274" s="36" t="str">
        <f aca="false">IF(OR(H274="",COUNTIF(I274:K274,"S")+COUNTIF(I274:K274,"N")&lt;3),"",COUNTIF(I274:K274,"S")*IF(H274="S",5,IF(H274="M",4,IF(H274="E",3,2))))</f>
        <v/>
      </c>
      <c r="M274" s="37" t="str">
        <f aca="false">IF(L274="","",IF(L274&gt;=12,"Executar",IF(L274&gt;=8,"Executar com controle",IF(L274&gt;=5,"Postergar","Cancelar"))))</f>
        <v/>
      </c>
      <c r="O274" s="28" t="str">
        <f aca="false">IF(D274="","",IFERROR(INDEX(Categorias!$C$6:$C$45,MATCH(D274,Categorias!$B$6:$B$45,0)),"Sem grupo"))</f>
        <v/>
      </c>
      <c r="P274" s="38" t="str">
        <f aca="false">IF(B274="","",DATE(YEAR(B274),MONTH(B274),1))</f>
        <v/>
      </c>
    </row>
    <row r="275" customFormat="false" ht="15" hidden="false" customHeight="false" outlineLevel="0" collapsed="false">
      <c r="B275" s="33"/>
      <c r="C275" s="30"/>
      <c r="D275" s="30"/>
      <c r="E275" s="31"/>
      <c r="F275" s="30"/>
      <c r="G275" s="30"/>
      <c r="H275" s="34" t="str">
        <f aca="false">IF(D275="","",IFERROR(INDEX(Categorias!$D$6:$D$45,MATCH(D275,Categorias!$B$6:$B$45,0))&amp;"",""))</f>
        <v/>
      </c>
      <c r="I275" s="35"/>
      <c r="J275" s="35"/>
      <c r="K275" s="35"/>
      <c r="L275" s="36" t="str">
        <f aca="false">IF(OR(H275="",COUNTIF(I275:K275,"S")+COUNTIF(I275:K275,"N")&lt;3),"",COUNTIF(I275:K275,"S")*IF(H275="S",5,IF(H275="M",4,IF(H275="E",3,2))))</f>
        <v/>
      </c>
      <c r="M275" s="37" t="str">
        <f aca="false">IF(L275="","",IF(L275&gt;=12,"Executar",IF(L275&gt;=8,"Executar com controle",IF(L275&gt;=5,"Postergar","Cancelar"))))</f>
        <v/>
      </c>
      <c r="O275" s="28" t="str">
        <f aca="false">IF(D275="","",IFERROR(INDEX(Categorias!$C$6:$C$45,MATCH(D275,Categorias!$B$6:$B$45,0)),"Sem grupo"))</f>
        <v/>
      </c>
      <c r="P275" s="38" t="str">
        <f aca="false">IF(B275="","",DATE(YEAR(B275),MONTH(B275),1))</f>
        <v/>
      </c>
    </row>
    <row r="276" customFormat="false" ht="15" hidden="false" customHeight="false" outlineLevel="0" collapsed="false">
      <c r="B276" s="33"/>
      <c r="C276" s="30"/>
      <c r="D276" s="30"/>
      <c r="E276" s="31"/>
      <c r="F276" s="30"/>
      <c r="G276" s="30"/>
      <c r="H276" s="34" t="str">
        <f aca="false">IF(D276="","",IFERROR(INDEX(Categorias!$D$6:$D$45,MATCH(D276,Categorias!$B$6:$B$45,0))&amp;"",""))</f>
        <v/>
      </c>
      <c r="I276" s="35"/>
      <c r="J276" s="35"/>
      <c r="K276" s="35"/>
      <c r="L276" s="36" t="str">
        <f aca="false">IF(OR(H276="",COUNTIF(I276:K276,"S")+COUNTIF(I276:K276,"N")&lt;3),"",COUNTIF(I276:K276,"S")*IF(H276="S",5,IF(H276="M",4,IF(H276="E",3,2))))</f>
        <v/>
      </c>
      <c r="M276" s="37" t="str">
        <f aca="false">IF(L276="","",IF(L276&gt;=12,"Executar",IF(L276&gt;=8,"Executar com controle",IF(L276&gt;=5,"Postergar","Cancelar"))))</f>
        <v/>
      </c>
      <c r="O276" s="28" t="str">
        <f aca="false">IF(D276="","",IFERROR(INDEX(Categorias!$C$6:$C$45,MATCH(D276,Categorias!$B$6:$B$45,0)),"Sem grupo"))</f>
        <v/>
      </c>
      <c r="P276" s="38" t="str">
        <f aca="false">IF(B276="","",DATE(YEAR(B276),MONTH(B276),1))</f>
        <v/>
      </c>
    </row>
    <row r="277" customFormat="false" ht="15" hidden="false" customHeight="false" outlineLevel="0" collapsed="false">
      <c r="B277" s="33"/>
      <c r="C277" s="30"/>
      <c r="D277" s="30"/>
      <c r="E277" s="31"/>
      <c r="F277" s="30"/>
      <c r="G277" s="30"/>
      <c r="H277" s="34" t="str">
        <f aca="false">IF(D277="","",IFERROR(INDEX(Categorias!$D$6:$D$45,MATCH(D277,Categorias!$B$6:$B$45,0))&amp;"",""))</f>
        <v/>
      </c>
      <c r="I277" s="35"/>
      <c r="J277" s="35"/>
      <c r="K277" s="35"/>
      <c r="L277" s="36" t="str">
        <f aca="false">IF(OR(H277="",COUNTIF(I277:K277,"S")+COUNTIF(I277:K277,"N")&lt;3),"",COUNTIF(I277:K277,"S")*IF(H277="S",5,IF(H277="M",4,IF(H277="E",3,2))))</f>
        <v/>
      </c>
      <c r="M277" s="37" t="str">
        <f aca="false">IF(L277="","",IF(L277&gt;=12,"Executar",IF(L277&gt;=8,"Executar com controle",IF(L277&gt;=5,"Postergar","Cancelar"))))</f>
        <v/>
      </c>
      <c r="O277" s="28" t="str">
        <f aca="false">IF(D277="","",IFERROR(INDEX(Categorias!$C$6:$C$45,MATCH(D277,Categorias!$B$6:$B$45,0)),"Sem grupo"))</f>
        <v/>
      </c>
      <c r="P277" s="38" t="str">
        <f aca="false">IF(B277="","",DATE(YEAR(B277),MONTH(B277),1))</f>
        <v/>
      </c>
    </row>
    <row r="278" customFormat="false" ht="15" hidden="false" customHeight="false" outlineLevel="0" collapsed="false">
      <c r="B278" s="33"/>
      <c r="C278" s="30"/>
      <c r="D278" s="30"/>
      <c r="E278" s="31"/>
      <c r="F278" s="30"/>
      <c r="G278" s="30"/>
      <c r="H278" s="34" t="str">
        <f aca="false">IF(D278="","",IFERROR(INDEX(Categorias!$D$6:$D$45,MATCH(D278,Categorias!$B$6:$B$45,0))&amp;"",""))</f>
        <v/>
      </c>
      <c r="I278" s="35"/>
      <c r="J278" s="35"/>
      <c r="K278" s="35"/>
      <c r="L278" s="36" t="str">
        <f aca="false">IF(OR(H278="",COUNTIF(I278:K278,"S")+COUNTIF(I278:K278,"N")&lt;3),"",COUNTIF(I278:K278,"S")*IF(H278="S",5,IF(H278="M",4,IF(H278="E",3,2))))</f>
        <v/>
      </c>
      <c r="M278" s="37" t="str">
        <f aca="false">IF(L278="","",IF(L278&gt;=12,"Executar",IF(L278&gt;=8,"Executar com controle",IF(L278&gt;=5,"Postergar","Cancelar"))))</f>
        <v/>
      </c>
      <c r="O278" s="28" t="str">
        <f aca="false">IF(D278="","",IFERROR(INDEX(Categorias!$C$6:$C$45,MATCH(D278,Categorias!$B$6:$B$45,0)),"Sem grupo"))</f>
        <v/>
      </c>
      <c r="P278" s="38" t="str">
        <f aca="false">IF(B278="","",DATE(YEAR(B278),MONTH(B278),1))</f>
        <v/>
      </c>
    </row>
    <row r="279" customFormat="false" ht="15" hidden="false" customHeight="false" outlineLevel="0" collapsed="false">
      <c r="B279" s="33"/>
      <c r="C279" s="30"/>
      <c r="D279" s="30"/>
      <c r="E279" s="31"/>
      <c r="F279" s="30"/>
      <c r="G279" s="30"/>
      <c r="H279" s="34" t="str">
        <f aca="false">IF(D279="","",IFERROR(INDEX(Categorias!$D$6:$D$45,MATCH(D279,Categorias!$B$6:$B$45,0))&amp;"",""))</f>
        <v/>
      </c>
      <c r="I279" s="35"/>
      <c r="J279" s="35"/>
      <c r="K279" s="35"/>
      <c r="L279" s="36" t="str">
        <f aca="false">IF(OR(H279="",COUNTIF(I279:K279,"S")+COUNTIF(I279:K279,"N")&lt;3),"",COUNTIF(I279:K279,"S")*IF(H279="S",5,IF(H279="M",4,IF(H279="E",3,2))))</f>
        <v/>
      </c>
      <c r="M279" s="37" t="str">
        <f aca="false">IF(L279="","",IF(L279&gt;=12,"Executar",IF(L279&gt;=8,"Executar com controle",IF(L279&gt;=5,"Postergar","Cancelar"))))</f>
        <v/>
      </c>
      <c r="O279" s="28" t="str">
        <f aca="false">IF(D279="","",IFERROR(INDEX(Categorias!$C$6:$C$45,MATCH(D279,Categorias!$B$6:$B$45,0)),"Sem grupo"))</f>
        <v/>
      </c>
      <c r="P279" s="38" t="str">
        <f aca="false">IF(B279="","",DATE(YEAR(B279),MONTH(B279),1))</f>
        <v/>
      </c>
    </row>
    <row r="280" customFormat="false" ht="15" hidden="false" customHeight="false" outlineLevel="0" collapsed="false">
      <c r="B280" s="33"/>
      <c r="C280" s="30"/>
      <c r="D280" s="30"/>
      <c r="E280" s="31"/>
      <c r="F280" s="30"/>
      <c r="G280" s="30"/>
      <c r="H280" s="34" t="str">
        <f aca="false">IF(D280="","",IFERROR(INDEX(Categorias!$D$6:$D$45,MATCH(D280,Categorias!$B$6:$B$45,0))&amp;"",""))</f>
        <v/>
      </c>
      <c r="I280" s="35"/>
      <c r="J280" s="35"/>
      <c r="K280" s="35"/>
      <c r="L280" s="36" t="str">
        <f aca="false">IF(OR(H280="",COUNTIF(I280:K280,"S")+COUNTIF(I280:K280,"N")&lt;3),"",COUNTIF(I280:K280,"S")*IF(H280="S",5,IF(H280="M",4,IF(H280="E",3,2))))</f>
        <v/>
      </c>
      <c r="M280" s="37" t="str">
        <f aca="false">IF(L280="","",IF(L280&gt;=12,"Executar",IF(L280&gt;=8,"Executar com controle",IF(L280&gt;=5,"Postergar","Cancelar"))))</f>
        <v/>
      </c>
      <c r="O280" s="28" t="str">
        <f aca="false">IF(D280="","",IFERROR(INDEX(Categorias!$C$6:$C$45,MATCH(D280,Categorias!$B$6:$B$45,0)),"Sem grupo"))</f>
        <v/>
      </c>
      <c r="P280" s="38" t="str">
        <f aca="false">IF(B280="","",DATE(YEAR(B280),MONTH(B280),1))</f>
        <v/>
      </c>
    </row>
    <row r="281" customFormat="false" ht="15" hidden="false" customHeight="false" outlineLevel="0" collapsed="false">
      <c r="B281" s="33"/>
      <c r="C281" s="30"/>
      <c r="D281" s="30"/>
      <c r="E281" s="31"/>
      <c r="F281" s="30"/>
      <c r="G281" s="30"/>
      <c r="H281" s="34" t="str">
        <f aca="false">IF(D281="","",IFERROR(INDEX(Categorias!$D$6:$D$45,MATCH(D281,Categorias!$B$6:$B$45,0))&amp;"",""))</f>
        <v/>
      </c>
      <c r="I281" s="35"/>
      <c r="J281" s="35"/>
      <c r="K281" s="35"/>
      <c r="L281" s="36" t="str">
        <f aca="false">IF(OR(H281="",COUNTIF(I281:K281,"S")+COUNTIF(I281:K281,"N")&lt;3),"",COUNTIF(I281:K281,"S")*IF(H281="S",5,IF(H281="M",4,IF(H281="E",3,2))))</f>
        <v/>
      </c>
      <c r="M281" s="37" t="str">
        <f aca="false">IF(L281="","",IF(L281&gt;=12,"Executar",IF(L281&gt;=8,"Executar com controle",IF(L281&gt;=5,"Postergar","Cancelar"))))</f>
        <v/>
      </c>
      <c r="O281" s="28" t="str">
        <f aca="false">IF(D281="","",IFERROR(INDEX(Categorias!$C$6:$C$45,MATCH(D281,Categorias!$B$6:$B$45,0)),"Sem grupo"))</f>
        <v/>
      </c>
      <c r="P281" s="38" t="str">
        <f aca="false">IF(B281="","",DATE(YEAR(B281),MONTH(B281),1))</f>
        <v/>
      </c>
    </row>
    <row r="282" customFormat="false" ht="15" hidden="false" customHeight="false" outlineLevel="0" collapsed="false">
      <c r="B282" s="33"/>
      <c r="C282" s="30"/>
      <c r="D282" s="30"/>
      <c r="E282" s="31"/>
      <c r="F282" s="30"/>
      <c r="G282" s="30"/>
      <c r="H282" s="34" t="str">
        <f aca="false">IF(D282="","",IFERROR(INDEX(Categorias!$D$6:$D$45,MATCH(D282,Categorias!$B$6:$B$45,0))&amp;"",""))</f>
        <v/>
      </c>
      <c r="I282" s="35"/>
      <c r="J282" s="35"/>
      <c r="K282" s="35"/>
      <c r="L282" s="36" t="str">
        <f aca="false">IF(OR(H282="",COUNTIF(I282:K282,"S")+COUNTIF(I282:K282,"N")&lt;3),"",COUNTIF(I282:K282,"S")*IF(H282="S",5,IF(H282="M",4,IF(H282="E",3,2))))</f>
        <v/>
      </c>
      <c r="M282" s="37" t="str">
        <f aca="false">IF(L282="","",IF(L282&gt;=12,"Executar",IF(L282&gt;=8,"Executar com controle",IF(L282&gt;=5,"Postergar","Cancelar"))))</f>
        <v/>
      </c>
      <c r="O282" s="28" t="str">
        <f aca="false">IF(D282="","",IFERROR(INDEX(Categorias!$C$6:$C$45,MATCH(D282,Categorias!$B$6:$B$45,0)),"Sem grupo"))</f>
        <v/>
      </c>
      <c r="P282" s="38" t="str">
        <f aca="false">IF(B282="","",DATE(YEAR(B282),MONTH(B282),1))</f>
        <v/>
      </c>
    </row>
    <row r="283" customFormat="false" ht="15" hidden="false" customHeight="false" outlineLevel="0" collapsed="false">
      <c r="B283" s="33"/>
      <c r="C283" s="30"/>
      <c r="D283" s="30"/>
      <c r="E283" s="31"/>
      <c r="F283" s="30"/>
      <c r="G283" s="30"/>
      <c r="H283" s="34" t="str">
        <f aca="false">IF(D283="","",IFERROR(INDEX(Categorias!$D$6:$D$45,MATCH(D283,Categorias!$B$6:$B$45,0))&amp;"",""))</f>
        <v/>
      </c>
      <c r="I283" s="35"/>
      <c r="J283" s="35"/>
      <c r="K283" s="35"/>
      <c r="L283" s="36" t="str">
        <f aca="false">IF(OR(H283="",COUNTIF(I283:K283,"S")+COUNTIF(I283:K283,"N")&lt;3),"",COUNTIF(I283:K283,"S")*IF(H283="S",5,IF(H283="M",4,IF(H283="E",3,2))))</f>
        <v/>
      </c>
      <c r="M283" s="37" t="str">
        <f aca="false">IF(L283="","",IF(L283&gt;=12,"Executar",IF(L283&gt;=8,"Executar com controle",IF(L283&gt;=5,"Postergar","Cancelar"))))</f>
        <v/>
      </c>
      <c r="O283" s="28" t="str">
        <f aca="false">IF(D283="","",IFERROR(INDEX(Categorias!$C$6:$C$45,MATCH(D283,Categorias!$B$6:$B$45,0)),"Sem grupo"))</f>
        <v/>
      </c>
      <c r="P283" s="38" t="str">
        <f aca="false">IF(B283="","",DATE(YEAR(B283),MONTH(B283),1))</f>
        <v/>
      </c>
    </row>
    <row r="284" customFormat="false" ht="15" hidden="false" customHeight="false" outlineLevel="0" collapsed="false">
      <c r="B284" s="33"/>
      <c r="C284" s="30"/>
      <c r="D284" s="30"/>
      <c r="E284" s="31"/>
      <c r="F284" s="30"/>
      <c r="G284" s="30"/>
      <c r="H284" s="34" t="str">
        <f aca="false">IF(D284="","",IFERROR(INDEX(Categorias!$D$6:$D$45,MATCH(D284,Categorias!$B$6:$B$45,0))&amp;"",""))</f>
        <v/>
      </c>
      <c r="I284" s="35"/>
      <c r="J284" s="35"/>
      <c r="K284" s="35"/>
      <c r="L284" s="36" t="str">
        <f aca="false">IF(OR(H284="",COUNTIF(I284:K284,"S")+COUNTIF(I284:K284,"N")&lt;3),"",COUNTIF(I284:K284,"S")*IF(H284="S",5,IF(H284="M",4,IF(H284="E",3,2))))</f>
        <v/>
      </c>
      <c r="M284" s="37" t="str">
        <f aca="false">IF(L284="","",IF(L284&gt;=12,"Executar",IF(L284&gt;=8,"Executar com controle",IF(L284&gt;=5,"Postergar","Cancelar"))))</f>
        <v/>
      </c>
      <c r="O284" s="28" t="str">
        <f aca="false">IF(D284="","",IFERROR(INDEX(Categorias!$C$6:$C$45,MATCH(D284,Categorias!$B$6:$B$45,0)),"Sem grupo"))</f>
        <v/>
      </c>
      <c r="P284" s="38" t="str">
        <f aca="false">IF(B284="","",DATE(YEAR(B284),MONTH(B284),1))</f>
        <v/>
      </c>
    </row>
    <row r="285" customFormat="false" ht="15" hidden="false" customHeight="false" outlineLevel="0" collapsed="false">
      <c r="B285" s="33"/>
      <c r="C285" s="30"/>
      <c r="D285" s="30"/>
      <c r="E285" s="31"/>
      <c r="F285" s="30"/>
      <c r="G285" s="30"/>
      <c r="H285" s="34" t="str">
        <f aca="false">IF(D285="","",IFERROR(INDEX(Categorias!$D$6:$D$45,MATCH(D285,Categorias!$B$6:$B$45,0))&amp;"",""))</f>
        <v/>
      </c>
      <c r="I285" s="35"/>
      <c r="J285" s="35"/>
      <c r="K285" s="35"/>
      <c r="L285" s="36" t="str">
        <f aca="false">IF(OR(H285="",COUNTIF(I285:K285,"S")+COUNTIF(I285:K285,"N")&lt;3),"",COUNTIF(I285:K285,"S")*IF(H285="S",5,IF(H285="M",4,IF(H285="E",3,2))))</f>
        <v/>
      </c>
      <c r="M285" s="37" t="str">
        <f aca="false">IF(L285="","",IF(L285&gt;=12,"Executar",IF(L285&gt;=8,"Executar com controle",IF(L285&gt;=5,"Postergar","Cancelar"))))</f>
        <v/>
      </c>
      <c r="O285" s="28" t="str">
        <f aca="false">IF(D285="","",IFERROR(INDEX(Categorias!$C$6:$C$45,MATCH(D285,Categorias!$B$6:$B$45,0)),"Sem grupo"))</f>
        <v/>
      </c>
      <c r="P285" s="38" t="str">
        <f aca="false">IF(B285="","",DATE(YEAR(B285),MONTH(B285),1))</f>
        <v/>
      </c>
    </row>
    <row r="286" customFormat="false" ht="15" hidden="false" customHeight="false" outlineLevel="0" collapsed="false">
      <c r="B286" s="33"/>
      <c r="C286" s="30"/>
      <c r="D286" s="30"/>
      <c r="E286" s="31"/>
      <c r="F286" s="30"/>
      <c r="G286" s="30"/>
      <c r="H286" s="34" t="str">
        <f aca="false">IF(D286="","",IFERROR(INDEX(Categorias!$D$6:$D$45,MATCH(D286,Categorias!$B$6:$B$45,0))&amp;"",""))</f>
        <v/>
      </c>
      <c r="I286" s="35"/>
      <c r="J286" s="35"/>
      <c r="K286" s="35"/>
      <c r="L286" s="36" t="str">
        <f aca="false">IF(OR(H286="",COUNTIF(I286:K286,"S")+COUNTIF(I286:K286,"N")&lt;3),"",COUNTIF(I286:K286,"S")*IF(H286="S",5,IF(H286="M",4,IF(H286="E",3,2))))</f>
        <v/>
      </c>
      <c r="M286" s="37" t="str">
        <f aca="false">IF(L286="","",IF(L286&gt;=12,"Executar",IF(L286&gt;=8,"Executar com controle",IF(L286&gt;=5,"Postergar","Cancelar"))))</f>
        <v/>
      </c>
      <c r="O286" s="28" t="str">
        <f aca="false">IF(D286="","",IFERROR(INDEX(Categorias!$C$6:$C$45,MATCH(D286,Categorias!$B$6:$B$45,0)),"Sem grupo"))</f>
        <v/>
      </c>
      <c r="P286" s="38" t="str">
        <f aca="false">IF(B286="","",DATE(YEAR(B286),MONTH(B286),1))</f>
        <v/>
      </c>
    </row>
    <row r="287" customFormat="false" ht="15" hidden="false" customHeight="false" outlineLevel="0" collapsed="false">
      <c r="B287" s="33"/>
      <c r="C287" s="30"/>
      <c r="D287" s="30"/>
      <c r="E287" s="31"/>
      <c r="F287" s="30"/>
      <c r="G287" s="30"/>
      <c r="H287" s="34" t="str">
        <f aca="false">IF(D287="","",IFERROR(INDEX(Categorias!$D$6:$D$45,MATCH(D287,Categorias!$B$6:$B$45,0))&amp;"",""))</f>
        <v/>
      </c>
      <c r="I287" s="35"/>
      <c r="J287" s="35"/>
      <c r="K287" s="35"/>
      <c r="L287" s="36" t="str">
        <f aca="false">IF(OR(H287="",COUNTIF(I287:K287,"S")+COUNTIF(I287:K287,"N")&lt;3),"",COUNTIF(I287:K287,"S")*IF(H287="S",5,IF(H287="M",4,IF(H287="E",3,2))))</f>
        <v/>
      </c>
      <c r="M287" s="37" t="str">
        <f aca="false">IF(L287="","",IF(L287&gt;=12,"Executar",IF(L287&gt;=8,"Executar com controle",IF(L287&gt;=5,"Postergar","Cancelar"))))</f>
        <v/>
      </c>
      <c r="O287" s="28" t="str">
        <f aca="false">IF(D287="","",IFERROR(INDEX(Categorias!$C$6:$C$45,MATCH(D287,Categorias!$B$6:$B$45,0)),"Sem grupo"))</f>
        <v/>
      </c>
      <c r="P287" s="38" t="str">
        <f aca="false">IF(B287="","",DATE(YEAR(B287),MONTH(B287),1))</f>
        <v/>
      </c>
    </row>
    <row r="288" customFormat="false" ht="15" hidden="false" customHeight="false" outlineLevel="0" collapsed="false">
      <c r="B288" s="33"/>
      <c r="C288" s="30"/>
      <c r="D288" s="30"/>
      <c r="E288" s="31"/>
      <c r="F288" s="30"/>
      <c r="G288" s="30"/>
      <c r="H288" s="34" t="str">
        <f aca="false">IF(D288="","",IFERROR(INDEX(Categorias!$D$6:$D$45,MATCH(D288,Categorias!$B$6:$B$45,0))&amp;"",""))</f>
        <v/>
      </c>
      <c r="I288" s="35"/>
      <c r="J288" s="35"/>
      <c r="K288" s="35"/>
      <c r="L288" s="36" t="str">
        <f aca="false">IF(OR(H288="",COUNTIF(I288:K288,"S")+COUNTIF(I288:K288,"N")&lt;3),"",COUNTIF(I288:K288,"S")*IF(H288="S",5,IF(H288="M",4,IF(H288="E",3,2))))</f>
        <v/>
      </c>
      <c r="M288" s="37" t="str">
        <f aca="false">IF(L288="","",IF(L288&gt;=12,"Executar",IF(L288&gt;=8,"Executar com controle",IF(L288&gt;=5,"Postergar","Cancelar"))))</f>
        <v/>
      </c>
      <c r="O288" s="28" t="str">
        <f aca="false">IF(D288="","",IFERROR(INDEX(Categorias!$C$6:$C$45,MATCH(D288,Categorias!$B$6:$B$45,0)),"Sem grupo"))</f>
        <v/>
      </c>
      <c r="P288" s="38" t="str">
        <f aca="false">IF(B288="","",DATE(YEAR(B288),MONTH(B288),1))</f>
        <v/>
      </c>
    </row>
    <row r="289" customFormat="false" ht="15" hidden="false" customHeight="false" outlineLevel="0" collapsed="false">
      <c r="B289" s="33"/>
      <c r="C289" s="30"/>
      <c r="D289" s="30"/>
      <c r="E289" s="31"/>
      <c r="F289" s="30"/>
      <c r="G289" s="30"/>
      <c r="H289" s="34" t="str">
        <f aca="false">IF(D289="","",IFERROR(INDEX(Categorias!$D$6:$D$45,MATCH(D289,Categorias!$B$6:$B$45,0))&amp;"",""))</f>
        <v/>
      </c>
      <c r="I289" s="35"/>
      <c r="J289" s="35"/>
      <c r="K289" s="35"/>
      <c r="L289" s="36" t="str">
        <f aca="false">IF(OR(H289="",COUNTIF(I289:K289,"S")+COUNTIF(I289:K289,"N")&lt;3),"",COUNTIF(I289:K289,"S")*IF(H289="S",5,IF(H289="M",4,IF(H289="E",3,2))))</f>
        <v/>
      </c>
      <c r="M289" s="37" t="str">
        <f aca="false">IF(L289="","",IF(L289&gt;=12,"Executar",IF(L289&gt;=8,"Executar com controle",IF(L289&gt;=5,"Postergar","Cancelar"))))</f>
        <v/>
      </c>
      <c r="O289" s="28" t="str">
        <f aca="false">IF(D289="","",IFERROR(INDEX(Categorias!$C$6:$C$45,MATCH(D289,Categorias!$B$6:$B$45,0)),"Sem grupo"))</f>
        <v/>
      </c>
      <c r="P289" s="38" t="str">
        <f aca="false">IF(B289="","",DATE(YEAR(B289),MONTH(B289),1))</f>
        <v/>
      </c>
    </row>
    <row r="290" customFormat="false" ht="15" hidden="false" customHeight="false" outlineLevel="0" collapsed="false">
      <c r="B290" s="33"/>
      <c r="C290" s="30"/>
      <c r="D290" s="30"/>
      <c r="E290" s="31"/>
      <c r="F290" s="30"/>
      <c r="G290" s="30"/>
      <c r="H290" s="34" t="str">
        <f aca="false">IF(D290="","",IFERROR(INDEX(Categorias!$D$6:$D$45,MATCH(D290,Categorias!$B$6:$B$45,0))&amp;"",""))</f>
        <v/>
      </c>
      <c r="I290" s="35"/>
      <c r="J290" s="35"/>
      <c r="K290" s="35"/>
      <c r="L290" s="36" t="str">
        <f aca="false">IF(OR(H290="",COUNTIF(I290:K290,"S")+COUNTIF(I290:K290,"N")&lt;3),"",COUNTIF(I290:K290,"S")*IF(H290="S",5,IF(H290="M",4,IF(H290="E",3,2))))</f>
        <v/>
      </c>
      <c r="M290" s="37" t="str">
        <f aca="false">IF(L290="","",IF(L290&gt;=12,"Executar",IF(L290&gt;=8,"Executar com controle",IF(L290&gt;=5,"Postergar","Cancelar"))))</f>
        <v/>
      </c>
      <c r="O290" s="28" t="str">
        <f aca="false">IF(D290="","",IFERROR(INDEX(Categorias!$C$6:$C$45,MATCH(D290,Categorias!$B$6:$B$45,0)),"Sem grupo"))</f>
        <v/>
      </c>
      <c r="P290" s="38" t="str">
        <f aca="false">IF(B290="","",DATE(YEAR(B290),MONTH(B290),1))</f>
        <v/>
      </c>
    </row>
    <row r="291" customFormat="false" ht="15" hidden="false" customHeight="false" outlineLevel="0" collapsed="false">
      <c r="B291" s="33"/>
      <c r="C291" s="30"/>
      <c r="D291" s="30"/>
      <c r="E291" s="31"/>
      <c r="F291" s="30"/>
      <c r="G291" s="30"/>
      <c r="H291" s="34" t="str">
        <f aca="false">IF(D291="","",IFERROR(INDEX(Categorias!$D$6:$D$45,MATCH(D291,Categorias!$B$6:$B$45,0))&amp;"",""))</f>
        <v/>
      </c>
      <c r="I291" s="35"/>
      <c r="J291" s="35"/>
      <c r="K291" s="35"/>
      <c r="L291" s="36" t="str">
        <f aca="false">IF(OR(H291="",COUNTIF(I291:K291,"S")+COUNTIF(I291:K291,"N")&lt;3),"",COUNTIF(I291:K291,"S")*IF(H291="S",5,IF(H291="M",4,IF(H291="E",3,2))))</f>
        <v/>
      </c>
      <c r="M291" s="37" t="str">
        <f aca="false">IF(L291="","",IF(L291&gt;=12,"Executar",IF(L291&gt;=8,"Executar com controle",IF(L291&gt;=5,"Postergar","Cancelar"))))</f>
        <v/>
      </c>
      <c r="O291" s="28" t="str">
        <f aca="false">IF(D291="","",IFERROR(INDEX(Categorias!$C$6:$C$45,MATCH(D291,Categorias!$B$6:$B$45,0)),"Sem grupo"))</f>
        <v/>
      </c>
      <c r="P291" s="38" t="str">
        <f aca="false">IF(B291="","",DATE(YEAR(B291),MONTH(B291),1))</f>
        <v/>
      </c>
    </row>
    <row r="292" customFormat="false" ht="15" hidden="false" customHeight="false" outlineLevel="0" collapsed="false">
      <c r="B292" s="33"/>
      <c r="C292" s="30"/>
      <c r="D292" s="30"/>
      <c r="E292" s="31"/>
      <c r="F292" s="30"/>
      <c r="G292" s="30"/>
      <c r="H292" s="34" t="str">
        <f aca="false">IF(D292="","",IFERROR(INDEX(Categorias!$D$6:$D$45,MATCH(D292,Categorias!$B$6:$B$45,0))&amp;"",""))</f>
        <v/>
      </c>
      <c r="I292" s="35"/>
      <c r="J292" s="35"/>
      <c r="K292" s="35"/>
      <c r="L292" s="36" t="str">
        <f aca="false">IF(OR(H292="",COUNTIF(I292:K292,"S")+COUNTIF(I292:K292,"N")&lt;3),"",COUNTIF(I292:K292,"S")*IF(H292="S",5,IF(H292="M",4,IF(H292="E",3,2))))</f>
        <v/>
      </c>
      <c r="M292" s="37" t="str">
        <f aca="false">IF(L292="","",IF(L292&gt;=12,"Executar",IF(L292&gt;=8,"Executar com controle",IF(L292&gt;=5,"Postergar","Cancelar"))))</f>
        <v/>
      </c>
      <c r="O292" s="28" t="str">
        <f aca="false">IF(D292="","",IFERROR(INDEX(Categorias!$C$6:$C$45,MATCH(D292,Categorias!$B$6:$B$45,0)),"Sem grupo"))</f>
        <v/>
      </c>
      <c r="P292" s="38" t="str">
        <f aca="false">IF(B292="","",DATE(YEAR(B292),MONTH(B292),1))</f>
        <v/>
      </c>
    </row>
    <row r="293" customFormat="false" ht="15" hidden="false" customHeight="false" outlineLevel="0" collapsed="false">
      <c r="B293" s="33"/>
      <c r="C293" s="30"/>
      <c r="D293" s="30"/>
      <c r="E293" s="31"/>
      <c r="F293" s="30"/>
      <c r="G293" s="30"/>
      <c r="H293" s="34" t="str">
        <f aca="false">IF(D293="","",IFERROR(INDEX(Categorias!$D$6:$D$45,MATCH(D293,Categorias!$B$6:$B$45,0))&amp;"",""))</f>
        <v/>
      </c>
      <c r="I293" s="35"/>
      <c r="J293" s="35"/>
      <c r="K293" s="35"/>
      <c r="L293" s="36" t="str">
        <f aca="false">IF(OR(H293="",COUNTIF(I293:K293,"S")+COUNTIF(I293:K293,"N")&lt;3),"",COUNTIF(I293:K293,"S")*IF(H293="S",5,IF(H293="M",4,IF(H293="E",3,2))))</f>
        <v/>
      </c>
      <c r="M293" s="37" t="str">
        <f aca="false">IF(L293="","",IF(L293&gt;=12,"Executar",IF(L293&gt;=8,"Executar com controle",IF(L293&gt;=5,"Postergar","Cancelar"))))</f>
        <v/>
      </c>
      <c r="O293" s="28" t="str">
        <f aca="false">IF(D293="","",IFERROR(INDEX(Categorias!$C$6:$C$45,MATCH(D293,Categorias!$B$6:$B$45,0)),"Sem grupo"))</f>
        <v/>
      </c>
      <c r="P293" s="38" t="str">
        <f aca="false">IF(B293="","",DATE(YEAR(B293),MONTH(B293),1))</f>
        <v/>
      </c>
    </row>
    <row r="294" customFormat="false" ht="15" hidden="false" customHeight="false" outlineLevel="0" collapsed="false">
      <c r="B294" s="33"/>
      <c r="C294" s="30"/>
      <c r="D294" s="30"/>
      <c r="E294" s="31"/>
      <c r="F294" s="30"/>
      <c r="G294" s="30"/>
      <c r="H294" s="34" t="str">
        <f aca="false">IF(D294="","",IFERROR(INDEX(Categorias!$D$6:$D$45,MATCH(D294,Categorias!$B$6:$B$45,0))&amp;"",""))</f>
        <v/>
      </c>
      <c r="I294" s="35"/>
      <c r="J294" s="35"/>
      <c r="K294" s="35"/>
      <c r="L294" s="36" t="str">
        <f aca="false">IF(OR(H294="",COUNTIF(I294:K294,"S")+COUNTIF(I294:K294,"N")&lt;3),"",COUNTIF(I294:K294,"S")*IF(H294="S",5,IF(H294="M",4,IF(H294="E",3,2))))</f>
        <v/>
      </c>
      <c r="M294" s="37" t="str">
        <f aca="false">IF(L294="","",IF(L294&gt;=12,"Executar",IF(L294&gt;=8,"Executar com controle",IF(L294&gt;=5,"Postergar","Cancelar"))))</f>
        <v/>
      </c>
      <c r="O294" s="28" t="str">
        <f aca="false">IF(D294="","",IFERROR(INDEX(Categorias!$C$6:$C$45,MATCH(D294,Categorias!$B$6:$B$45,0)),"Sem grupo"))</f>
        <v/>
      </c>
      <c r="P294" s="38" t="str">
        <f aca="false">IF(B294="","",DATE(YEAR(B294),MONTH(B294),1))</f>
        <v/>
      </c>
    </row>
    <row r="295" customFormat="false" ht="15" hidden="false" customHeight="false" outlineLevel="0" collapsed="false">
      <c r="B295" s="33"/>
      <c r="C295" s="30"/>
      <c r="D295" s="30"/>
      <c r="E295" s="31"/>
      <c r="F295" s="30"/>
      <c r="G295" s="30"/>
      <c r="H295" s="34" t="str">
        <f aca="false">IF(D295="","",IFERROR(INDEX(Categorias!$D$6:$D$45,MATCH(D295,Categorias!$B$6:$B$45,0))&amp;"",""))</f>
        <v/>
      </c>
      <c r="I295" s="35"/>
      <c r="J295" s="35"/>
      <c r="K295" s="35"/>
      <c r="L295" s="36" t="str">
        <f aca="false">IF(OR(H295="",COUNTIF(I295:K295,"S")+COUNTIF(I295:K295,"N")&lt;3),"",COUNTIF(I295:K295,"S")*IF(H295="S",5,IF(H295="M",4,IF(H295="E",3,2))))</f>
        <v/>
      </c>
      <c r="M295" s="37" t="str">
        <f aca="false">IF(L295="","",IF(L295&gt;=12,"Executar",IF(L295&gt;=8,"Executar com controle",IF(L295&gt;=5,"Postergar","Cancelar"))))</f>
        <v/>
      </c>
      <c r="O295" s="28" t="str">
        <f aca="false">IF(D295="","",IFERROR(INDEX(Categorias!$C$6:$C$45,MATCH(D295,Categorias!$B$6:$B$45,0)),"Sem grupo"))</f>
        <v/>
      </c>
      <c r="P295" s="38" t="str">
        <f aca="false">IF(B295="","",DATE(YEAR(B295),MONTH(B295),1))</f>
        <v/>
      </c>
    </row>
    <row r="296" customFormat="false" ht="15" hidden="false" customHeight="false" outlineLevel="0" collapsed="false">
      <c r="B296" s="33"/>
      <c r="C296" s="30"/>
      <c r="D296" s="30"/>
      <c r="E296" s="31"/>
      <c r="F296" s="30"/>
      <c r="G296" s="30"/>
      <c r="H296" s="34" t="str">
        <f aca="false">IF(D296="","",IFERROR(INDEX(Categorias!$D$6:$D$45,MATCH(D296,Categorias!$B$6:$B$45,0))&amp;"",""))</f>
        <v/>
      </c>
      <c r="I296" s="35"/>
      <c r="J296" s="35"/>
      <c r="K296" s="35"/>
      <c r="L296" s="36" t="str">
        <f aca="false">IF(OR(H296="",COUNTIF(I296:K296,"S")+COUNTIF(I296:K296,"N")&lt;3),"",COUNTIF(I296:K296,"S")*IF(H296="S",5,IF(H296="M",4,IF(H296="E",3,2))))</f>
        <v/>
      </c>
      <c r="M296" s="37" t="str">
        <f aca="false">IF(L296="","",IF(L296&gt;=12,"Executar",IF(L296&gt;=8,"Executar com controle",IF(L296&gt;=5,"Postergar","Cancelar"))))</f>
        <v/>
      </c>
      <c r="O296" s="28" t="str">
        <f aca="false">IF(D296="","",IFERROR(INDEX(Categorias!$C$6:$C$45,MATCH(D296,Categorias!$B$6:$B$45,0)),"Sem grupo"))</f>
        <v/>
      </c>
      <c r="P296" s="38" t="str">
        <f aca="false">IF(B296="","",DATE(YEAR(B296),MONTH(B296),1))</f>
        <v/>
      </c>
    </row>
    <row r="297" customFormat="false" ht="15" hidden="false" customHeight="false" outlineLevel="0" collapsed="false">
      <c r="B297" s="33"/>
      <c r="C297" s="30"/>
      <c r="D297" s="30"/>
      <c r="E297" s="31"/>
      <c r="F297" s="30"/>
      <c r="G297" s="30"/>
      <c r="H297" s="34" t="str">
        <f aca="false">IF(D297="","",IFERROR(INDEX(Categorias!$D$6:$D$45,MATCH(D297,Categorias!$B$6:$B$45,0))&amp;"",""))</f>
        <v/>
      </c>
      <c r="I297" s="35"/>
      <c r="J297" s="35"/>
      <c r="K297" s="35"/>
      <c r="L297" s="36" t="str">
        <f aca="false">IF(OR(H297="",COUNTIF(I297:K297,"S")+COUNTIF(I297:K297,"N")&lt;3),"",COUNTIF(I297:K297,"S")*IF(H297="S",5,IF(H297="M",4,IF(H297="E",3,2))))</f>
        <v/>
      </c>
      <c r="M297" s="37" t="str">
        <f aca="false">IF(L297="","",IF(L297&gt;=12,"Executar",IF(L297&gt;=8,"Executar com controle",IF(L297&gt;=5,"Postergar","Cancelar"))))</f>
        <v/>
      </c>
      <c r="O297" s="28" t="str">
        <f aca="false">IF(D297="","",IFERROR(INDEX(Categorias!$C$6:$C$45,MATCH(D297,Categorias!$B$6:$B$45,0)),"Sem grupo"))</f>
        <v/>
      </c>
      <c r="P297" s="38" t="str">
        <f aca="false">IF(B297="","",DATE(YEAR(B297),MONTH(B297),1))</f>
        <v/>
      </c>
    </row>
    <row r="298" customFormat="false" ht="15" hidden="false" customHeight="false" outlineLevel="0" collapsed="false">
      <c r="B298" s="33"/>
      <c r="C298" s="30"/>
      <c r="D298" s="30"/>
      <c r="E298" s="31"/>
      <c r="F298" s="30"/>
      <c r="G298" s="30"/>
      <c r="H298" s="34" t="str">
        <f aca="false">IF(D298="","",IFERROR(INDEX(Categorias!$D$6:$D$45,MATCH(D298,Categorias!$B$6:$B$45,0))&amp;"",""))</f>
        <v/>
      </c>
      <c r="I298" s="35"/>
      <c r="J298" s="35"/>
      <c r="K298" s="35"/>
      <c r="L298" s="36" t="str">
        <f aca="false">IF(OR(H298="",COUNTIF(I298:K298,"S")+COUNTIF(I298:K298,"N")&lt;3),"",COUNTIF(I298:K298,"S")*IF(H298="S",5,IF(H298="M",4,IF(H298="E",3,2))))</f>
        <v/>
      </c>
      <c r="M298" s="37" t="str">
        <f aca="false">IF(L298="","",IF(L298&gt;=12,"Executar",IF(L298&gt;=8,"Executar com controle",IF(L298&gt;=5,"Postergar","Cancelar"))))</f>
        <v/>
      </c>
      <c r="O298" s="28" t="str">
        <f aca="false">IF(D298="","",IFERROR(INDEX(Categorias!$C$6:$C$45,MATCH(D298,Categorias!$B$6:$B$45,0)),"Sem grupo"))</f>
        <v/>
      </c>
      <c r="P298" s="38" t="str">
        <f aca="false">IF(B298="","",DATE(YEAR(B298),MONTH(B298),1))</f>
        <v/>
      </c>
    </row>
    <row r="299" customFormat="false" ht="15" hidden="false" customHeight="false" outlineLevel="0" collapsed="false">
      <c r="B299" s="33"/>
      <c r="C299" s="30"/>
      <c r="D299" s="30"/>
      <c r="E299" s="31"/>
      <c r="F299" s="30"/>
      <c r="G299" s="30"/>
      <c r="H299" s="34" t="str">
        <f aca="false">IF(D299="","",IFERROR(INDEX(Categorias!$D$6:$D$45,MATCH(D299,Categorias!$B$6:$B$45,0))&amp;"",""))</f>
        <v/>
      </c>
      <c r="I299" s="35"/>
      <c r="J299" s="35"/>
      <c r="K299" s="35"/>
      <c r="L299" s="36" t="str">
        <f aca="false">IF(OR(H299="",COUNTIF(I299:K299,"S")+COUNTIF(I299:K299,"N")&lt;3),"",COUNTIF(I299:K299,"S")*IF(H299="S",5,IF(H299="M",4,IF(H299="E",3,2))))</f>
        <v/>
      </c>
      <c r="M299" s="37" t="str">
        <f aca="false">IF(L299="","",IF(L299&gt;=12,"Executar",IF(L299&gt;=8,"Executar com controle",IF(L299&gt;=5,"Postergar","Cancelar"))))</f>
        <v/>
      </c>
      <c r="O299" s="28" t="str">
        <f aca="false">IF(D299="","",IFERROR(INDEX(Categorias!$C$6:$C$45,MATCH(D299,Categorias!$B$6:$B$45,0)),"Sem grupo"))</f>
        <v/>
      </c>
      <c r="P299" s="38" t="str">
        <f aca="false">IF(B299="","",DATE(YEAR(B299),MONTH(B299),1))</f>
        <v/>
      </c>
    </row>
    <row r="300" customFormat="false" ht="15" hidden="false" customHeight="false" outlineLevel="0" collapsed="false">
      <c r="B300" s="33"/>
      <c r="C300" s="30"/>
      <c r="D300" s="30"/>
      <c r="E300" s="31"/>
      <c r="F300" s="30"/>
      <c r="G300" s="30"/>
      <c r="H300" s="34" t="str">
        <f aca="false">IF(D300="","",IFERROR(INDEX(Categorias!$D$6:$D$45,MATCH(D300,Categorias!$B$6:$B$45,0))&amp;"",""))</f>
        <v/>
      </c>
      <c r="I300" s="35"/>
      <c r="J300" s="35"/>
      <c r="K300" s="35"/>
      <c r="L300" s="36" t="str">
        <f aca="false">IF(OR(H300="",COUNTIF(I300:K300,"S")+COUNTIF(I300:K300,"N")&lt;3),"",COUNTIF(I300:K300,"S")*IF(H300="S",5,IF(H300="M",4,IF(H300="E",3,2))))</f>
        <v/>
      </c>
      <c r="M300" s="37" t="str">
        <f aca="false">IF(L300="","",IF(L300&gt;=12,"Executar",IF(L300&gt;=8,"Executar com controle",IF(L300&gt;=5,"Postergar","Cancelar"))))</f>
        <v/>
      </c>
      <c r="O300" s="28" t="str">
        <f aca="false">IF(D300="","",IFERROR(INDEX(Categorias!$C$6:$C$45,MATCH(D300,Categorias!$B$6:$B$45,0)),"Sem grupo"))</f>
        <v/>
      </c>
      <c r="P300" s="38" t="str">
        <f aca="false">IF(B300="","",DATE(YEAR(B300),MONTH(B300),1))</f>
        <v/>
      </c>
    </row>
    <row r="301" customFormat="false" ht="15" hidden="false" customHeight="false" outlineLevel="0" collapsed="false">
      <c r="B301" s="33"/>
      <c r="C301" s="30"/>
      <c r="D301" s="30"/>
      <c r="E301" s="31"/>
      <c r="F301" s="30"/>
      <c r="G301" s="30"/>
      <c r="H301" s="34" t="str">
        <f aca="false">IF(D301="","",IFERROR(INDEX(Categorias!$D$6:$D$45,MATCH(D301,Categorias!$B$6:$B$45,0))&amp;"",""))</f>
        <v/>
      </c>
      <c r="I301" s="35"/>
      <c r="J301" s="35"/>
      <c r="K301" s="35"/>
      <c r="L301" s="36" t="str">
        <f aca="false">IF(OR(H301="",COUNTIF(I301:K301,"S")+COUNTIF(I301:K301,"N")&lt;3),"",COUNTIF(I301:K301,"S")*IF(H301="S",5,IF(H301="M",4,IF(H301="E",3,2))))</f>
        <v/>
      </c>
      <c r="M301" s="37" t="str">
        <f aca="false">IF(L301="","",IF(L301&gt;=12,"Executar",IF(L301&gt;=8,"Executar com controle",IF(L301&gt;=5,"Postergar","Cancelar"))))</f>
        <v/>
      </c>
      <c r="O301" s="28" t="str">
        <f aca="false">IF(D301="","",IFERROR(INDEX(Categorias!$C$6:$C$45,MATCH(D301,Categorias!$B$6:$B$45,0)),"Sem grupo"))</f>
        <v/>
      </c>
      <c r="P301" s="38" t="str">
        <f aca="false">IF(B301="","",DATE(YEAR(B301),MONTH(B301),1))</f>
        <v/>
      </c>
    </row>
    <row r="302" customFormat="false" ht="15" hidden="false" customHeight="false" outlineLevel="0" collapsed="false">
      <c r="B302" s="33"/>
      <c r="C302" s="30"/>
      <c r="D302" s="30"/>
      <c r="E302" s="31"/>
      <c r="F302" s="30"/>
      <c r="G302" s="30"/>
      <c r="H302" s="34" t="str">
        <f aca="false">IF(D302="","",IFERROR(INDEX(Categorias!$D$6:$D$45,MATCH(D302,Categorias!$B$6:$B$45,0))&amp;"",""))</f>
        <v/>
      </c>
      <c r="I302" s="35"/>
      <c r="J302" s="35"/>
      <c r="K302" s="35"/>
      <c r="L302" s="36" t="str">
        <f aca="false">IF(OR(H302="",COUNTIF(I302:K302,"S")+COUNTIF(I302:K302,"N")&lt;3),"",COUNTIF(I302:K302,"S")*IF(H302="S",5,IF(H302="M",4,IF(H302="E",3,2))))</f>
        <v/>
      </c>
      <c r="M302" s="37" t="str">
        <f aca="false">IF(L302="","",IF(L302&gt;=12,"Executar",IF(L302&gt;=8,"Executar com controle",IF(L302&gt;=5,"Postergar","Cancelar"))))</f>
        <v/>
      </c>
      <c r="O302" s="28" t="str">
        <f aca="false">IF(D302="","",IFERROR(INDEX(Categorias!$C$6:$C$45,MATCH(D302,Categorias!$B$6:$B$45,0)),"Sem grupo"))</f>
        <v/>
      </c>
      <c r="P302" s="38" t="str">
        <f aca="false">IF(B302="","",DATE(YEAR(B302),MONTH(B302),1))</f>
        <v/>
      </c>
    </row>
    <row r="303" customFormat="false" ht="15" hidden="false" customHeight="false" outlineLevel="0" collapsed="false">
      <c r="B303" s="33"/>
      <c r="C303" s="30"/>
      <c r="D303" s="30"/>
      <c r="E303" s="31"/>
      <c r="F303" s="30"/>
      <c r="G303" s="30"/>
      <c r="H303" s="34" t="str">
        <f aca="false">IF(D303="","",IFERROR(INDEX(Categorias!$D$6:$D$45,MATCH(D303,Categorias!$B$6:$B$45,0))&amp;"",""))</f>
        <v/>
      </c>
      <c r="I303" s="35"/>
      <c r="J303" s="35"/>
      <c r="K303" s="35"/>
      <c r="L303" s="36" t="str">
        <f aca="false">IF(OR(H303="",COUNTIF(I303:K303,"S")+COUNTIF(I303:K303,"N")&lt;3),"",COUNTIF(I303:K303,"S")*IF(H303="S",5,IF(H303="M",4,IF(H303="E",3,2))))</f>
        <v/>
      </c>
      <c r="M303" s="37" t="str">
        <f aca="false">IF(L303="","",IF(L303&gt;=12,"Executar",IF(L303&gt;=8,"Executar com controle",IF(L303&gt;=5,"Postergar","Cancelar"))))</f>
        <v/>
      </c>
      <c r="O303" s="28" t="str">
        <f aca="false">IF(D303="","",IFERROR(INDEX(Categorias!$C$6:$C$45,MATCH(D303,Categorias!$B$6:$B$45,0)),"Sem grupo"))</f>
        <v/>
      </c>
      <c r="P303" s="38" t="str">
        <f aca="false">IF(B303="","",DATE(YEAR(B303),MONTH(B303),1))</f>
        <v/>
      </c>
    </row>
    <row r="304" customFormat="false" ht="15" hidden="false" customHeight="false" outlineLevel="0" collapsed="false">
      <c r="B304" s="33"/>
      <c r="C304" s="30"/>
      <c r="D304" s="30"/>
      <c r="E304" s="31"/>
      <c r="F304" s="30"/>
      <c r="G304" s="30"/>
      <c r="H304" s="34" t="str">
        <f aca="false">IF(D304="","",IFERROR(INDEX(Categorias!$D$6:$D$45,MATCH(D304,Categorias!$B$6:$B$45,0))&amp;"",""))</f>
        <v/>
      </c>
      <c r="I304" s="35"/>
      <c r="J304" s="35"/>
      <c r="K304" s="35"/>
      <c r="L304" s="36" t="str">
        <f aca="false">IF(OR(H304="",COUNTIF(I304:K304,"S")+COUNTIF(I304:K304,"N")&lt;3),"",COUNTIF(I304:K304,"S")*IF(H304="S",5,IF(H304="M",4,IF(H304="E",3,2))))</f>
        <v/>
      </c>
      <c r="M304" s="37" t="str">
        <f aca="false">IF(L304="","",IF(L304&gt;=12,"Executar",IF(L304&gt;=8,"Executar com controle",IF(L304&gt;=5,"Postergar","Cancelar"))))</f>
        <v/>
      </c>
      <c r="O304" s="28" t="str">
        <f aca="false">IF(D304="","",IFERROR(INDEX(Categorias!$C$6:$C$45,MATCH(D304,Categorias!$B$6:$B$45,0)),"Sem grupo"))</f>
        <v/>
      </c>
      <c r="P304" s="38" t="str">
        <f aca="false">IF(B304="","",DATE(YEAR(B304),MONTH(B304),1))</f>
        <v/>
      </c>
    </row>
    <row r="305" customFormat="false" ht="15" hidden="false" customHeight="false" outlineLevel="0" collapsed="false">
      <c r="B305" s="33"/>
      <c r="C305" s="30"/>
      <c r="D305" s="30"/>
      <c r="E305" s="31"/>
      <c r="F305" s="30"/>
      <c r="G305" s="30"/>
      <c r="H305" s="34" t="str">
        <f aca="false">IF(D305="","",IFERROR(INDEX(Categorias!$D$6:$D$45,MATCH(D305,Categorias!$B$6:$B$45,0))&amp;"",""))</f>
        <v/>
      </c>
      <c r="I305" s="35"/>
      <c r="J305" s="35"/>
      <c r="K305" s="35"/>
      <c r="L305" s="36" t="str">
        <f aca="false">IF(OR(H305="",COUNTIF(I305:K305,"S")+COUNTIF(I305:K305,"N")&lt;3),"",COUNTIF(I305:K305,"S")*IF(H305="S",5,IF(H305="M",4,IF(H305="E",3,2))))</f>
        <v/>
      </c>
      <c r="M305" s="37" t="str">
        <f aca="false">IF(L305="","",IF(L305&gt;=12,"Executar",IF(L305&gt;=8,"Executar com controle",IF(L305&gt;=5,"Postergar","Cancelar"))))</f>
        <v/>
      </c>
      <c r="O305" s="28" t="str">
        <f aca="false">IF(D305="","",IFERROR(INDEX(Categorias!$C$6:$C$45,MATCH(D305,Categorias!$B$6:$B$45,0)),"Sem grupo"))</f>
        <v/>
      </c>
      <c r="P305" s="38" t="str">
        <f aca="false">IF(B305="","",DATE(YEAR(B305),MONTH(B305),1))</f>
        <v/>
      </c>
    </row>
    <row r="306" customFormat="false" ht="15" hidden="false" customHeight="false" outlineLevel="0" collapsed="false">
      <c r="B306" s="33"/>
      <c r="C306" s="30"/>
      <c r="D306" s="30"/>
      <c r="E306" s="31"/>
      <c r="F306" s="30"/>
      <c r="G306" s="30"/>
      <c r="H306" s="34" t="str">
        <f aca="false">IF(D306="","",IFERROR(INDEX(Categorias!$D$6:$D$45,MATCH(D306,Categorias!$B$6:$B$45,0))&amp;"",""))</f>
        <v/>
      </c>
      <c r="I306" s="35"/>
      <c r="J306" s="35"/>
      <c r="K306" s="35"/>
      <c r="L306" s="36" t="str">
        <f aca="false">IF(OR(H306="",COUNTIF(I306:K306,"S")+COUNTIF(I306:K306,"N")&lt;3),"",COUNTIF(I306:K306,"S")*IF(H306="S",5,IF(H306="M",4,IF(H306="E",3,2))))</f>
        <v/>
      </c>
      <c r="M306" s="37" t="str">
        <f aca="false">IF(L306="","",IF(L306&gt;=12,"Executar",IF(L306&gt;=8,"Executar com controle",IF(L306&gt;=5,"Postergar","Cancelar"))))</f>
        <v/>
      </c>
      <c r="O306" s="28" t="str">
        <f aca="false">IF(D306="","",IFERROR(INDEX(Categorias!$C$6:$C$45,MATCH(D306,Categorias!$B$6:$B$45,0)),"Sem grupo"))</f>
        <v/>
      </c>
      <c r="P306" s="38" t="str">
        <f aca="false">IF(B306="","",DATE(YEAR(B306),MONTH(B306),1))</f>
        <v/>
      </c>
    </row>
    <row r="307" customFormat="false" ht="15" hidden="false" customHeight="false" outlineLevel="0" collapsed="false">
      <c r="B307" s="33"/>
      <c r="C307" s="30"/>
      <c r="D307" s="30"/>
      <c r="E307" s="31"/>
      <c r="F307" s="30"/>
      <c r="G307" s="30"/>
      <c r="H307" s="34" t="str">
        <f aca="false">IF(D307="","",IFERROR(INDEX(Categorias!$D$6:$D$45,MATCH(D307,Categorias!$B$6:$B$45,0))&amp;"",""))</f>
        <v/>
      </c>
      <c r="I307" s="35"/>
      <c r="J307" s="35"/>
      <c r="K307" s="35"/>
      <c r="L307" s="36" t="str">
        <f aca="false">IF(OR(H307="",COUNTIF(I307:K307,"S")+COUNTIF(I307:K307,"N")&lt;3),"",COUNTIF(I307:K307,"S")*IF(H307="S",5,IF(H307="M",4,IF(H307="E",3,2))))</f>
        <v/>
      </c>
      <c r="M307" s="37" t="str">
        <f aca="false">IF(L307="","",IF(L307&gt;=12,"Executar",IF(L307&gt;=8,"Executar com controle",IF(L307&gt;=5,"Postergar","Cancelar"))))</f>
        <v/>
      </c>
      <c r="O307" s="28" t="str">
        <f aca="false">IF(D307="","",IFERROR(INDEX(Categorias!$C$6:$C$45,MATCH(D307,Categorias!$B$6:$B$45,0)),"Sem grupo"))</f>
        <v/>
      </c>
      <c r="P307" s="38" t="str">
        <f aca="false">IF(B307="","",DATE(YEAR(B307),MONTH(B307),1))</f>
        <v/>
      </c>
    </row>
    <row r="308" customFormat="false" ht="15" hidden="false" customHeight="false" outlineLevel="0" collapsed="false">
      <c r="B308" s="33"/>
      <c r="C308" s="30"/>
      <c r="D308" s="30"/>
      <c r="E308" s="31"/>
      <c r="F308" s="30"/>
      <c r="G308" s="30"/>
      <c r="H308" s="34" t="str">
        <f aca="false">IF(D308="","",IFERROR(INDEX(Categorias!$D$6:$D$45,MATCH(D308,Categorias!$B$6:$B$45,0))&amp;"",""))</f>
        <v/>
      </c>
      <c r="I308" s="35"/>
      <c r="J308" s="35"/>
      <c r="K308" s="35"/>
      <c r="L308" s="36" t="str">
        <f aca="false">IF(OR(H308="",COUNTIF(I308:K308,"S")+COUNTIF(I308:K308,"N")&lt;3),"",COUNTIF(I308:K308,"S")*IF(H308="S",5,IF(H308="M",4,IF(H308="E",3,2))))</f>
        <v/>
      </c>
      <c r="M308" s="37" t="str">
        <f aca="false">IF(L308="","",IF(L308&gt;=12,"Executar",IF(L308&gt;=8,"Executar com controle",IF(L308&gt;=5,"Postergar","Cancelar"))))</f>
        <v/>
      </c>
      <c r="O308" s="28" t="str">
        <f aca="false">IF(D308="","",IFERROR(INDEX(Categorias!$C$6:$C$45,MATCH(D308,Categorias!$B$6:$B$45,0)),"Sem grupo"))</f>
        <v/>
      </c>
      <c r="P308" s="38" t="str">
        <f aca="false">IF(B308="","",DATE(YEAR(B308),MONTH(B308),1))</f>
        <v/>
      </c>
    </row>
    <row r="309" customFormat="false" ht="15" hidden="false" customHeight="false" outlineLevel="0" collapsed="false">
      <c r="B309" s="33"/>
      <c r="C309" s="30"/>
      <c r="D309" s="30"/>
      <c r="E309" s="31"/>
      <c r="F309" s="30"/>
      <c r="G309" s="30"/>
      <c r="H309" s="34" t="str">
        <f aca="false">IF(D309="","",IFERROR(INDEX(Categorias!$D$6:$D$45,MATCH(D309,Categorias!$B$6:$B$45,0))&amp;"",""))</f>
        <v/>
      </c>
      <c r="I309" s="35"/>
      <c r="J309" s="35"/>
      <c r="K309" s="35"/>
      <c r="L309" s="36" t="str">
        <f aca="false">IF(OR(H309="",COUNTIF(I309:K309,"S")+COUNTIF(I309:K309,"N")&lt;3),"",COUNTIF(I309:K309,"S")*IF(H309="S",5,IF(H309="M",4,IF(H309="E",3,2))))</f>
        <v/>
      </c>
      <c r="M309" s="37" t="str">
        <f aca="false">IF(L309="","",IF(L309&gt;=12,"Executar",IF(L309&gt;=8,"Executar com controle",IF(L309&gt;=5,"Postergar","Cancelar"))))</f>
        <v/>
      </c>
      <c r="O309" s="28" t="str">
        <f aca="false">IF(D309="","",IFERROR(INDEX(Categorias!$C$6:$C$45,MATCH(D309,Categorias!$B$6:$B$45,0)),"Sem grupo"))</f>
        <v/>
      </c>
      <c r="P309" s="38" t="str">
        <f aca="false">IF(B309="","",DATE(YEAR(B309),MONTH(B309),1))</f>
        <v/>
      </c>
    </row>
    <row r="310" customFormat="false" ht="15" hidden="false" customHeight="false" outlineLevel="0" collapsed="false">
      <c r="B310" s="33"/>
      <c r="C310" s="30"/>
      <c r="D310" s="30"/>
      <c r="E310" s="31"/>
      <c r="F310" s="30"/>
      <c r="G310" s="30"/>
      <c r="H310" s="34" t="str">
        <f aca="false">IF(D310="","",IFERROR(INDEX(Categorias!$D$6:$D$45,MATCH(D310,Categorias!$B$6:$B$45,0))&amp;"",""))</f>
        <v/>
      </c>
      <c r="I310" s="35"/>
      <c r="J310" s="35"/>
      <c r="K310" s="35"/>
      <c r="L310" s="36" t="str">
        <f aca="false">IF(OR(H310="",COUNTIF(I310:K310,"S")+COUNTIF(I310:K310,"N")&lt;3),"",COUNTIF(I310:K310,"S")*IF(H310="S",5,IF(H310="M",4,IF(H310="E",3,2))))</f>
        <v/>
      </c>
      <c r="M310" s="37" t="str">
        <f aca="false">IF(L310="","",IF(L310&gt;=12,"Executar",IF(L310&gt;=8,"Executar com controle",IF(L310&gt;=5,"Postergar","Cancelar"))))</f>
        <v/>
      </c>
      <c r="O310" s="28" t="str">
        <f aca="false">IF(D310="","",IFERROR(INDEX(Categorias!$C$6:$C$45,MATCH(D310,Categorias!$B$6:$B$45,0)),"Sem grupo"))</f>
        <v/>
      </c>
      <c r="P310" s="38" t="str">
        <f aca="false">IF(B310="","",DATE(YEAR(B310),MONTH(B310),1))</f>
        <v/>
      </c>
    </row>
    <row r="311" customFormat="false" ht="15" hidden="false" customHeight="false" outlineLevel="0" collapsed="false">
      <c r="B311" s="33"/>
      <c r="C311" s="30"/>
      <c r="D311" s="30"/>
      <c r="E311" s="31"/>
      <c r="F311" s="30"/>
      <c r="G311" s="30"/>
      <c r="H311" s="34" t="str">
        <f aca="false">IF(D311="","",IFERROR(INDEX(Categorias!$D$6:$D$45,MATCH(D311,Categorias!$B$6:$B$45,0))&amp;"",""))</f>
        <v/>
      </c>
      <c r="I311" s="35"/>
      <c r="J311" s="35"/>
      <c r="K311" s="35"/>
      <c r="L311" s="36" t="str">
        <f aca="false">IF(OR(H311="",COUNTIF(I311:K311,"S")+COUNTIF(I311:K311,"N")&lt;3),"",COUNTIF(I311:K311,"S")*IF(H311="S",5,IF(H311="M",4,IF(H311="E",3,2))))</f>
        <v/>
      </c>
      <c r="M311" s="37" t="str">
        <f aca="false">IF(L311="","",IF(L311&gt;=12,"Executar",IF(L311&gt;=8,"Executar com controle",IF(L311&gt;=5,"Postergar","Cancelar"))))</f>
        <v/>
      </c>
      <c r="O311" s="28" t="str">
        <f aca="false">IF(D311="","",IFERROR(INDEX(Categorias!$C$6:$C$45,MATCH(D311,Categorias!$B$6:$B$45,0)),"Sem grupo"))</f>
        <v/>
      </c>
      <c r="P311" s="38" t="str">
        <f aca="false">IF(B311="","",DATE(YEAR(B311),MONTH(B311),1))</f>
        <v/>
      </c>
    </row>
    <row r="312" customFormat="false" ht="15" hidden="false" customHeight="false" outlineLevel="0" collapsed="false">
      <c r="B312" s="33"/>
      <c r="C312" s="30"/>
      <c r="D312" s="30"/>
      <c r="E312" s="31"/>
      <c r="F312" s="30"/>
      <c r="G312" s="30"/>
      <c r="H312" s="34" t="str">
        <f aca="false">IF(D312="","",IFERROR(INDEX(Categorias!$D$6:$D$45,MATCH(D312,Categorias!$B$6:$B$45,0))&amp;"",""))</f>
        <v/>
      </c>
      <c r="I312" s="35"/>
      <c r="J312" s="35"/>
      <c r="K312" s="35"/>
      <c r="L312" s="36" t="str">
        <f aca="false">IF(OR(H312="",COUNTIF(I312:K312,"S")+COUNTIF(I312:K312,"N")&lt;3),"",COUNTIF(I312:K312,"S")*IF(H312="S",5,IF(H312="M",4,IF(H312="E",3,2))))</f>
        <v/>
      </c>
      <c r="M312" s="37" t="str">
        <f aca="false">IF(L312="","",IF(L312&gt;=12,"Executar",IF(L312&gt;=8,"Executar com controle",IF(L312&gt;=5,"Postergar","Cancelar"))))</f>
        <v/>
      </c>
      <c r="O312" s="28" t="str">
        <f aca="false">IF(D312="","",IFERROR(INDEX(Categorias!$C$6:$C$45,MATCH(D312,Categorias!$B$6:$B$45,0)),"Sem grupo"))</f>
        <v/>
      </c>
      <c r="P312" s="38" t="str">
        <f aca="false">IF(B312="","",DATE(YEAR(B312),MONTH(B312),1))</f>
        <v/>
      </c>
    </row>
    <row r="313" customFormat="false" ht="15" hidden="false" customHeight="false" outlineLevel="0" collapsed="false">
      <c r="B313" s="33"/>
      <c r="C313" s="30"/>
      <c r="D313" s="30"/>
      <c r="E313" s="31"/>
      <c r="F313" s="30"/>
      <c r="G313" s="30"/>
      <c r="H313" s="34" t="str">
        <f aca="false">IF(D313="","",IFERROR(INDEX(Categorias!$D$6:$D$45,MATCH(D313,Categorias!$B$6:$B$45,0))&amp;"",""))</f>
        <v/>
      </c>
      <c r="I313" s="35"/>
      <c r="J313" s="35"/>
      <c r="K313" s="35"/>
      <c r="L313" s="36" t="str">
        <f aca="false">IF(OR(H313="",COUNTIF(I313:K313,"S")+COUNTIF(I313:K313,"N")&lt;3),"",COUNTIF(I313:K313,"S")*IF(H313="S",5,IF(H313="M",4,IF(H313="E",3,2))))</f>
        <v/>
      </c>
      <c r="M313" s="37" t="str">
        <f aca="false">IF(L313="","",IF(L313&gt;=12,"Executar",IF(L313&gt;=8,"Executar com controle",IF(L313&gt;=5,"Postergar","Cancelar"))))</f>
        <v/>
      </c>
      <c r="O313" s="28" t="str">
        <f aca="false">IF(D313="","",IFERROR(INDEX(Categorias!$C$6:$C$45,MATCH(D313,Categorias!$B$6:$B$45,0)),"Sem grupo"))</f>
        <v/>
      </c>
      <c r="P313" s="38" t="str">
        <f aca="false">IF(B313="","",DATE(YEAR(B313),MONTH(B313),1))</f>
        <v/>
      </c>
    </row>
    <row r="314" customFormat="false" ht="15" hidden="false" customHeight="false" outlineLevel="0" collapsed="false">
      <c r="B314" s="33"/>
      <c r="C314" s="30"/>
      <c r="D314" s="30"/>
      <c r="E314" s="31"/>
      <c r="F314" s="30"/>
      <c r="G314" s="30"/>
      <c r="H314" s="34" t="str">
        <f aca="false">IF(D314="","",IFERROR(INDEX(Categorias!$D$6:$D$45,MATCH(D314,Categorias!$B$6:$B$45,0))&amp;"",""))</f>
        <v/>
      </c>
      <c r="I314" s="35"/>
      <c r="J314" s="35"/>
      <c r="K314" s="35"/>
      <c r="L314" s="36" t="str">
        <f aca="false">IF(OR(H314="",COUNTIF(I314:K314,"S")+COUNTIF(I314:K314,"N")&lt;3),"",COUNTIF(I314:K314,"S")*IF(H314="S",5,IF(H314="M",4,IF(H314="E",3,2))))</f>
        <v/>
      </c>
      <c r="M314" s="37" t="str">
        <f aca="false">IF(L314="","",IF(L314&gt;=12,"Executar",IF(L314&gt;=8,"Executar com controle",IF(L314&gt;=5,"Postergar","Cancelar"))))</f>
        <v/>
      </c>
      <c r="O314" s="28" t="str">
        <f aca="false">IF(D314="","",IFERROR(INDEX(Categorias!$C$6:$C$45,MATCH(D314,Categorias!$B$6:$B$45,0)),"Sem grupo"))</f>
        <v/>
      </c>
      <c r="P314" s="38" t="str">
        <f aca="false">IF(B314="","",DATE(YEAR(B314),MONTH(B314),1))</f>
        <v/>
      </c>
    </row>
    <row r="315" customFormat="false" ht="15" hidden="false" customHeight="false" outlineLevel="0" collapsed="false">
      <c r="B315" s="33"/>
      <c r="C315" s="30"/>
      <c r="D315" s="30"/>
      <c r="E315" s="31"/>
      <c r="F315" s="30"/>
      <c r="G315" s="30"/>
      <c r="H315" s="34" t="str">
        <f aca="false">IF(D315="","",IFERROR(INDEX(Categorias!$D$6:$D$45,MATCH(D315,Categorias!$B$6:$B$45,0))&amp;"",""))</f>
        <v/>
      </c>
      <c r="I315" s="35"/>
      <c r="J315" s="35"/>
      <c r="K315" s="35"/>
      <c r="L315" s="36" t="str">
        <f aca="false">IF(OR(H315="",COUNTIF(I315:K315,"S")+COUNTIF(I315:K315,"N")&lt;3),"",COUNTIF(I315:K315,"S")*IF(H315="S",5,IF(H315="M",4,IF(H315="E",3,2))))</f>
        <v/>
      </c>
      <c r="M315" s="37" t="str">
        <f aca="false">IF(L315="","",IF(L315&gt;=12,"Executar",IF(L315&gt;=8,"Executar com controle",IF(L315&gt;=5,"Postergar","Cancelar"))))</f>
        <v/>
      </c>
      <c r="O315" s="28" t="str">
        <f aca="false">IF(D315="","",IFERROR(INDEX(Categorias!$C$6:$C$45,MATCH(D315,Categorias!$B$6:$B$45,0)),"Sem grupo"))</f>
        <v/>
      </c>
      <c r="P315" s="38" t="str">
        <f aca="false">IF(B315="","",DATE(YEAR(B315),MONTH(B315),1))</f>
        <v/>
      </c>
    </row>
    <row r="316" customFormat="false" ht="15" hidden="false" customHeight="false" outlineLevel="0" collapsed="false">
      <c r="B316" s="33"/>
      <c r="C316" s="30"/>
      <c r="D316" s="30"/>
      <c r="E316" s="31"/>
      <c r="F316" s="30"/>
      <c r="G316" s="30"/>
      <c r="H316" s="34" t="str">
        <f aca="false">IF(D316="","",IFERROR(INDEX(Categorias!$D$6:$D$45,MATCH(D316,Categorias!$B$6:$B$45,0))&amp;"",""))</f>
        <v/>
      </c>
      <c r="I316" s="35"/>
      <c r="J316" s="35"/>
      <c r="K316" s="35"/>
      <c r="L316" s="36" t="str">
        <f aca="false">IF(OR(H316="",COUNTIF(I316:K316,"S")+COUNTIF(I316:K316,"N")&lt;3),"",COUNTIF(I316:K316,"S")*IF(H316="S",5,IF(H316="M",4,IF(H316="E",3,2))))</f>
        <v/>
      </c>
      <c r="M316" s="37" t="str">
        <f aca="false">IF(L316="","",IF(L316&gt;=12,"Executar",IF(L316&gt;=8,"Executar com controle",IF(L316&gt;=5,"Postergar","Cancelar"))))</f>
        <v/>
      </c>
      <c r="O316" s="28" t="str">
        <f aca="false">IF(D316="","",IFERROR(INDEX(Categorias!$C$6:$C$45,MATCH(D316,Categorias!$B$6:$B$45,0)),"Sem grupo"))</f>
        <v/>
      </c>
      <c r="P316" s="38" t="str">
        <f aca="false">IF(B316="","",DATE(YEAR(B316),MONTH(B316),1))</f>
        <v/>
      </c>
    </row>
    <row r="317" customFormat="false" ht="15" hidden="false" customHeight="false" outlineLevel="0" collapsed="false">
      <c r="B317" s="33"/>
      <c r="C317" s="30"/>
      <c r="D317" s="30"/>
      <c r="E317" s="31"/>
      <c r="F317" s="30"/>
      <c r="G317" s="30"/>
      <c r="H317" s="34" t="str">
        <f aca="false">IF(D317="","",IFERROR(INDEX(Categorias!$D$6:$D$45,MATCH(D317,Categorias!$B$6:$B$45,0))&amp;"",""))</f>
        <v/>
      </c>
      <c r="I317" s="35"/>
      <c r="J317" s="35"/>
      <c r="K317" s="35"/>
      <c r="L317" s="36" t="str">
        <f aca="false">IF(OR(H317="",COUNTIF(I317:K317,"S")+COUNTIF(I317:K317,"N")&lt;3),"",COUNTIF(I317:K317,"S")*IF(H317="S",5,IF(H317="M",4,IF(H317="E",3,2))))</f>
        <v/>
      </c>
      <c r="M317" s="37" t="str">
        <f aca="false">IF(L317="","",IF(L317&gt;=12,"Executar",IF(L317&gt;=8,"Executar com controle",IF(L317&gt;=5,"Postergar","Cancelar"))))</f>
        <v/>
      </c>
      <c r="O317" s="28" t="str">
        <f aca="false">IF(D317="","",IFERROR(INDEX(Categorias!$C$6:$C$45,MATCH(D317,Categorias!$B$6:$B$45,0)),"Sem grupo"))</f>
        <v/>
      </c>
      <c r="P317" s="38" t="str">
        <f aca="false">IF(B317="","",DATE(YEAR(B317),MONTH(B317),1))</f>
        <v/>
      </c>
    </row>
    <row r="318" customFormat="false" ht="15" hidden="false" customHeight="false" outlineLevel="0" collapsed="false">
      <c r="B318" s="33"/>
      <c r="C318" s="30"/>
      <c r="D318" s="30"/>
      <c r="E318" s="31"/>
      <c r="F318" s="30"/>
      <c r="G318" s="30"/>
      <c r="H318" s="34" t="str">
        <f aca="false">IF(D318="","",IFERROR(INDEX(Categorias!$D$6:$D$45,MATCH(D318,Categorias!$B$6:$B$45,0))&amp;"",""))</f>
        <v/>
      </c>
      <c r="I318" s="35"/>
      <c r="J318" s="35"/>
      <c r="K318" s="35"/>
      <c r="L318" s="36" t="str">
        <f aca="false">IF(OR(H318="",COUNTIF(I318:K318,"S")+COUNTIF(I318:K318,"N")&lt;3),"",COUNTIF(I318:K318,"S")*IF(H318="S",5,IF(H318="M",4,IF(H318="E",3,2))))</f>
        <v/>
      </c>
      <c r="M318" s="37" t="str">
        <f aca="false">IF(L318="","",IF(L318&gt;=12,"Executar",IF(L318&gt;=8,"Executar com controle",IF(L318&gt;=5,"Postergar","Cancelar"))))</f>
        <v/>
      </c>
      <c r="O318" s="28" t="str">
        <f aca="false">IF(D318="","",IFERROR(INDEX(Categorias!$C$6:$C$45,MATCH(D318,Categorias!$B$6:$B$45,0)),"Sem grupo"))</f>
        <v/>
      </c>
      <c r="P318" s="38" t="str">
        <f aca="false">IF(B318="","",DATE(YEAR(B318),MONTH(B318),1))</f>
        <v/>
      </c>
    </row>
    <row r="319" customFormat="false" ht="15" hidden="false" customHeight="false" outlineLevel="0" collapsed="false">
      <c r="B319" s="33"/>
      <c r="C319" s="30"/>
      <c r="D319" s="30"/>
      <c r="E319" s="31"/>
      <c r="F319" s="30"/>
      <c r="G319" s="30"/>
      <c r="H319" s="34" t="str">
        <f aca="false">IF(D319="","",IFERROR(INDEX(Categorias!$D$6:$D$45,MATCH(D319,Categorias!$B$6:$B$45,0))&amp;"",""))</f>
        <v/>
      </c>
      <c r="I319" s="35"/>
      <c r="J319" s="35"/>
      <c r="K319" s="35"/>
      <c r="L319" s="36" t="str">
        <f aca="false">IF(OR(H319="",COUNTIF(I319:K319,"S")+COUNTIF(I319:K319,"N")&lt;3),"",COUNTIF(I319:K319,"S")*IF(H319="S",5,IF(H319="M",4,IF(H319="E",3,2))))</f>
        <v/>
      </c>
      <c r="M319" s="37" t="str">
        <f aca="false">IF(L319="","",IF(L319&gt;=12,"Executar",IF(L319&gt;=8,"Executar com controle",IF(L319&gt;=5,"Postergar","Cancelar"))))</f>
        <v/>
      </c>
      <c r="O319" s="28" t="str">
        <f aca="false">IF(D319="","",IFERROR(INDEX(Categorias!$C$6:$C$45,MATCH(D319,Categorias!$B$6:$B$45,0)),"Sem grupo"))</f>
        <v/>
      </c>
      <c r="P319" s="38" t="str">
        <f aca="false">IF(B319="","",DATE(YEAR(B319),MONTH(B319),1))</f>
        <v/>
      </c>
    </row>
    <row r="320" customFormat="false" ht="15" hidden="false" customHeight="false" outlineLevel="0" collapsed="false">
      <c r="B320" s="33"/>
      <c r="C320" s="30"/>
      <c r="D320" s="30"/>
      <c r="E320" s="31"/>
      <c r="F320" s="30"/>
      <c r="G320" s="30"/>
      <c r="H320" s="34" t="str">
        <f aca="false">IF(D320="","",IFERROR(INDEX(Categorias!$D$6:$D$45,MATCH(D320,Categorias!$B$6:$B$45,0))&amp;"",""))</f>
        <v/>
      </c>
      <c r="I320" s="35"/>
      <c r="J320" s="35"/>
      <c r="K320" s="35"/>
      <c r="L320" s="36" t="str">
        <f aca="false">IF(OR(H320="",COUNTIF(I320:K320,"S")+COUNTIF(I320:K320,"N")&lt;3),"",COUNTIF(I320:K320,"S")*IF(H320="S",5,IF(H320="M",4,IF(H320="E",3,2))))</f>
        <v/>
      </c>
      <c r="M320" s="37" t="str">
        <f aca="false">IF(L320="","",IF(L320&gt;=12,"Executar",IF(L320&gt;=8,"Executar com controle",IF(L320&gt;=5,"Postergar","Cancelar"))))</f>
        <v/>
      </c>
      <c r="O320" s="28" t="str">
        <f aca="false">IF(D320="","",IFERROR(INDEX(Categorias!$C$6:$C$45,MATCH(D320,Categorias!$B$6:$B$45,0)),"Sem grupo"))</f>
        <v/>
      </c>
      <c r="P320" s="38" t="str">
        <f aca="false">IF(B320="","",DATE(YEAR(B320),MONTH(B320),1))</f>
        <v/>
      </c>
    </row>
    <row r="321" customFormat="false" ht="15" hidden="false" customHeight="false" outlineLevel="0" collapsed="false">
      <c r="B321" s="33"/>
      <c r="C321" s="30"/>
      <c r="D321" s="30"/>
      <c r="E321" s="31"/>
      <c r="F321" s="30"/>
      <c r="G321" s="30"/>
      <c r="H321" s="34" t="str">
        <f aca="false">IF(D321="","",IFERROR(INDEX(Categorias!$D$6:$D$45,MATCH(D321,Categorias!$B$6:$B$45,0))&amp;"",""))</f>
        <v/>
      </c>
      <c r="I321" s="35"/>
      <c r="J321" s="35"/>
      <c r="K321" s="35"/>
      <c r="L321" s="36" t="str">
        <f aca="false">IF(OR(H321="",COUNTIF(I321:K321,"S")+COUNTIF(I321:K321,"N")&lt;3),"",COUNTIF(I321:K321,"S")*IF(H321="S",5,IF(H321="M",4,IF(H321="E",3,2))))</f>
        <v/>
      </c>
      <c r="M321" s="37" t="str">
        <f aca="false">IF(L321="","",IF(L321&gt;=12,"Executar",IF(L321&gt;=8,"Executar com controle",IF(L321&gt;=5,"Postergar","Cancelar"))))</f>
        <v/>
      </c>
      <c r="O321" s="28" t="str">
        <f aca="false">IF(D321="","",IFERROR(INDEX(Categorias!$C$6:$C$45,MATCH(D321,Categorias!$B$6:$B$45,0)),"Sem grupo"))</f>
        <v/>
      </c>
      <c r="P321" s="38" t="str">
        <f aca="false">IF(B321="","",DATE(YEAR(B321),MONTH(B321),1))</f>
        <v/>
      </c>
    </row>
    <row r="322" customFormat="false" ht="15" hidden="false" customHeight="false" outlineLevel="0" collapsed="false">
      <c r="B322" s="33"/>
      <c r="C322" s="30"/>
      <c r="D322" s="30"/>
      <c r="E322" s="31"/>
      <c r="F322" s="30"/>
      <c r="G322" s="30"/>
      <c r="H322" s="34" t="str">
        <f aca="false">IF(D322="","",IFERROR(INDEX(Categorias!$D$6:$D$45,MATCH(D322,Categorias!$B$6:$B$45,0))&amp;"",""))</f>
        <v/>
      </c>
      <c r="I322" s="35"/>
      <c r="J322" s="35"/>
      <c r="K322" s="35"/>
      <c r="L322" s="36" t="str">
        <f aca="false">IF(OR(H322="",COUNTIF(I322:K322,"S")+COUNTIF(I322:K322,"N")&lt;3),"",COUNTIF(I322:K322,"S")*IF(H322="S",5,IF(H322="M",4,IF(H322="E",3,2))))</f>
        <v/>
      </c>
      <c r="M322" s="37" t="str">
        <f aca="false">IF(L322="","",IF(L322&gt;=12,"Executar",IF(L322&gt;=8,"Executar com controle",IF(L322&gt;=5,"Postergar","Cancelar"))))</f>
        <v/>
      </c>
      <c r="O322" s="28" t="str">
        <f aca="false">IF(D322="","",IFERROR(INDEX(Categorias!$C$6:$C$45,MATCH(D322,Categorias!$B$6:$B$45,0)),"Sem grupo"))</f>
        <v/>
      </c>
      <c r="P322" s="38" t="str">
        <f aca="false">IF(B322="","",DATE(YEAR(B322),MONTH(B322),1))</f>
        <v/>
      </c>
    </row>
    <row r="323" customFormat="false" ht="15" hidden="false" customHeight="false" outlineLevel="0" collapsed="false">
      <c r="B323" s="33"/>
      <c r="C323" s="30"/>
      <c r="D323" s="30"/>
      <c r="E323" s="31"/>
      <c r="F323" s="30"/>
      <c r="G323" s="30"/>
      <c r="H323" s="34" t="str">
        <f aca="false">IF(D323="","",IFERROR(INDEX(Categorias!$D$6:$D$45,MATCH(D323,Categorias!$B$6:$B$45,0))&amp;"",""))</f>
        <v/>
      </c>
      <c r="I323" s="35"/>
      <c r="J323" s="35"/>
      <c r="K323" s="35"/>
      <c r="L323" s="36" t="str">
        <f aca="false">IF(OR(H323="",COUNTIF(I323:K323,"S")+COUNTIF(I323:K323,"N")&lt;3),"",COUNTIF(I323:K323,"S")*IF(H323="S",5,IF(H323="M",4,IF(H323="E",3,2))))</f>
        <v/>
      </c>
      <c r="M323" s="37" t="str">
        <f aca="false">IF(L323="","",IF(L323&gt;=12,"Executar",IF(L323&gt;=8,"Executar com controle",IF(L323&gt;=5,"Postergar","Cancelar"))))</f>
        <v/>
      </c>
      <c r="O323" s="28" t="str">
        <f aca="false">IF(D323="","",IFERROR(INDEX(Categorias!$C$6:$C$45,MATCH(D323,Categorias!$B$6:$B$45,0)),"Sem grupo"))</f>
        <v/>
      </c>
      <c r="P323" s="38" t="str">
        <f aca="false">IF(B323="","",DATE(YEAR(B323),MONTH(B323),1))</f>
        <v/>
      </c>
    </row>
    <row r="324" customFormat="false" ht="15" hidden="false" customHeight="false" outlineLevel="0" collapsed="false">
      <c r="B324" s="33"/>
      <c r="C324" s="30"/>
      <c r="D324" s="30"/>
      <c r="E324" s="31"/>
      <c r="F324" s="30"/>
      <c r="G324" s="30"/>
      <c r="H324" s="34" t="str">
        <f aca="false">IF(D324="","",IFERROR(INDEX(Categorias!$D$6:$D$45,MATCH(D324,Categorias!$B$6:$B$45,0))&amp;"",""))</f>
        <v/>
      </c>
      <c r="I324" s="35"/>
      <c r="J324" s="35"/>
      <c r="K324" s="35"/>
      <c r="L324" s="36" t="str">
        <f aca="false">IF(OR(H324="",COUNTIF(I324:K324,"S")+COUNTIF(I324:K324,"N")&lt;3),"",COUNTIF(I324:K324,"S")*IF(H324="S",5,IF(H324="M",4,IF(H324="E",3,2))))</f>
        <v/>
      </c>
      <c r="M324" s="37" t="str">
        <f aca="false">IF(L324="","",IF(L324&gt;=12,"Executar",IF(L324&gt;=8,"Executar com controle",IF(L324&gt;=5,"Postergar","Cancelar"))))</f>
        <v/>
      </c>
      <c r="O324" s="28" t="str">
        <f aca="false">IF(D324="","",IFERROR(INDEX(Categorias!$C$6:$C$45,MATCH(D324,Categorias!$B$6:$B$45,0)),"Sem grupo"))</f>
        <v/>
      </c>
      <c r="P324" s="38" t="str">
        <f aca="false">IF(B324="","",DATE(YEAR(B324),MONTH(B324),1))</f>
        <v/>
      </c>
    </row>
    <row r="325" customFormat="false" ht="15" hidden="false" customHeight="false" outlineLevel="0" collapsed="false">
      <c r="B325" s="33"/>
      <c r="C325" s="30"/>
      <c r="D325" s="30"/>
      <c r="E325" s="31"/>
      <c r="F325" s="30"/>
      <c r="G325" s="30"/>
      <c r="H325" s="34" t="str">
        <f aca="false">IF(D325="","",IFERROR(INDEX(Categorias!$D$6:$D$45,MATCH(D325,Categorias!$B$6:$B$45,0))&amp;"",""))</f>
        <v/>
      </c>
      <c r="I325" s="35"/>
      <c r="J325" s="35"/>
      <c r="K325" s="35"/>
      <c r="L325" s="36" t="str">
        <f aca="false">IF(OR(H325="",COUNTIF(I325:K325,"S")+COUNTIF(I325:K325,"N")&lt;3),"",COUNTIF(I325:K325,"S")*IF(H325="S",5,IF(H325="M",4,IF(H325="E",3,2))))</f>
        <v/>
      </c>
      <c r="M325" s="37" t="str">
        <f aca="false">IF(L325="","",IF(L325&gt;=12,"Executar",IF(L325&gt;=8,"Executar com controle",IF(L325&gt;=5,"Postergar","Cancelar"))))</f>
        <v/>
      </c>
      <c r="O325" s="28" t="str">
        <f aca="false">IF(D325="","",IFERROR(INDEX(Categorias!$C$6:$C$45,MATCH(D325,Categorias!$B$6:$B$45,0)),"Sem grupo"))</f>
        <v/>
      </c>
      <c r="P325" s="38" t="str">
        <f aca="false">IF(B325="","",DATE(YEAR(B325),MONTH(B325),1))</f>
        <v/>
      </c>
    </row>
    <row r="326" customFormat="false" ht="15" hidden="false" customHeight="false" outlineLevel="0" collapsed="false">
      <c r="B326" s="33"/>
      <c r="C326" s="30"/>
      <c r="D326" s="30"/>
      <c r="E326" s="31"/>
      <c r="F326" s="30"/>
      <c r="G326" s="30"/>
      <c r="H326" s="34" t="str">
        <f aca="false">IF(D326="","",IFERROR(INDEX(Categorias!$D$6:$D$45,MATCH(D326,Categorias!$B$6:$B$45,0))&amp;"",""))</f>
        <v/>
      </c>
      <c r="I326" s="35"/>
      <c r="J326" s="35"/>
      <c r="K326" s="35"/>
      <c r="L326" s="36" t="str">
        <f aca="false">IF(OR(H326="",COUNTIF(I326:K326,"S")+COUNTIF(I326:K326,"N")&lt;3),"",COUNTIF(I326:K326,"S")*IF(H326="S",5,IF(H326="M",4,IF(H326="E",3,2))))</f>
        <v/>
      </c>
      <c r="M326" s="37" t="str">
        <f aca="false">IF(L326="","",IF(L326&gt;=12,"Executar",IF(L326&gt;=8,"Executar com controle",IF(L326&gt;=5,"Postergar","Cancelar"))))</f>
        <v/>
      </c>
      <c r="O326" s="28" t="str">
        <f aca="false">IF(D326="","",IFERROR(INDEX(Categorias!$C$6:$C$45,MATCH(D326,Categorias!$B$6:$B$45,0)),"Sem grupo"))</f>
        <v/>
      </c>
      <c r="P326" s="38" t="str">
        <f aca="false">IF(B326="","",DATE(YEAR(B326),MONTH(B326),1))</f>
        <v/>
      </c>
    </row>
    <row r="327" customFormat="false" ht="15" hidden="false" customHeight="false" outlineLevel="0" collapsed="false">
      <c r="B327" s="33"/>
      <c r="C327" s="30"/>
      <c r="D327" s="30"/>
      <c r="E327" s="31"/>
      <c r="F327" s="30"/>
      <c r="G327" s="30"/>
      <c r="H327" s="34" t="str">
        <f aca="false">IF(D327="","",IFERROR(INDEX(Categorias!$D$6:$D$45,MATCH(D327,Categorias!$B$6:$B$45,0))&amp;"",""))</f>
        <v/>
      </c>
      <c r="I327" s="35"/>
      <c r="J327" s="35"/>
      <c r="K327" s="35"/>
      <c r="L327" s="36" t="str">
        <f aca="false">IF(OR(H327="",COUNTIF(I327:K327,"S")+COUNTIF(I327:K327,"N")&lt;3),"",COUNTIF(I327:K327,"S")*IF(H327="S",5,IF(H327="M",4,IF(H327="E",3,2))))</f>
        <v/>
      </c>
      <c r="M327" s="37" t="str">
        <f aca="false">IF(L327="","",IF(L327&gt;=12,"Executar",IF(L327&gt;=8,"Executar com controle",IF(L327&gt;=5,"Postergar","Cancelar"))))</f>
        <v/>
      </c>
      <c r="O327" s="28" t="str">
        <f aca="false">IF(D327="","",IFERROR(INDEX(Categorias!$C$6:$C$45,MATCH(D327,Categorias!$B$6:$B$45,0)),"Sem grupo"))</f>
        <v/>
      </c>
      <c r="P327" s="38" t="str">
        <f aca="false">IF(B327="","",DATE(YEAR(B327),MONTH(B327),1))</f>
        <v/>
      </c>
    </row>
    <row r="328" customFormat="false" ht="15" hidden="false" customHeight="false" outlineLevel="0" collapsed="false">
      <c r="B328" s="33"/>
      <c r="C328" s="30"/>
      <c r="D328" s="30"/>
      <c r="E328" s="31"/>
      <c r="F328" s="30"/>
      <c r="G328" s="30"/>
      <c r="H328" s="34" t="str">
        <f aca="false">IF(D328="","",IFERROR(INDEX(Categorias!$D$6:$D$45,MATCH(D328,Categorias!$B$6:$B$45,0))&amp;"",""))</f>
        <v/>
      </c>
      <c r="I328" s="35"/>
      <c r="J328" s="35"/>
      <c r="K328" s="35"/>
      <c r="L328" s="36" t="str">
        <f aca="false">IF(OR(H328="",COUNTIF(I328:K328,"S")+COUNTIF(I328:K328,"N")&lt;3),"",COUNTIF(I328:K328,"S")*IF(H328="S",5,IF(H328="M",4,IF(H328="E",3,2))))</f>
        <v/>
      </c>
      <c r="M328" s="37" t="str">
        <f aca="false">IF(L328="","",IF(L328&gt;=12,"Executar",IF(L328&gt;=8,"Executar com controle",IF(L328&gt;=5,"Postergar","Cancelar"))))</f>
        <v/>
      </c>
      <c r="O328" s="28" t="str">
        <f aca="false">IF(D328="","",IFERROR(INDEX(Categorias!$C$6:$C$45,MATCH(D328,Categorias!$B$6:$B$45,0)),"Sem grupo"))</f>
        <v/>
      </c>
      <c r="P328" s="38" t="str">
        <f aca="false">IF(B328="","",DATE(YEAR(B328),MONTH(B328),1))</f>
        <v/>
      </c>
    </row>
    <row r="329" customFormat="false" ht="15" hidden="false" customHeight="false" outlineLevel="0" collapsed="false">
      <c r="B329" s="33"/>
      <c r="C329" s="30"/>
      <c r="D329" s="30"/>
      <c r="E329" s="31"/>
      <c r="F329" s="30"/>
      <c r="G329" s="30"/>
      <c r="H329" s="34" t="str">
        <f aca="false">IF(D329="","",IFERROR(INDEX(Categorias!$D$6:$D$45,MATCH(D329,Categorias!$B$6:$B$45,0))&amp;"",""))</f>
        <v/>
      </c>
      <c r="I329" s="35"/>
      <c r="J329" s="35"/>
      <c r="K329" s="35"/>
      <c r="L329" s="36" t="str">
        <f aca="false">IF(OR(H329="",COUNTIF(I329:K329,"S")+COUNTIF(I329:K329,"N")&lt;3),"",COUNTIF(I329:K329,"S")*IF(H329="S",5,IF(H329="M",4,IF(H329="E",3,2))))</f>
        <v/>
      </c>
      <c r="M329" s="37" t="str">
        <f aca="false">IF(L329="","",IF(L329&gt;=12,"Executar",IF(L329&gt;=8,"Executar com controle",IF(L329&gt;=5,"Postergar","Cancelar"))))</f>
        <v/>
      </c>
      <c r="O329" s="28" t="str">
        <f aca="false">IF(D329="","",IFERROR(INDEX(Categorias!$C$6:$C$45,MATCH(D329,Categorias!$B$6:$B$45,0)),"Sem grupo"))</f>
        <v/>
      </c>
      <c r="P329" s="38" t="str">
        <f aca="false">IF(B329="","",DATE(YEAR(B329),MONTH(B329),1))</f>
        <v/>
      </c>
    </row>
    <row r="330" customFormat="false" ht="15" hidden="false" customHeight="false" outlineLevel="0" collapsed="false">
      <c r="B330" s="33"/>
      <c r="C330" s="30"/>
      <c r="D330" s="30"/>
      <c r="E330" s="31"/>
      <c r="F330" s="30"/>
      <c r="G330" s="30"/>
      <c r="H330" s="34" t="str">
        <f aca="false">IF(D330="","",IFERROR(INDEX(Categorias!$D$6:$D$45,MATCH(D330,Categorias!$B$6:$B$45,0))&amp;"",""))</f>
        <v/>
      </c>
      <c r="I330" s="35"/>
      <c r="J330" s="35"/>
      <c r="K330" s="35"/>
      <c r="L330" s="36" t="str">
        <f aca="false">IF(OR(H330="",COUNTIF(I330:K330,"S")+COUNTIF(I330:K330,"N")&lt;3),"",COUNTIF(I330:K330,"S")*IF(H330="S",5,IF(H330="M",4,IF(H330="E",3,2))))</f>
        <v/>
      </c>
      <c r="M330" s="37" t="str">
        <f aca="false">IF(L330="","",IF(L330&gt;=12,"Executar",IF(L330&gt;=8,"Executar com controle",IF(L330&gt;=5,"Postergar","Cancelar"))))</f>
        <v/>
      </c>
      <c r="O330" s="28" t="str">
        <f aca="false">IF(D330="","",IFERROR(INDEX(Categorias!$C$6:$C$45,MATCH(D330,Categorias!$B$6:$B$45,0)),"Sem grupo"))</f>
        <v/>
      </c>
      <c r="P330" s="38" t="str">
        <f aca="false">IF(B330="","",DATE(YEAR(B330),MONTH(B330),1))</f>
        <v/>
      </c>
    </row>
    <row r="331" customFormat="false" ht="15" hidden="false" customHeight="false" outlineLevel="0" collapsed="false">
      <c r="B331" s="33"/>
      <c r="C331" s="30"/>
      <c r="D331" s="30"/>
      <c r="E331" s="31"/>
      <c r="F331" s="30"/>
      <c r="G331" s="30"/>
      <c r="H331" s="34" t="str">
        <f aca="false">IF(D331="","",IFERROR(INDEX(Categorias!$D$6:$D$45,MATCH(D331,Categorias!$B$6:$B$45,0))&amp;"",""))</f>
        <v/>
      </c>
      <c r="I331" s="35"/>
      <c r="J331" s="35"/>
      <c r="K331" s="35"/>
      <c r="L331" s="36" t="str">
        <f aca="false">IF(OR(H331="",COUNTIF(I331:K331,"S")+COUNTIF(I331:K331,"N")&lt;3),"",COUNTIF(I331:K331,"S")*IF(H331="S",5,IF(H331="M",4,IF(H331="E",3,2))))</f>
        <v/>
      </c>
      <c r="M331" s="37" t="str">
        <f aca="false">IF(L331="","",IF(L331&gt;=12,"Executar",IF(L331&gt;=8,"Executar com controle",IF(L331&gt;=5,"Postergar","Cancelar"))))</f>
        <v/>
      </c>
      <c r="O331" s="28" t="str">
        <f aca="false">IF(D331="","",IFERROR(INDEX(Categorias!$C$6:$C$45,MATCH(D331,Categorias!$B$6:$B$45,0)),"Sem grupo"))</f>
        <v/>
      </c>
      <c r="P331" s="38" t="str">
        <f aca="false">IF(B331="","",DATE(YEAR(B331),MONTH(B331),1))</f>
        <v/>
      </c>
    </row>
    <row r="332" customFormat="false" ht="15" hidden="false" customHeight="false" outlineLevel="0" collapsed="false">
      <c r="B332" s="33"/>
      <c r="C332" s="30"/>
      <c r="D332" s="30"/>
      <c r="E332" s="31"/>
      <c r="F332" s="30"/>
      <c r="G332" s="30"/>
      <c r="H332" s="34" t="str">
        <f aca="false">IF(D332="","",IFERROR(INDEX(Categorias!$D$6:$D$45,MATCH(D332,Categorias!$B$6:$B$45,0))&amp;"",""))</f>
        <v/>
      </c>
      <c r="I332" s="35"/>
      <c r="J332" s="35"/>
      <c r="K332" s="35"/>
      <c r="L332" s="36" t="str">
        <f aca="false">IF(OR(H332="",COUNTIF(I332:K332,"S")+COUNTIF(I332:K332,"N")&lt;3),"",COUNTIF(I332:K332,"S")*IF(H332="S",5,IF(H332="M",4,IF(H332="E",3,2))))</f>
        <v/>
      </c>
      <c r="M332" s="37" t="str">
        <f aca="false">IF(L332="","",IF(L332&gt;=12,"Executar",IF(L332&gt;=8,"Executar com controle",IF(L332&gt;=5,"Postergar","Cancelar"))))</f>
        <v/>
      </c>
      <c r="O332" s="28" t="str">
        <f aca="false">IF(D332="","",IFERROR(INDEX(Categorias!$C$6:$C$45,MATCH(D332,Categorias!$B$6:$B$45,0)),"Sem grupo"))</f>
        <v/>
      </c>
      <c r="P332" s="38" t="str">
        <f aca="false">IF(B332="","",DATE(YEAR(B332),MONTH(B332),1))</f>
        <v/>
      </c>
    </row>
    <row r="333" customFormat="false" ht="15" hidden="false" customHeight="false" outlineLevel="0" collapsed="false">
      <c r="B333" s="33"/>
      <c r="C333" s="30"/>
      <c r="D333" s="30"/>
      <c r="E333" s="31"/>
      <c r="F333" s="30"/>
      <c r="G333" s="30"/>
      <c r="H333" s="34" t="str">
        <f aca="false">IF(D333="","",IFERROR(INDEX(Categorias!$D$6:$D$45,MATCH(D333,Categorias!$B$6:$B$45,0))&amp;"",""))</f>
        <v/>
      </c>
      <c r="I333" s="35"/>
      <c r="J333" s="35"/>
      <c r="K333" s="35"/>
      <c r="L333" s="36" t="str">
        <f aca="false">IF(OR(H333="",COUNTIF(I333:K333,"S")+COUNTIF(I333:K333,"N")&lt;3),"",COUNTIF(I333:K333,"S")*IF(H333="S",5,IF(H333="M",4,IF(H333="E",3,2))))</f>
        <v/>
      </c>
      <c r="M333" s="37" t="str">
        <f aca="false">IF(L333="","",IF(L333&gt;=12,"Executar",IF(L333&gt;=8,"Executar com controle",IF(L333&gt;=5,"Postergar","Cancelar"))))</f>
        <v/>
      </c>
      <c r="O333" s="28" t="str">
        <f aca="false">IF(D333="","",IFERROR(INDEX(Categorias!$C$6:$C$45,MATCH(D333,Categorias!$B$6:$B$45,0)),"Sem grupo"))</f>
        <v/>
      </c>
      <c r="P333" s="38" t="str">
        <f aca="false">IF(B333="","",DATE(YEAR(B333),MONTH(B333),1))</f>
        <v/>
      </c>
    </row>
    <row r="334" customFormat="false" ht="15" hidden="false" customHeight="false" outlineLevel="0" collapsed="false">
      <c r="B334" s="33"/>
      <c r="C334" s="30"/>
      <c r="D334" s="30"/>
      <c r="E334" s="31"/>
      <c r="F334" s="30"/>
      <c r="G334" s="30"/>
      <c r="H334" s="34" t="str">
        <f aca="false">IF(D334="","",IFERROR(INDEX(Categorias!$D$6:$D$45,MATCH(D334,Categorias!$B$6:$B$45,0))&amp;"",""))</f>
        <v/>
      </c>
      <c r="I334" s="35"/>
      <c r="J334" s="35"/>
      <c r="K334" s="35"/>
      <c r="L334" s="36" t="str">
        <f aca="false">IF(OR(H334="",COUNTIF(I334:K334,"S")+COUNTIF(I334:K334,"N")&lt;3),"",COUNTIF(I334:K334,"S")*IF(H334="S",5,IF(H334="M",4,IF(H334="E",3,2))))</f>
        <v/>
      </c>
      <c r="M334" s="37" t="str">
        <f aca="false">IF(L334="","",IF(L334&gt;=12,"Executar",IF(L334&gt;=8,"Executar com controle",IF(L334&gt;=5,"Postergar","Cancelar"))))</f>
        <v/>
      </c>
      <c r="O334" s="28" t="str">
        <f aca="false">IF(D334="","",IFERROR(INDEX(Categorias!$C$6:$C$45,MATCH(D334,Categorias!$B$6:$B$45,0)),"Sem grupo"))</f>
        <v/>
      </c>
      <c r="P334" s="38" t="str">
        <f aca="false">IF(B334="","",DATE(YEAR(B334),MONTH(B334),1))</f>
        <v/>
      </c>
    </row>
    <row r="335" customFormat="false" ht="15" hidden="false" customHeight="false" outlineLevel="0" collapsed="false">
      <c r="B335" s="33"/>
      <c r="C335" s="30"/>
      <c r="D335" s="30"/>
      <c r="E335" s="31"/>
      <c r="F335" s="30"/>
      <c r="G335" s="30"/>
      <c r="H335" s="34" t="str">
        <f aca="false">IF(D335="","",IFERROR(INDEX(Categorias!$D$6:$D$45,MATCH(D335,Categorias!$B$6:$B$45,0))&amp;"",""))</f>
        <v/>
      </c>
      <c r="I335" s="35"/>
      <c r="J335" s="35"/>
      <c r="K335" s="35"/>
      <c r="L335" s="36" t="str">
        <f aca="false">IF(OR(H335="",COUNTIF(I335:K335,"S")+COUNTIF(I335:K335,"N")&lt;3),"",COUNTIF(I335:K335,"S")*IF(H335="S",5,IF(H335="M",4,IF(H335="E",3,2))))</f>
        <v/>
      </c>
      <c r="M335" s="37" t="str">
        <f aca="false">IF(L335="","",IF(L335&gt;=12,"Executar",IF(L335&gt;=8,"Executar com controle",IF(L335&gt;=5,"Postergar","Cancelar"))))</f>
        <v/>
      </c>
      <c r="O335" s="28" t="str">
        <f aca="false">IF(D335="","",IFERROR(INDEX(Categorias!$C$6:$C$45,MATCH(D335,Categorias!$B$6:$B$45,0)),"Sem grupo"))</f>
        <v/>
      </c>
      <c r="P335" s="38" t="str">
        <f aca="false">IF(B335="","",DATE(YEAR(B335),MONTH(B335),1))</f>
        <v/>
      </c>
    </row>
    <row r="336" customFormat="false" ht="15" hidden="false" customHeight="false" outlineLevel="0" collapsed="false">
      <c r="B336" s="33"/>
      <c r="C336" s="30"/>
      <c r="D336" s="30"/>
      <c r="E336" s="31"/>
      <c r="F336" s="30"/>
      <c r="G336" s="30"/>
      <c r="H336" s="34" t="str">
        <f aca="false">IF(D336="","",IFERROR(INDEX(Categorias!$D$6:$D$45,MATCH(D336,Categorias!$B$6:$B$45,0))&amp;"",""))</f>
        <v/>
      </c>
      <c r="I336" s="35"/>
      <c r="J336" s="35"/>
      <c r="K336" s="35"/>
      <c r="L336" s="36" t="str">
        <f aca="false">IF(OR(H336="",COUNTIF(I336:K336,"S")+COUNTIF(I336:K336,"N")&lt;3),"",COUNTIF(I336:K336,"S")*IF(H336="S",5,IF(H336="M",4,IF(H336="E",3,2))))</f>
        <v/>
      </c>
      <c r="M336" s="37" t="str">
        <f aca="false">IF(L336="","",IF(L336&gt;=12,"Executar",IF(L336&gt;=8,"Executar com controle",IF(L336&gt;=5,"Postergar","Cancelar"))))</f>
        <v/>
      </c>
      <c r="O336" s="28" t="str">
        <f aca="false">IF(D336="","",IFERROR(INDEX(Categorias!$C$6:$C$45,MATCH(D336,Categorias!$B$6:$B$45,0)),"Sem grupo"))</f>
        <v/>
      </c>
      <c r="P336" s="38" t="str">
        <f aca="false">IF(B336="","",DATE(YEAR(B336),MONTH(B336),1))</f>
        <v/>
      </c>
    </row>
    <row r="337" customFormat="false" ht="15" hidden="false" customHeight="false" outlineLevel="0" collapsed="false">
      <c r="B337" s="33"/>
      <c r="C337" s="30"/>
      <c r="D337" s="30"/>
      <c r="E337" s="31"/>
      <c r="F337" s="30"/>
      <c r="G337" s="30"/>
      <c r="H337" s="34" t="str">
        <f aca="false">IF(D337="","",IFERROR(INDEX(Categorias!$D$6:$D$45,MATCH(D337,Categorias!$B$6:$B$45,0))&amp;"",""))</f>
        <v/>
      </c>
      <c r="I337" s="35"/>
      <c r="J337" s="35"/>
      <c r="K337" s="35"/>
      <c r="L337" s="36" t="str">
        <f aca="false">IF(OR(H337="",COUNTIF(I337:K337,"S")+COUNTIF(I337:K337,"N")&lt;3),"",COUNTIF(I337:K337,"S")*IF(H337="S",5,IF(H337="M",4,IF(H337="E",3,2))))</f>
        <v/>
      </c>
      <c r="M337" s="37" t="str">
        <f aca="false">IF(L337="","",IF(L337&gt;=12,"Executar",IF(L337&gt;=8,"Executar com controle",IF(L337&gt;=5,"Postergar","Cancelar"))))</f>
        <v/>
      </c>
      <c r="O337" s="28" t="str">
        <f aca="false">IF(D337="","",IFERROR(INDEX(Categorias!$C$6:$C$45,MATCH(D337,Categorias!$B$6:$B$45,0)),"Sem grupo"))</f>
        <v/>
      </c>
      <c r="P337" s="38" t="str">
        <f aca="false">IF(B337="","",DATE(YEAR(B337),MONTH(B337),1))</f>
        <v/>
      </c>
    </row>
    <row r="338" customFormat="false" ht="15" hidden="false" customHeight="false" outlineLevel="0" collapsed="false">
      <c r="B338" s="33"/>
      <c r="C338" s="30"/>
      <c r="D338" s="30"/>
      <c r="E338" s="31"/>
      <c r="F338" s="30"/>
      <c r="G338" s="30"/>
      <c r="H338" s="34" t="str">
        <f aca="false">IF(D338="","",IFERROR(INDEX(Categorias!$D$6:$D$45,MATCH(D338,Categorias!$B$6:$B$45,0))&amp;"",""))</f>
        <v/>
      </c>
      <c r="I338" s="35"/>
      <c r="J338" s="35"/>
      <c r="K338" s="35"/>
      <c r="L338" s="36" t="str">
        <f aca="false">IF(OR(H338="",COUNTIF(I338:K338,"S")+COUNTIF(I338:K338,"N")&lt;3),"",COUNTIF(I338:K338,"S")*IF(H338="S",5,IF(H338="M",4,IF(H338="E",3,2))))</f>
        <v/>
      </c>
      <c r="M338" s="37" t="str">
        <f aca="false">IF(L338="","",IF(L338&gt;=12,"Executar",IF(L338&gt;=8,"Executar com controle",IF(L338&gt;=5,"Postergar","Cancelar"))))</f>
        <v/>
      </c>
      <c r="O338" s="28" t="str">
        <f aca="false">IF(D338="","",IFERROR(INDEX(Categorias!$C$6:$C$45,MATCH(D338,Categorias!$B$6:$B$45,0)),"Sem grupo"))</f>
        <v/>
      </c>
      <c r="P338" s="38" t="str">
        <f aca="false">IF(B338="","",DATE(YEAR(B338),MONTH(B338),1))</f>
        <v/>
      </c>
    </row>
    <row r="339" customFormat="false" ht="15" hidden="false" customHeight="false" outlineLevel="0" collapsed="false">
      <c r="B339" s="33"/>
      <c r="C339" s="30"/>
      <c r="D339" s="30"/>
      <c r="E339" s="31"/>
      <c r="F339" s="30"/>
      <c r="G339" s="30"/>
      <c r="H339" s="34" t="str">
        <f aca="false">IF(D339="","",IFERROR(INDEX(Categorias!$D$6:$D$45,MATCH(D339,Categorias!$B$6:$B$45,0))&amp;"",""))</f>
        <v/>
      </c>
      <c r="I339" s="35"/>
      <c r="J339" s="35"/>
      <c r="K339" s="35"/>
      <c r="L339" s="36" t="str">
        <f aca="false">IF(OR(H339="",COUNTIF(I339:K339,"S")+COUNTIF(I339:K339,"N")&lt;3),"",COUNTIF(I339:K339,"S")*IF(H339="S",5,IF(H339="M",4,IF(H339="E",3,2))))</f>
        <v/>
      </c>
      <c r="M339" s="37" t="str">
        <f aca="false">IF(L339="","",IF(L339&gt;=12,"Executar",IF(L339&gt;=8,"Executar com controle",IF(L339&gt;=5,"Postergar","Cancelar"))))</f>
        <v/>
      </c>
      <c r="O339" s="28" t="str">
        <f aca="false">IF(D339="","",IFERROR(INDEX(Categorias!$C$6:$C$45,MATCH(D339,Categorias!$B$6:$B$45,0)),"Sem grupo"))</f>
        <v/>
      </c>
      <c r="P339" s="38" t="str">
        <f aca="false">IF(B339="","",DATE(YEAR(B339),MONTH(B339),1))</f>
        <v/>
      </c>
    </row>
    <row r="340" customFormat="false" ht="15" hidden="false" customHeight="false" outlineLevel="0" collapsed="false">
      <c r="B340" s="33"/>
      <c r="C340" s="30"/>
      <c r="D340" s="30"/>
      <c r="E340" s="31"/>
      <c r="F340" s="30"/>
      <c r="G340" s="30"/>
      <c r="H340" s="34" t="str">
        <f aca="false">IF(D340="","",IFERROR(INDEX(Categorias!$D$6:$D$45,MATCH(D340,Categorias!$B$6:$B$45,0))&amp;"",""))</f>
        <v/>
      </c>
      <c r="I340" s="35"/>
      <c r="J340" s="35"/>
      <c r="K340" s="35"/>
      <c r="L340" s="36" t="str">
        <f aca="false">IF(OR(H340="",COUNTIF(I340:K340,"S")+COUNTIF(I340:K340,"N")&lt;3),"",COUNTIF(I340:K340,"S")*IF(H340="S",5,IF(H340="M",4,IF(H340="E",3,2))))</f>
        <v/>
      </c>
      <c r="M340" s="37" t="str">
        <f aca="false">IF(L340="","",IF(L340&gt;=12,"Executar",IF(L340&gt;=8,"Executar com controle",IF(L340&gt;=5,"Postergar","Cancelar"))))</f>
        <v/>
      </c>
      <c r="O340" s="28" t="str">
        <f aca="false">IF(D340="","",IFERROR(INDEX(Categorias!$C$6:$C$45,MATCH(D340,Categorias!$B$6:$B$45,0)),"Sem grupo"))</f>
        <v/>
      </c>
      <c r="P340" s="38" t="str">
        <f aca="false">IF(B340="","",DATE(YEAR(B340),MONTH(B340),1))</f>
        <v/>
      </c>
    </row>
    <row r="341" customFormat="false" ht="15" hidden="false" customHeight="false" outlineLevel="0" collapsed="false">
      <c r="B341" s="33"/>
      <c r="C341" s="30"/>
      <c r="D341" s="30"/>
      <c r="E341" s="31"/>
      <c r="F341" s="30"/>
      <c r="G341" s="30"/>
      <c r="H341" s="34" t="str">
        <f aca="false">IF(D341="","",IFERROR(INDEX(Categorias!$D$6:$D$45,MATCH(D341,Categorias!$B$6:$B$45,0))&amp;"",""))</f>
        <v/>
      </c>
      <c r="I341" s="35"/>
      <c r="J341" s="35"/>
      <c r="K341" s="35"/>
      <c r="L341" s="36" t="str">
        <f aca="false">IF(OR(H341="",COUNTIF(I341:K341,"S")+COUNTIF(I341:K341,"N")&lt;3),"",COUNTIF(I341:K341,"S")*IF(H341="S",5,IF(H341="M",4,IF(H341="E",3,2))))</f>
        <v/>
      </c>
      <c r="M341" s="37" t="str">
        <f aca="false">IF(L341="","",IF(L341&gt;=12,"Executar",IF(L341&gt;=8,"Executar com controle",IF(L341&gt;=5,"Postergar","Cancelar"))))</f>
        <v/>
      </c>
      <c r="O341" s="28" t="str">
        <f aca="false">IF(D341="","",IFERROR(INDEX(Categorias!$C$6:$C$45,MATCH(D341,Categorias!$B$6:$B$45,0)),"Sem grupo"))</f>
        <v/>
      </c>
      <c r="P341" s="38" t="str">
        <f aca="false">IF(B341="","",DATE(YEAR(B341),MONTH(B341),1))</f>
        <v/>
      </c>
    </row>
    <row r="342" customFormat="false" ht="15" hidden="false" customHeight="false" outlineLevel="0" collapsed="false">
      <c r="B342" s="33"/>
      <c r="C342" s="30"/>
      <c r="D342" s="30"/>
      <c r="E342" s="31"/>
      <c r="F342" s="30"/>
      <c r="G342" s="30"/>
      <c r="H342" s="34" t="str">
        <f aca="false">IF(D342="","",IFERROR(INDEX(Categorias!$D$6:$D$45,MATCH(D342,Categorias!$B$6:$B$45,0))&amp;"",""))</f>
        <v/>
      </c>
      <c r="I342" s="35"/>
      <c r="J342" s="35"/>
      <c r="K342" s="35"/>
      <c r="L342" s="36" t="str">
        <f aca="false">IF(OR(H342="",COUNTIF(I342:K342,"S")+COUNTIF(I342:K342,"N")&lt;3),"",COUNTIF(I342:K342,"S")*IF(H342="S",5,IF(H342="M",4,IF(H342="E",3,2))))</f>
        <v/>
      </c>
      <c r="M342" s="37" t="str">
        <f aca="false">IF(L342="","",IF(L342&gt;=12,"Executar",IF(L342&gt;=8,"Executar com controle",IF(L342&gt;=5,"Postergar","Cancelar"))))</f>
        <v/>
      </c>
      <c r="O342" s="28" t="str">
        <f aca="false">IF(D342="","",IFERROR(INDEX(Categorias!$C$6:$C$45,MATCH(D342,Categorias!$B$6:$B$45,0)),"Sem grupo"))</f>
        <v/>
      </c>
      <c r="P342" s="38" t="str">
        <f aca="false">IF(B342="","",DATE(YEAR(B342),MONTH(B342),1))</f>
        <v/>
      </c>
    </row>
    <row r="343" customFormat="false" ht="15" hidden="false" customHeight="false" outlineLevel="0" collapsed="false">
      <c r="B343" s="33"/>
      <c r="C343" s="30"/>
      <c r="D343" s="30"/>
      <c r="E343" s="31"/>
      <c r="F343" s="30"/>
      <c r="G343" s="30"/>
      <c r="H343" s="34" t="str">
        <f aca="false">IF(D343="","",IFERROR(INDEX(Categorias!$D$6:$D$45,MATCH(D343,Categorias!$B$6:$B$45,0))&amp;"",""))</f>
        <v/>
      </c>
      <c r="I343" s="35"/>
      <c r="J343" s="35"/>
      <c r="K343" s="35"/>
      <c r="L343" s="36" t="str">
        <f aca="false">IF(OR(H343="",COUNTIF(I343:K343,"S")+COUNTIF(I343:K343,"N")&lt;3),"",COUNTIF(I343:K343,"S")*IF(H343="S",5,IF(H343="M",4,IF(H343="E",3,2))))</f>
        <v/>
      </c>
      <c r="M343" s="37" t="str">
        <f aca="false">IF(L343="","",IF(L343&gt;=12,"Executar",IF(L343&gt;=8,"Executar com controle",IF(L343&gt;=5,"Postergar","Cancelar"))))</f>
        <v/>
      </c>
      <c r="O343" s="28" t="str">
        <f aca="false">IF(D343="","",IFERROR(INDEX(Categorias!$C$6:$C$45,MATCH(D343,Categorias!$B$6:$B$45,0)),"Sem grupo"))</f>
        <v/>
      </c>
      <c r="P343" s="38" t="str">
        <f aca="false">IF(B343="","",DATE(YEAR(B343),MONTH(B343),1))</f>
        <v/>
      </c>
    </row>
    <row r="344" customFormat="false" ht="15" hidden="false" customHeight="false" outlineLevel="0" collapsed="false">
      <c r="B344" s="33"/>
      <c r="C344" s="30"/>
      <c r="D344" s="30"/>
      <c r="E344" s="31"/>
      <c r="F344" s="30"/>
      <c r="G344" s="30"/>
      <c r="H344" s="34" t="str">
        <f aca="false">IF(D344="","",IFERROR(INDEX(Categorias!$D$6:$D$45,MATCH(D344,Categorias!$B$6:$B$45,0))&amp;"",""))</f>
        <v/>
      </c>
      <c r="I344" s="35"/>
      <c r="J344" s="35"/>
      <c r="K344" s="35"/>
      <c r="L344" s="36" t="str">
        <f aca="false">IF(OR(H344="",COUNTIF(I344:K344,"S")+COUNTIF(I344:K344,"N")&lt;3),"",COUNTIF(I344:K344,"S")*IF(H344="S",5,IF(H344="M",4,IF(H344="E",3,2))))</f>
        <v/>
      </c>
      <c r="M344" s="37" t="str">
        <f aca="false">IF(L344="","",IF(L344&gt;=12,"Executar",IF(L344&gt;=8,"Executar com controle",IF(L344&gt;=5,"Postergar","Cancelar"))))</f>
        <v/>
      </c>
      <c r="O344" s="28" t="str">
        <f aca="false">IF(D344="","",IFERROR(INDEX(Categorias!$C$6:$C$45,MATCH(D344,Categorias!$B$6:$B$45,0)),"Sem grupo"))</f>
        <v/>
      </c>
      <c r="P344" s="38" t="str">
        <f aca="false">IF(B344="","",DATE(YEAR(B344),MONTH(B344),1))</f>
        <v/>
      </c>
    </row>
    <row r="345" customFormat="false" ht="15" hidden="false" customHeight="false" outlineLevel="0" collapsed="false">
      <c r="B345" s="33"/>
      <c r="C345" s="30"/>
      <c r="D345" s="30"/>
      <c r="E345" s="31"/>
      <c r="F345" s="30"/>
      <c r="G345" s="30"/>
      <c r="H345" s="34" t="str">
        <f aca="false">IF(D345="","",IFERROR(INDEX(Categorias!$D$6:$D$45,MATCH(D345,Categorias!$B$6:$B$45,0))&amp;"",""))</f>
        <v/>
      </c>
      <c r="I345" s="35"/>
      <c r="J345" s="35"/>
      <c r="K345" s="35"/>
      <c r="L345" s="36" t="str">
        <f aca="false">IF(OR(H345="",COUNTIF(I345:K345,"S")+COUNTIF(I345:K345,"N")&lt;3),"",COUNTIF(I345:K345,"S")*IF(H345="S",5,IF(H345="M",4,IF(H345="E",3,2))))</f>
        <v/>
      </c>
      <c r="M345" s="37" t="str">
        <f aca="false">IF(L345="","",IF(L345&gt;=12,"Executar",IF(L345&gt;=8,"Executar com controle",IF(L345&gt;=5,"Postergar","Cancelar"))))</f>
        <v/>
      </c>
      <c r="O345" s="28" t="str">
        <f aca="false">IF(D345="","",IFERROR(INDEX(Categorias!$C$6:$C$45,MATCH(D345,Categorias!$B$6:$B$45,0)),"Sem grupo"))</f>
        <v/>
      </c>
      <c r="P345" s="38" t="str">
        <f aca="false">IF(B345="","",DATE(YEAR(B345),MONTH(B345),1))</f>
        <v/>
      </c>
    </row>
    <row r="346" customFormat="false" ht="15" hidden="false" customHeight="false" outlineLevel="0" collapsed="false">
      <c r="B346" s="33"/>
      <c r="C346" s="30"/>
      <c r="D346" s="30"/>
      <c r="E346" s="31"/>
      <c r="F346" s="30"/>
      <c r="G346" s="30"/>
      <c r="H346" s="34" t="str">
        <f aca="false">IF(D346="","",IFERROR(INDEX(Categorias!$D$6:$D$45,MATCH(D346,Categorias!$B$6:$B$45,0))&amp;"",""))</f>
        <v/>
      </c>
      <c r="I346" s="35"/>
      <c r="J346" s="35"/>
      <c r="K346" s="35"/>
      <c r="L346" s="36" t="str">
        <f aca="false">IF(OR(H346="",COUNTIF(I346:K346,"S")+COUNTIF(I346:K346,"N")&lt;3),"",COUNTIF(I346:K346,"S")*IF(H346="S",5,IF(H346="M",4,IF(H346="E",3,2))))</f>
        <v/>
      </c>
      <c r="M346" s="37" t="str">
        <f aca="false">IF(L346="","",IF(L346&gt;=12,"Executar",IF(L346&gt;=8,"Executar com controle",IF(L346&gt;=5,"Postergar","Cancelar"))))</f>
        <v/>
      </c>
      <c r="O346" s="28" t="str">
        <f aca="false">IF(D346="","",IFERROR(INDEX(Categorias!$C$6:$C$45,MATCH(D346,Categorias!$B$6:$B$45,0)),"Sem grupo"))</f>
        <v/>
      </c>
      <c r="P346" s="38" t="str">
        <f aca="false">IF(B346="","",DATE(YEAR(B346),MONTH(B346),1))</f>
        <v/>
      </c>
    </row>
    <row r="347" customFormat="false" ht="15" hidden="false" customHeight="false" outlineLevel="0" collapsed="false">
      <c r="B347" s="33"/>
      <c r="C347" s="30"/>
      <c r="D347" s="30"/>
      <c r="E347" s="31"/>
      <c r="F347" s="30"/>
      <c r="G347" s="30"/>
      <c r="H347" s="34" t="str">
        <f aca="false">IF(D347="","",IFERROR(INDEX(Categorias!$D$6:$D$45,MATCH(D347,Categorias!$B$6:$B$45,0))&amp;"",""))</f>
        <v/>
      </c>
      <c r="I347" s="35"/>
      <c r="J347" s="35"/>
      <c r="K347" s="35"/>
      <c r="L347" s="36" t="str">
        <f aca="false">IF(OR(H347="",COUNTIF(I347:K347,"S")+COUNTIF(I347:K347,"N")&lt;3),"",COUNTIF(I347:K347,"S")*IF(H347="S",5,IF(H347="M",4,IF(H347="E",3,2))))</f>
        <v/>
      </c>
      <c r="M347" s="37" t="str">
        <f aca="false">IF(L347="","",IF(L347&gt;=12,"Executar",IF(L347&gt;=8,"Executar com controle",IF(L347&gt;=5,"Postergar","Cancelar"))))</f>
        <v/>
      </c>
      <c r="O347" s="28" t="str">
        <f aca="false">IF(D347="","",IFERROR(INDEX(Categorias!$C$6:$C$45,MATCH(D347,Categorias!$B$6:$B$45,0)),"Sem grupo"))</f>
        <v/>
      </c>
      <c r="P347" s="38" t="str">
        <f aca="false">IF(B347="","",DATE(YEAR(B347),MONTH(B347),1))</f>
        <v/>
      </c>
    </row>
    <row r="348" customFormat="false" ht="15" hidden="false" customHeight="false" outlineLevel="0" collapsed="false">
      <c r="B348" s="33"/>
      <c r="C348" s="30"/>
      <c r="D348" s="30"/>
      <c r="E348" s="31"/>
      <c r="F348" s="30"/>
      <c r="G348" s="30"/>
      <c r="H348" s="34" t="str">
        <f aca="false">IF(D348="","",IFERROR(INDEX(Categorias!$D$6:$D$45,MATCH(D348,Categorias!$B$6:$B$45,0))&amp;"",""))</f>
        <v/>
      </c>
      <c r="I348" s="35"/>
      <c r="J348" s="35"/>
      <c r="K348" s="35"/>
      <c r="L348" s="36" t="str">
        <f aca="false">IF(OR(H348="",COUNTIF(I348:K348,"S")+COUNTIF(I348:K348,"N")&lt;3),"",COUNTIF(I348:K348,"S")*IF(H348="S",5,IF(H348="M",4,IF(H348="E",3,2))))</f>
        <v/>
      </c>
      <c r="M348" s="37" t="str">
        <f aca="false">IF(L348="","",IF(L348&gt;=12,"Executar",IF(L348&gt;=8,"Executar com controle",IF(L348&gt;=5,"Postergar","Cancelar"))))</f>
        <v/>
      </c>
      <c r="O348" s="28" t="str">
        <f aca="false">IF(D348="","",IFERROR(INDEX(Categorias!$C$6:$C$45,MATCH(D348,Categorias!$B$6:$B$45,0)),"Sem grupo"))</f>
        <v/>
      </c>
      <c r="P348" s="38" t="str">
        <f aca="false">IF(B348="","",DATE(YEAR(B348),MONTH(B348),1))</f>
        <v/>
      </c>
    </row>
    <row r="349" customFormat="false" ht="15" hidden="false" customHeight="false" outlineLevel="0" collapsed="false">
      <c r="B349" s="33"/>
      <c r="C349" s="30"/>
      <c r="D349" s="30"/>
      <c r="E349" s="31"/>
      <c r="F349" s="30"/>
      <c r="G349" s="30"/>
      <c r="H349" s="34" t="str">
        <f aca="false">IF(D349="","",IFERROR(INDEX(Categorias!$D$6:$D$45,MATCH(D349,Categorias!$B$6:$B$45,0))&amp;"",""))</f>
        <v/>
      </c>
      <c r="I349" s="35"/>
      <c r="J349" s="35"/>
      <c r="K349" s="35"/>
      <c r="L349" s="36" t="str">
        <f aca="false">IF(OR(H349="",COUNTIF(I349:K349,"S")+COUNTIF(I349:K349,"N")&lt;3),"",COUNTIF(I349:K349,"S")*IF(H349="S",5,IF(H349="M",4,IF(H349="E",3,2))))</f>
        <v/>
      </c>
      <c r="M349" s="37" t="str">
        <f aca="false">IF(L349="","",IF(L349&gt;=12,"Executar",IF(L349&gt;=8,"Executar com controle",IF(L349&gt;=5,"Postergar","Cancelar"))))</f>
        <v/>
      </c>
      <c r="O349" s="28" t="str">
        <f aca="false">IF(D349="","",IFERROR(INDEX(Categorias!$C$6:$C$45,MATCH(D349,Categorias!$B$6:$B$45,0)),"Sem grupo"))</f>
        <v/>
      </c>
      <c r="P349" s="38" t="str">
        <f aca="false">IF(B349="","",DATE(YEAR(B349),MONTH(B349),1))</f>
        <v/>
      </c>
    </row>
    <row r="350" customFormat="false" ht="15" hidden="false" customHeight="false" outlineLevel="0" collapsed="false">
      <c r="B350" s="33"/>
      <c r="C350" s="30"/>
      <c r="D350" s="30"/>
      <c r="E350" s="31"/>
      <c r="F350" s="30"/>
      <c r="G350" s="30"/>
      <c r="H350" s="34" t="str">
        <f aca="false">IF(D350="","",IFERROR(INDEX(Categorias!$D$6:$D$45,MATCH(D350,Categorias!$B$6:$B$45,0))&amp;"",""))</f>
        <v/>
      </c>
      <c r="I350" s="35"/>
      <c r="J350" s="35"/>
      <c r="K350" s="35"/>
      <c r="L350" s="36" t="str">
        <f aca="false">IF(OR(H350="",COUNTIF(I350:K350,"S")+COUNTIF(I350:K350,"N")&lt;3),"",COUNTIF(I350:K350,"S")*IF(H350="S",5,IF(H350="M",4,IF(H350="E",3,2))))</f>
        <v/>
      </c>
      <c r="M350" s="37" t="str">
        <f aca="false">IF(L350="","",IF(L350&gt;=12,"Executar",IF(L350&gt;=8,"Executar com controle",IF(L350&gt;=5,"Postergar","Cancelar"))))</f>
        <v/>
      </c>
      <c r="O350" s="28" t="str">
        <f aca="false">IF(D350="","",IFERROR(INDEX(Categorias!$C$6:$C$45,MATCH(D350,Categorias!$B$6:$B$45,0)),"Sem grupo"))</f>
        <v/>
      </c>
      <c r="P350" s="38" t="str">
        <f aca="false">IF(B350="","",DATE(YEAR(B350),MONTH(B350),1))</f>
        <v/>
      </c>
    </row>
    <row r="351" customFormat="false" ht="15" hidden="false" customHeight="false" outlineLevel="0" collapsed="false">
      <c r="B351" s="33"/>
      <c r="C351" s="30"/>
      <c r="D351" s="30"/>
      <c r="E351" s="31"/>
      <c r="F351" s="30"/>
      <c r="G351" s="30"/>
      <c r="H351" s="34" t="str">
        <f aca="false">IF(D351="","",IFERROR(INDEX(Categorias!$D$6:$D$45,MATCH(D351,Categorias!$B$6:$B$45,0))&amp;"",""))</f>
        <v/>
      </c>
      <c r="I351" s="35"/>
      <c r="J351" s="35"/>
      <c r="K351" s="35"/>
      <c r="L351" s="36" t="str">
        <f aca="false">IF(OR(H351="",COUNTIF(I351:K351,"S")+COUNTIF(I351:K351,"N")&lt;3),"",COUNTIF(I351:K351,"S")*IF(H351="S",5,IF(H351="M",4,IF(H351="E",3,2))))</f>
        <v/>
      </c>
      <c r="M351" s="37" t="str">
        <f aca="false">IF(L351="","",IF(L351&gt;=12,"Executar",IF(L351&gt;=8,"Executar com controle",IF(L351&gt;=5,"Postergar","Cancelar"))))</f>
        <v/>
      </c>
      <c r="O351" s="28" t="str">
        <f aca="false">IF(D351="","",IFERROR(INDEX(Categorias!$C$6:$C$45,MATCH(D351,Categorias!$B$6:$B$45,0)),"Sem grupo"))</f>
        <v/>
      </c>
      <c r="P351" s="38" t="str">
        <f aca="false">IF(B351="","",DATE(YEAR(B351),MONTH(B351),1))</f>
        <v/>
      </c>
    </row>
    <row r="352" customFormat="false" ht="15" hidden="false" customHeight="false" outlineLevel="0" collapsed="false">
      <c r="B352" s="33"/>
      <c r="C352" s="30"/>
      <c r="D352" s="30"/>
      <c r="E352" s="31"/>
      <c r="F352" s="30"/>
      <c r="G352" s="30"/>
      <c r="H352" s="34" t="str">
        <f aca="false">IF(D352="","",IFERROR(INDEX(Categorias!$D$6:$D$45,MATCH(D352,Categorias!$B$6:$B$45,0))&amp;"",""))</f>
        <v/>
      </c>
      <c r="I352" s="35"/>
      <c r="J352" s="35"/>
      <c r="K352" s="35"/>
      <c r="L352" s="36" t="str">
        <f aca="false">IF(OR(H352="",COUNTIF(I352:K352,"S")+COUNTIF(I352:K352,"N")&lt;3),"",COUNTIF(I352:K352,"S")*IF(H352="S",5,IF(H352="M",4,IF(H352="E",3,2))))</f>
        <v/>
      </c>
      <c r="M352" s="37" t="str">
        <f aca="false">IF(L352="","",IF(L352&gt;=12,"Executar",IF(L352&gt;=8,"Executar com controle",IF(L352&gt;=5,"Postergar","Cancelar"))))</f>
        <v/>
      </c>
      <c r="O352" s="28" t="str">
        <f aca="false">IF(D352="","",IFERROR(INDEX(Categorias!$C$6:$C$45,MATCH(D352,Categorias!$B$6:$B$45,0)),"Sem grupo"))</f>
        <v/>
      </c>
      <c r="P352" s="38" t="str">
        <f aca="false">IF(B352="","",DATE(YEAR(B352),MONTH(B352),1))</f>
        <v/>
      </c>
    </row>
    <row r="353" customFormat="false" ht="15" hidden="false" customHeight="false" outlineLevel="0" collapsed="false">
      <c r="B353" s="33"/>
      <c r="C353" s="30"/>
      <c r="D353" s="30"/>
      <c r="E353" s="31"/>
      <c r="F353" s="30"/>
      <c r="G353" s="30"/>
      <c r="H353" s="34" t="str">
        <f aca="false">IF(D353="","",IFERROR(INDEX(Categorias!$D$6:$D$45,MATCH(D353,Categorias!$B$6:$B$45,0))&amp;"",""))</f>
        <v/>
      </c>
      <c r="I353" s="35"/>
      <c r="J353" s="35"/>
      <c r="K353" s="35"/>
      <c r="L353" s="36" t="str">
        <f aca="false">IF(OR(H353="",COUNTIF(I353:K353,"S")+COUNTIF(I353:K353,"N")&lt;3),"",COUNTIF(I353:K353,"S")*IF(H353="S",5,IF(H353="M",4,IF(H353="E",3,2))))</f>
        <v/>
      </c>
      <c r="M353" s="37" t="str">
        <f aca="false">IF(L353="","",IF(L353&gt;=12,"Executar",IF(L353&gt;=8,"Executar com controle",IF(L353&gt;=5,"Postergar","Cancelar"))))</f>
        <v/>
      </c>
      <c r="O353" s="28" t="str">
        <f aca="false">IF(D353="","",IFERROR(INDEX(Categorias!$C$6:$C$45,MATCH(D353,Categorias!$B$6:$B$45,0)),"Sem grupo"))</f>
        <v/>
      </c>
      <c r="P353" s="38" t="str">
        <f aca="false">IF(B353="","",DATE(YEAR(B353),MONTH(B353),1))</f>
        <v/>
      </c>
    </row>
    <row r="354" customFormat="false" ht="15" hidden="false" customHeight="false" outlineLevel="0" collapsed="false">
      <c r="B354" s="33"/>
      <c r="C354" s="30"/>
      <c r="D354" s="30"/>
      <c r="E354" s="31"/>
      <c r="F354" s="30"/>
      <c r="G354" s="30"/>
      <c r="H354" s="34" t="str">
        <f aca="false">IF(D354="","",IFERROR(INDEX(Categorias!$D$6:$D$45,MATCH(D354,Categorias!$B$6:$B$45,0))&amp;"",""))</f>
        <v/>
      </c>
      <c r="I354" s="35"/>
      <c r="J354" s="35"/>
      <c r="K354" s="35"/>
      <c r="L354" s="36" t="str">
        <f aca="false">IF(OR(H354="",COUNTIF(I354:K354,"S")+COUNTIF(I354:K354,"N")&lt;3),"",COUNTIF(I354:K354,"S")*IF(H354="S",5,IF(H354="M",4,IF(H354="E",3,2))))</f>
        <v/>
      </c>
      <c r="M354" s="37" t="str">
        <f aca="false">IF(L354="","",IF(L354&gt;=12,"Executar",IF(L354&gt;=8,"Executar com controle",IF(L354&gt;=5,"Postergar","Cancelar"))))</f>
        <v/>
      </c>
      <c r="O354" s="28" t="str">
        <f aca="false">IF(D354="","",IFERROR(INDEX(Categorias!$C$6:$C$45,MATCH(D354,Categorias!$B$6:$B$45,0)),"Sem grupo"))</f>
        <v/>
      </c>
      <c r="P354" s="38" t="str">
        <f aca="false">IF(B354="","",DATE(YEAR(B354),MONTH(B354),1))</f>
        <v/>
      </c>
    </row>
    <row r="355" customFormat="false" ht="15" hidden="false" customHeight="false" outlineLevel="0" collapsed="false">
      <c r="B355" s="33"/>
      <c r="C355" s="30"/>
      <c r="D355" s="30"/>
      <c r="E355" s="31"/>
      <c r="F355" s="30"/>
      <c r="G355" s="30"/>
      <c r="H355" s="34" t="str">
        <f aca="false">IF(D355="","",IFERROR(INDEX(Categorias!$D$6:$D$45,MATCH(D355,Categorias!$B$6:$B$45,0))&amp;"",""))</f>
        <v/>
      </c>
      <c r="I355" s="35"/>
      <c r="J355" s="35"/>
      <c r="K355" s="35"/>
      <c r="L355" s="36" t="str">
        <f aca="false">IF(OR(H355="",COUNTIF(I355:K355,"S")+COUNTIF(I355:K355,"N")&lt;3),"",COUNTIF(I355:K355,"S")*IF(H355="S",5,IF(H355="M",4,IF(H355="E",3,2))))</f>
        <v/>
      </c>
      <c r="M355" s="37" t="str">
        <f aca="false">IF(L355="","",IF(L355&gt;=12,"Executar",IF(L355&gt;=8,"Executar com controle",IF(L355&gt;=5,"Postergar","Cancelar"))))</f>
        <v/>
      </c>
      <c r="O355" s="28" t="str">
        <f aca="false">IF(D355="","",IFERROR(INDEX(Categorias!$C$6:$C$45,MATCH(D355,Categorias!$B$6:$B$45,0)),"Sem grupo"))</f>
        <v/>
      </c>
      <c r="P355" s="38" t="str">
        <f aca="false">IF(B355="","",DATE(YEAR(B355),MONTH(B355),1))</f>
        <v/>
      </c>
    </row>
    <row r="356" customFormat="false" ht="15" hidden="false" customHeight="false" outlineLevel="0" collapsed="false">
      <c r="B356" s="33"/>
      <c r="C356" s="30"/>
      <c r="D356" s="30"/>
      <c r="E356" s="31"/>
      <c r="F356" s="30"/>
      <c r="G356" s="30"/>
      <c r="H356" s="34" t="str">
        <f aca="false">IF(D356="","",IFERROR(INDEX(Categorias!$D$6:$D$45,MATCH(D356,Categorias!$B$6:$B$45,0))&amp;"",""))</f>
        <v/>
      </c>
      <c r="I356" s="35"/>
      <c r="J356" s="35"/>
      <c r="K356" s="35"/>
      <c r="L356" s="36" t="str">
        <f aca="false">IF(OR(H356="",COUNTIF(I356:K356,"S")+COUNTIF(I356:K356,"N")&lt;3),"",COUNTIF(I356:K356,"S")*IF(H356="S",5,IF(H356="M",4,IF(H356="E",3,2))))</f>
        <v/>
      </c>
      <c r="M356" s="37" t="str">
        <f aca="false">IF(L356="","",IF(L356&gt;=12,"Executar",IF(L356&gt;=8,"Executar com controle",IF(L356&gt;=5,"Postergar","Cancelar"))))</f>
        <v/>
      </c>
      <c r="O356" s="28" t="str">
        <f aca="false">IF(D356="","",IFERROR(INDEX(Categorias!$C$6:$C$45,MATCH(D356,Categorias!$B$6:$B$45,0)),"Sem grupo"))</f>
        <v/>
      </c>
      <c r="P356" s="38" t="str">
        <f aca="false">IF(B356="","",DATE(YEAR(B356),MONTH(B356),1))</f>
        <v/>
      </c>
    </row>
    <row r="357" customFormat="false" ht="15" hidden="false" customHeight="false" outlineLevel="0" collapsed="false">
      <c r="B357" s="33"/>
      <c r="C357" s="30"/>
      <c r="D357" s="30"/>
      <c r="E357" s="31"/>
      <c r="F357" s="30"/>
      <c r="G357" s="30"/>
      <c r="H357" s="34" t="str">
        <f aca="false">IF(D357="","",IFERROR(INDEX(Categorias!$D$6:$D$45,MATCH(D357,Categorias!$B$6:$B$45,0))&amp;"",""))</f>
        <v/>
      </c>
      <c r="I357" s="35"/>
      <c r="J357" s="35"/>
      <c r="K357" s="35"/>
      <c r="L357" s="36" t="str">
        <f aca="false">IF(OR(H357="",COUNTIF(I357:K357,"S")+COUNTIF(I357:K357,"N")&lt;3),"",COUNTIF(I357:K357,"S")*IF(H357="S",5,IF(H357="M",4,IF(H357="E",3,2))))</f>
        <v/>
      </c>
      <c r="M357" s="37" t="str">
        <f aca="false">IF(L357="","",IF(L357&gt;=12,"Executar",IF(L357&gt;=8,"Executar com controle",IF(L357&gt;=5,"Postergar","Cancelar"))))</f>
        <v/>
      </c>
      <c r="O357" s="28" t="str">
        <f aca="false">IF(D357="","",IFERROR(INDEX(Categorias!$C$6:$C$45,MATCH(D357,Categorias!$B$6:$B$45,0)),"Sem grupo"))</f>
        <v/>
      </c>
      <c r="P357" s="38" t="str">
        <f aca="false">IF(B357="","",DATE(YEAR(B357),MONTH(B357),1))</f>
        <v/>
      </c>
    </row>
    <row r="358" customFormat="false" ht="15" hidden="false" customHeight="false" outlineLevel="0" collapsed="false">
      <c r="B358" s="33"/>
      <c r="C358" s="30"/>
      <c r="D358" s="30"/>
      <c r="E358" s="31"/>
      <c r="F358" s="30"/>
      <c r="G358" s="30"/>
      <c r="H358" s="34" t="str">
        <f aca="false">IF(D358="","",IFERROR(INDEX(Categorias!$D$6:$D$45,MATCH(D358,Categorias!$B$6:$B$45,0))&amp;"",""))</f>
        <v/>
      </c>
      <c r="I358" s="35"/>
      <c r="J358" s="35"/>
      <c r="K358" s="35"/>
      <c r="L358" s="36" t="str">
        <f aca="false">IF(OR(H358="",COUNTIF(I358:K358,"S")+COUNTIF(I358:K358,"N")&lt;3),"",COUNTIF(I358:K358,"S")*IF(H358="S",5,IF(H358="M",4,IF(H358="E",3,2))))</f>
        <v/>
      </c>
      <c r="M358" s="37" t="str">
        <f aca="false">IF(L358="","",IF(L358&gt;=12,"Executar",IF(L358&gt;=8,"Executar com controle",IF(L358&gt;=5,"Postergar","Cancelar"))))</f>
        <v/>
      </c>
      <c r="O358" s="28" t="str">
        <f aca="false">IF(D358="","",IFERROR(INDEX(Categorias!$C$6:$C$45,MATCH(D358,Categorias!$B$6:$B$45,0)),"Sem grupo"))</f>
        <v/>
      </c>
      <c r="P358" s="38" t="str">
        <f aca="false">IF(B358="","",DATE(YEAR(B358),MONTH(B358),1))</f>
        <v/>
      </c>
    </row>
    <row r="359" customFormat="false" ht="15" hidden="false" customHeight="false" outlineLevel="0" collapsed="false">
      <c r="B359" s="33"/>
      <c r="C359" s="30"/>
      <c r="D359" s="30"/>
      <c r="E359" s="31"/>
      <c r="F359" s="30"/>
      <c r="G359" s="30"/>
      <c r="H359" s="34" t="str">
        <f aca="false">IF(D359="","",IFERROR(INDEX(Categorias!$D$6:$D$45,MATCH(D359,Categorias!$B$6:$B$45,0))&amp;"",""))</f>
        <v/>
      </c>
      <c r="I359" s="35"/>
      <c r="J359" s="35"/>
      <c r="K359" s="35"/>
      <c r="L359" s="36" t="str">
        <f aca="false">IF(OR(H359="",COUNTIF(I359:K359,"S")+COUNTIF(I359:K359,"N")&lt;3),"",COUNTIF(I359:K359,"S")*IF(H359="S",5,IF(H359="M",4,IF(H359="E",3,2))))</f>
        <v/>
      </c>
      <c r="M359" s="37" t="str">
        <f aca="false">IF(L359="","",IF(L359&gt;=12,"Executar",IF(L359&gt;=8,"Executar com controle",IF(L359&gt;=5,"Postergar","Cancelar"))))</f>
        <v/>
      </c>
      <c r="O359" s="28" t="str">
        <f aca="false">IF(D359="","",IFERROR(INDEX(Categorias!$C$6:$C$45,MATCH(D359,Categorias!$B$6:$B$45,0)),"Sem grupo"))</f>
        <v/>
      </c>
      <c r="P359" s="38" t="str">
        <f aca="false">IF(B359="","",DATE(YEAR(B359),MONTH(B359),1))</f>
        <v/>
      </c>
    </row>
    <row r="360" customFormat="false" ht="15" hidden="false" customHeight="false" outlineLevel="0" collapsed="false">
      <c r="B360" s="33"/>
      <c r="C360" s="30"/>
      <c r="D360" s="30"/>
      <c r="E360" s="31"/>
      <c r="F360" s="30"/>
      <c r="G360" s="30"/>
      <c r="H360" s="34" t="str">
        <f aca="false">IF(D360="","",IFERROR(INDEX(Categorias!$D$6:$D$45,MATCH(D360,Categorias!$B$6:$B$45,0))&amp;"",""))</f>
        <v/>
      </c>
      <c r="I360" s="35"/>
      <c r="J360" s="35"/>
      <c r="K360" s="35"/>
      <c r="L360" s="36" t="str">
        <f aca="false">IF(OR(H360="",COUNTIF(I360:K360,"S")+COUNTIF(I360:K360,"N")&lt;3),"",COUNTIF(I360:K360,"S")*IF(H360="S",5,IF(H360="M",4,IF(H360="E",3,2))))</f>
        <v/>
      </c>
      <c r="M360" s="37" t="str">
        <f aca="false">IF(L360="","",IF(L360&gt;=12,"Executar",IF(L360&gt;=8,"Executar com controle",IF(L360&gt;=5,"Postergar","Cancelar"))))</f>
        <v/>
      </c>
      <c r="O360" s="28" t="str">
        <f aca="false">IF(D360="","",IFERROR(INDEX(Categorias!$C$6:$C$45,MATCH(D360,Categorias!$B$6:$B$45,0)),"Sem grupo"))</f>
        <v/>
      </c>
      <c r="P360" s="38" t="str">
        <f aca="false">IF(B360="","",DATE(YEAR(B360),MONTH(B360),1))</f>
        <v/>
      </c>
    </row>
    <row r="361" customFormat="false" ht="15" hidden="false" customHeight="false" outlineLevel="0" collapsed="false">
      <c r="B361" s="33"/>
      <c r="C361" s="30"/>
      <c r="D361" s="30"/>
      <c r="E361" s="31"/>
      <c r="F361" s="30"/>
      <c r="G361" s="30"/>
      <c r="H361" s="34" t="str">
        <f aca="false">IF(D361="","",IFERROR(INDEX(Categorias!$D$6:$D$45,MATCH(D361,Categorias!$B$6:$B$45,0))&amp;"",""))</f>
        <v/>
      </c>
      <c r="I361" s="35"/>
      <c r="J361" s="35"/>
      <c r="K361" s="35"/>
      <c r="L361" s="36" t="str">
        <f aca="false">IF(OR(H361="",COUNTIF(I361:K361,"S")+COUNTIF(I361:K361,"N")&lt;3),"",COUNTIF(I361:K361,"S")*IF(H361="S",5,IF(H361="M",4,IF(H361="E",3,2))))</f>
        <v/>
      </c>
      <c r="M361" s="37" t="str">
        <f aca="false">IF(L361="","",IF(L361&gt;=12,"Executar",IF(L361&gt;=8,"Executar com controle",IF(L361&gt;=5,"Postergar","Cancelar"))))</f>
        <v/>
      </c>
      <c r="O361" s="28" t="str">
        <f aca="false">IF(D361="","",IFERROR(INDEX(Categorias!$C$6:$C$45,MATCH(D361,Categorias!$B$6:$B$45,0)),"Sem grupo"))</f>
        <v/>
      </c>
      <c r="P361" s="38" t="str">
        <f aca="false">IF(B361="","",DATE(YEAR(B361),MONTH(B361),1))</f>
        <v/>
      </c>
    </row>
    <row r="362" customFormat="false" ht="15" hidden="false" customHeight="false" outlineLevel="0" collapsed="false">
      <c r="B362" s="33"/>
      <c r="C362" s="30"/>
      <c r="D362" s="30"/>
      <c r="E362" s="31"/>
      <c r="F362" s="30"/>
      <c r="G362" s="30"/>
      <c r="H362" s="34" t="str">
        <f aca="false">IF(D362="","",IFERROR(INDEX(Categorias!$D$6:$D$45,MATCH(D362,Categorias!$B$6:$B$45,0))&amp;"",""))</f>
        <v/>
      </c>
      <c r="I362" s="35"/>
      <c r="J362" s="35"/>
      <c r="K362" s="35"/>
      <c r="L362" s="36" t="str">
        <f aca="false">IF(OR(H362="",COUNTIF(I362:K362,"S")+COUNTIF(I362:K362,"N")&lt;3),"",COUNTIF(I362:K362,"S")*IF(H362="S",5,IF(H362="M",4,IF(H362="E",3,2))))</f>
        <v/>
      </c>
      <c r="M362" s="37" t="str">
        <f aca="false">IF(L362="","",IF(L362&gt;=12,"Executar",IF(L362&gt;=8,"Executar com controle",IF(L362&gt;=5,"Postergar","Cancelar"))))</f>
        <v/>
      </c>
      <c r="O362" s="28" t="str">
        <f aca="false">IF(D362="","",IFERROR(INDEX(Categorias!$C$6:$C$45,MATCH(D362,Categorias!$B$6:$B$45,0)),"Sem grupo"))</f>
        <v/>
      </c>
      <c r="P362" s="38" t="str">
        <f aca="false">IF(B362="","",DATE(YEAR(B362),MONTH(B362),1))</f>
        <v/>
      </c>
    </row>
    <row r="363" customFormat="false" ht="15" hidden="false" customHeight="false" outlineLevel="0" collapsed="false">
      <c r="B363" s="33"/>
      <c r="C363" s="30"/>
      <c r="D363" s="30"/>
      <c r="E363" s="31"/>
      <c r="F363" s="30"/>
      <c r="G363" s="30"/>
      <c r="H363" s="34" t="str">
        <f aca="false">IF(D363="","",IFERROR(INDEX(Categorias!$D$6:$D$45,MATCH(D363,Categorias!$B$6:$B$45,0))&amp;"",""))</f>
        <v/>
      </c>
      <c r="I363" s="35"/>
      <c r="J363" s="35"/>
      <c r="K363" s="35"/>
      <c r="L363" s="36" t="str">
        <f aca="false">IF(OR(H363="",COUNTIF(I363:K363,"S")+COUNTIF(I363:K363,"N")&lt;3),"",COUNTIF(I363:K363,"S")*IF(H363="S",5,IF(H363="M",4,IF(H363="E",3,2))))</f>
        <v/>
      </c>
      <c r="M363" s="37" t="str">
        <f aca="false">IF(L363="","",IF(L363&gt;=12,"Executar",IF(L363&gt;=8,"Executar com controle",IF(L363&gt;=5,"Postergar","Cancelar"))))</f>
        <v/>
      </c>
      <c r="O363" s="28" t="str">
        <f aca="false">IF(D363="","",IFERROR(INDEX(Categorias!$C$6:$C$45,MATCH(D363,Categorias!$B$6:$B$45,0)),"Sem grupo"))</f>
        <v/>
      </c>
      <c r="P363" s="38" t="str">
        <f aca="false">IF(B363="","",DATE(YEAR(B363),MONTH(B363),1))</f>
        <v/>
      </c>
    </row>
    <row r="364" customFormat="false" ht="15" hidden="false" customHeight="false" outlineLevel="0" collapsed="false">
      <c r="B364" s="33"/>
      <c r="C364" s="30"/>
      <c r="D364" s="30"/>
      <c r="E364" s="31"/>
      <c r="F364" s="30"/>
      <c r="G364" s="30"/>
      <c r="H364" s="34" t="str">
        <f aca="false">IF(D364="","",IFERROR(INDEX(Categorias!$D$6:$D$45,MATCH(D364,Categorias!$B$6:$B$45,0))&amp;"",""))</f>
        <v/>
      </c>
      <c r="I364" s="35"/>
      <c r="J364" s="35"/>
      <c r="K364" s="35"/>
      <c r="L364" s="36" t="str">
        <f aca="false">IF(OR(H364="",COUNTIF(I364:K364,"S")+COUNTIF(I364:K364,"N")&lt;3),"",COUNTIF(I364:K364,"S")*IF(H364="S",5,IF(H364="M",4,IF(H364="E",3,2))))</f>
        <v/>
      </c>
      <c r="M364" s="37" t="str">
        <f aca="false">IF(L364="","",IF(L364&gt;=12,"Executar",IF(L364&gt;=8,"Executar com controle",IF(L364&gt;=5,"Postergar","Cancelar"))))</f>
        <v/>
      </c>
      <c r="O364" s="28" t="str">
        <f aca="false">IF(D364="","",IFERROR(INDEX(Categorias!$C$6:$C$45,MATCH(D364,Categorias!$B$6:$B$45,0)),"Sem grupo"))</f>
        <v/>
      </c>
      <c r="P364" s="38" t="str">
        <f aca="false">IF(B364="","",DATE(YEAR(B364),MONTH(B364),1))</f>
        <v/>
      </c>
    </row>
    <row r="365" customFormat="false" ht="15" hidden="false" customHeight="false" outlineLevel="0" collapsed="false">
      <c r="B365" s="33"/>
      <c r="C365" s="30"/>
      <c r="D365" s="30"/>
      <c r="E365" s="31"/>
      <c r="F365" s="30"/>
      <c r="G365" s="30"/>
      <c r="H365" s="34" t="str">
        <f aca="false">IF(D365="","",IFERROR(INDEX(Categorias!$D$6:$D$45,MATCH(D365,Categorias!$B$6:$B$45,0))&amp;"",""))</f>
        <v/>
      </c>
      <c r="I365" s="35"/>
      <c r="J365" s="35"/>
      <c r="K365" s="35"/>
      <c r="L365" s="36" t="str">
        <f aca="false">IF(OR(H365="",COUNTIF(I365:K365,"S")+COUNTIF(I365:K365,"N")&lt;3),"",COUNTIF(I365:K365,"S")*IF(H365="S",5,IF(H365="M",4,IF(H365="E",3,2))))</f>
        <v/>
      </c>
      <c r="M365" s="37" t="str">
        <f aca="false">IF(L365="","",IF(L365&gt;=12,"Executar",IF(L365&gt;=8,"Executar com controle",IF(L365&gt;=5,"Postergar","Cancelar"))))</f>
        <v/>
      </c>
      <c r="O365" s="28" t="str">
        <f aca="false">IF(D365="","",IFERROR(INDEX(Categorias!$C$6:$C$45,MATCH(D365,Categorias!$B$6:$B$45,0)),"Sem grupo"))</f>
        <v/>
      </c>
      <c r="P365" s="38" t="str">
        <f aca="false">IF(B365="","",DATE(YEAR(B365),MONTH(B365),1))</f>
        <v/>
      </c>
    </row>
    <row r="366" customFormat="false" ht="15" hidden="false" customHeight="false" outlineLevel="0" collapsed="false">
      <c r="B366" s="33"/>
      <c r="C366" s="30"/>
      <c r="D366" s="30"/>
      <c r="E366" s="31"/>
      <c r="F366" s="30"/>
      <c r="G366" s="30"/>
      <c r="H366" s="34" t="str">
        <f aca="false">IF(D366="","",IFERROR(INDEX(Categorias!$D$6:$D$45,MATCH(D366,Categorias!$B$6:$B$45,0))&amp;"",""))</f>
        <v/>
      </c>
      <c r="I366" s="35"/>
      <c r="J366" s="35"/>
      <c r="K366" s="35"/>
      <c r="L366" s="36" t="str">
        <f aca="false">IF(OR(H366="",COUNTIF(I366:K366,"S")+COUNTIF(I366:K366,"N")&lt;3),"",COUNTIF(I366:K366,"S")*IF(H366="S",5,IF(H366="M",4,IF(H366="E",3,2))))</f>
        <v/>
      </c>
      <c r="M366" s="37" t="str">
        <f aca="false">IF(L366="","",IF(L366&gt;=12,"Executar",IF(L366&gt;=8,"Executar com controle",IF(L366&gt;=5,"Postergar","Cancelar"))))</f>
        <v/>
      </c>
      <c r="O366" s="28" t="str">
        <f aca="false">IF(D366="","",IFERROR(INDEX(Categorias!$C$6:$C$45,MATCH(D366,Categorias!$B$6:$B$45,0)),"Sem grupo"))</f>
        <v/>
      </c>
      <c r="P366" s="38" t="str">
        <f aca="false">IF(B366="","",DATE(YEAR(B366),MONTH(B366),1))</f>
        <v/>
      </c>
    </row>
    <row r="367" customFormat="false" ht="15" hidden="false" customHeight="false" outlineLevel="0" collapsed="false">
      <c r="B367" s="33"/>
      <c r="C367" s="30"/>
      <c r="D367" s="30"/>
      <c r="E367" s="31"/>
      <c r="F367" s="30"/>
      <c r="G367" s="30"/>
      <c r="H367" s="34" t="str">
        <f aca="false">IF(D367="","",IFERROR(INDEX(Categorias!$D$6:$D$45,MATCH(D367,Categorias!$B$6:$B$45,0))&amp;"",""))</f>
        <v/>
      </c>
      <c r="I367" s="35"/>
      <c r="J367" s="35"/>
      <c r="K367" s="35"/>
      <c r="L367" s="36" t="str">
        <f aca="false">IF(OR(H367="",COUNTIF(I367:K367,"S")+COUNTIF(I367:K367,"N")&lt;3),"",COUNTIF(I367:K367,"S")*IF(H367="S",5,IF(H367="M",4,IF(H367="E",3,2))))</f>
        <v/>
      </c>
      <c r="M367" s="37" t="str">
        <f aca="false">IF(L367="","",IF(L367&gt;=12,"Executar",IF(L367&gt;=8,"Executar com controle",IF(L367&gt;=5,"Postergar","Cancelar"))))</f>
        <v/>
      </c>
      <c r="O367" s="28" t="str">
        <f aca="false">IF(D367="","",IFERROR(INDEX(Categorias!$C$6:$C$45,MATCH(D367,Categorias!$B$6:$B$45,0)),"Sem grupo"))</f>
        <v/>
      </c>
      <c r="P367" s="38" t="str">
        <f aca="false">IF(B367="","",DATE(YEAR(B367),MONTH(B367),1))</f>
        <v/>
      </c>
    </row>
    <row r="368" customFormat="false" ht="15" hidden="false" customHeight="false" outlineLevel="0" collapsed="false">
      <c r="B368" s="33"/>
      <c r="C368" s="30"/>
      <c r="D368" s="30"/>
      <c r="E368" s="31"/>
      <c r="F368" s="30"/>
      <c r="G368" s="30"/>
      <c r="H368" s="34" t="str">
        <f aca="false">IF(D368="","",IFERROR(INDEX(Categorias!$D$6:$D$45,MATCH(D368,Categorias!$B$6:$B$45,0))&amp;"",""))</f>
        <v/>
      </c>
      <c r="I368" s="35"/>
      <c r="J368" s="35"/>
      <c r="K368" s="35"/>
      <c r="L368" s="36" t="str">
        <f aca="false">IF(OR(H368="",COUNTIF(I368:K368,"S")+COUNTIF(I368:K368,"N")&lt;3),"",COUNTIF(I368:K368,"S")*IF(H368="S",5,IF(H368="M",4,IF(H368="E",3,2))))</f>
        <v/>
      </c>
      <c r="M368" s="37" t="str">
        <f aca="false">IF(L368="","",IF(L368&gt;=12,"Executar",IF(L368&gt;=8,"Executar com controle",IF(L368&gt;=5,"Postergar","Cancelar"))))</f>
        <v/>
      </c>
      <c r="O368" s="28" t="str">
        <f aca="false">IF(D368="","",IFERROR(INDEX(Categorias!$C$6:$C$45,MATCH(D368,Categorias!$B$6:$B$45,0)),"Sem grupo"))</f>
        <v/>
      </c>
      <c r="P368" s="38" t="str">
        <f aca="false">IF(B368="","",DATE(YEAR(B368),MONTH(B368),1))</f>
        <v/>
      </c>
    </row>
    <row r="369" customFormat="false" ht="15" hidden="false" customHeight="false" outlineLevel="0" collapsed="false">
      <c r="B369" s="33"/>
      <c r="C369" s="30"/>
      <c r="D369" s="30"/>
      <c r="E369" s="31"/>
      <c r="F369" s="30"/>
      <c r="G369" s="30"/>
      <c r="H369" s="34" t="str">
        <f aca="false">IF(D369="","",IFERROR(INDEX(Categorias!$D$6:$D$45,MATCH(D369,Categorias!$B$6:$B$45,0))&amp;"",""))</f>
        <v/>
      </c>
      <c r="I369" s="35"/>
      <c r="J369" s="35"/>
      <c r="K369" s="35"/>
      <c r="L369" s="36" t="str">
        <f aca="false">IF(OR(H369="",COUNTIF(I369:K369,"S")+COUNTIF(I369:K369,"N")&lt;3),"",COUNTIF(I369:K369,"S")*IF(H369="S",5,IF(H369="M",4,IF(H369="E",3,2))))</f>
        <v/>
      </c>
      <c r="M369" s="37" t="str">
        <f aca="false">IF(L369="","",IF(L369&gt;=12,"Executar",IF(L369&gt;=8,"Executar com controle",IF(L369&gt;=5,"Postergar","Cancelar"))))</f>
        <v/>
      </c>
      <c r="O369" s="28" t="str">
        <f aca="false">IF(D369="","",IFERROR(INDEX(Categorias!$C$6:$C$45,MATCH(D369,Categorias!$B$6:$B$45,0)),"Sem grupo"))</f>
        <v/>
      </c>
      <c r="P369" s="38" t="str">
        <f aca="false">IF(B369="","",DATE(YEAR(B369),MONTH(B369),1))</f>
        <v/>
      </c>
    </row>
    <row r="370" customFormat="false" ht="15" hidden="false" customHeight="false" outlineLevel="0" collapsed="false">
      <c r="B370" s="33"/>
      <c r="C370" s="30"/>
      <c r="D370" s="30"/>
      <c r="E370" s="31"/>
      <c r="F370" s="30"/>
      <c r="G370" s="30"/>
      <c r="H370" s="34" t="str">
        <f aca="false">IF(D370="","",IFERROR(INDEX(Categorias!$D$6:$D$45,MATCH(D370,Categorias!$B$6:$B$45,0))&amp;"",""))</f>
        <v/>
      </c>
      <c r="I370" s="35"/>
      <c r="J370" s="35"/>
      <c r="K370" s="35"/>
      <c r="L370" s="36" t="str">
        <f aca="false">IF(OR(H370="",COUNTIF(I370:K370,"S")+COUNTIF(I370:K370,"N")&lt;3),"",COUNTIF(I370:K370,"S")*IF(H370="S",5,IF(H370="M",4,IF(H370="E",3,2))))</f>
        <v/>
      </c>
      <c r="M370" s="37" t="str">
        <f aca="false">IF(L370="","",IF(L370&gt;=12,"Executar",IF(L370&gt;=8,"Executar com controle",IF(L370&gt;=5,"Postergar","Cancelar"))))</f>
        <v/>
      </c>
      <c r="O370" s="28" t="str">
        <f aca="false">IF(D370="","",IFERROR(INDEX(Categorias!$C$6:$C$45,MATCH(D370,Categorias!$B$6:$B$45,0)),"Sem grupo"))</f>
        <v/>
      </c>
      <c r="P370" s="38" t="str">
        <f aca="false">IF(B370="","",DATE(YEAR(B370),MONTH(B370),1))</f>
        <v/>
      </c>
    </row>
    <row r="371" customFormat="false" ht="15" hidden="false" customHeight="false" outlineLevel="0" collapsed="false">
      <c r="B371" s="33"/>
      <c r="C371" s="30"/>
      <c r="D371" s="30"/>
      <c r="E371" s="31"/>
      <c r="F371" s="30"/>
      <c r="G371" s="30"/>
      <c r="H371" s="34" t="str">
        <f aca="false">IF(D371="","",IFERROR(INDEX(Categorias!$D$6:$D$45,MATCH(D371,Categorias!$B$6:$B$45,0))&amp;"",""))</f>
        <v/>
      </c>
      <c r="I371" s="35"/>
      <c r="J371" s="35"/>
      <c r="K371" s="35"/>
      <c r="L371" s="36" t="str">
        <f aca="false">IF(OR(H371="",COUNTIF(I371:K371,"S")+COUNTIF(I371:K371,"N")&lt;3),"",COUNTIF(I371:K371,"S")*IF(H371="S",5,IF(H371="M",4,IF(H371="E",3,2))))</f>
        <v/>
      </c>
      <c r="M371" s="37" t="str">
        <f aca="false">IF(L371="","",IF(L371&gt;=12,"Executar",IF(L371&gt;=8,"Executar com controle",IF(L371&gt;=5,"Postergar","Cancelar"))))</f>
        <v/>
      </c>
      <c r="O371" s="28" t="str">
        <f aca="false">IF(D371="","",IFERROR(INDEX(Categorias!$C$6:$C$45,MATCH(D371,Categorias!$B$6:$B$45,0)),"Sem grupo"))</f>
        <v/>
      </c>
      <c r="P371" s="38" t="str">
        <f aca="false">IF(B371="","",DATE(YEAR(B371),MONTH(B371),1))</f>
        <v/>
      </c>
    </row>
    <row r="372" customFormat="false" ht="15" hidden="false" customHeight="false" outlineLevel="0" collapsed="false">
      <c r="B372" s="33"/>
      <c r="C372" s="30"/>
      <c r="D372" s="30"/>
      <c r="E372" s="31"/>
      <c r="F372" s="30"/>
      <c r="G372" s="30"/>
      <c r="H372" s="34" t="str">
        <f aca="false">IF(D372="","",IFERROR(INDEX(Categorias!$D$6:$D$45,MATCH(D372,Categorias!$B$6:$B$45,0))&amp;"",""))</f>
        <v/>
      </c>
      <c r="I372" s="35"/>
      <c r="J372" s="35"/>
      <c r="K372" s="35"/>
      <c r="L372" s="36" t="str">
        <f aca="false">IF(OR(H372="",COUNTIF(I372:K372,"S")+COUNTIF(I372:K372,"N")&lt;3),"",COUNTIF(I372:K372,"S")*IF(H372="S",5,IF(H372="M",4,IF(H372="E",3,2))))</f>
        <v/>
      </c>
      <c r="M372" s="37" t="str">
        <f aca="false">IF(L372="","",IF(L372&gt;=12,"Executar",IF(L372&gt;=8,"Executar com controle",IF(L372&gt;=5,"Postergar","Cancelar"))))</f>
        <v/>
      </c>
      <c r="O372" s="28" t="str">
        <f aca="false">IF(D372="","",IFERROR(INDEX(Categorias!$C$6:$C$45,MATCH(D372,Categorias!$B$6:$B$45,0)),"Sem grupo"))</f>
        <v/>
      </c>
      <c r="P372" s="38" t="str">
        <f aca="false">IF(B372="","",DATE(YEAR(B372),MONTH(B372),1))</f>
        <v/>
      </c>
    </row>
    <row r="373" customFormat="false" ht="15" hidden="false" customHeight="false" outlineLevel="0" collapsed="false">
      <c r="B373" s="33"/>
      <c r="C373" s="30"/>
      <c r="D373" s="30"/>
      <c r="E373" s="31"/>
      <c r="F373" s="30"/>
      <c r="G373" s="30"/>
      <c r="H373" s="34" t="str">
        <f aca="false">IF(D373="","",IFERROR(INDEX(Categorias!$D$6:$D$45,MATCH(D373,Categorias!$B$6:$B$45,0))&amp;"",""))</f>
        <v/>
      </c>
      <c r="I373" s="35"/>
      <c r="J373" s="35"/>
      <c r="K373" s="35"/>
      <c r="L373" s="36" t="str">
        <f aca="false">IF(OR(H373="",COUNTIF(I373:K373,"S")+COUNTIF(I373:K373,"N")&lt;3),"",COUNTIF(I373:K373,"S")*IF(H373="S",5,IF(H373="M",4,IF(H373="E",3,2))))</f>
        <v/>
      </c>
      <c r="M373" s="37" t="str">
        <f aca="false">IF(L373="","",IF(L373&gt;=12,"Executar",IF(L373&gt;=8,"Executar com controle",IF(L373&gt;=5,"Postergar","Cancelar"))))</f>
        <v/>
      </c>
      <c r="O373" s="28" t="str">
        <f aca="false">IF(D373="","",IFERROR(INDEX(Categorias!$C$6:$C$45,MATCH(D373,Categorias!$B$6:$B$45,0)),"Sem grupo"))</f>
        <v/>
      </c>
      <c r="P373" s="38" t="str">
        <f aca="false">IF(B373="","",DATE(YEAR(B373),MONTH(B373),1))</f>
        <v/>
      </c>
    </row>
    <row r="374" customFormat="false" ht="15" hidden="false" customHeight="false" outlineLevel="0" collapsed="false">
      <c r="B374" s="33"/>
      <c r="C374" s="30"/>
      <c r="D374" s="30"/>
      <c r="E374" s="31"/>
      <c r="F374" s="30"/>
      <c r="G374" s="30"/>
      <c r="H374" s="34" t="str">
        <f aca="false">IF(D374="","",IFERROR(INDEX(Categorias!$D$6:$D$45,MATCH(D374,Categorias!$B$6:$B$45,0))&amp;"",""))</f>
        <v/>
      </c>
      <c r="I374" s="35"/>
      <c r="J374" s="35"/>
      <c r="K374" s="35"/>
      <c r="L374" s="36" t="str">
        <f aca="false">IF(OR(H374="",COUNTIF(I374:K374,"S")+COUNTIF(I374:K374,"N")&lt;3),"",COUNTIF(I374:K374,"S")*IF(H374="S",5,IF(H374="M",4,IF(H374="E",3,2))))</f>
        <v/>
      </c>
      <c r="M374" s="37" t="str">
        <f aca="false">IF(L374="","",IF(L374&gt;=12,"Executar",IF(L374&gt;=8,"Executar com controle",IF(L374&gt;=5,"Postergar","Cancelar"))))</f>
        <v/>
      </c>
      <c r="O374" s="28" t="str">
        <f aca="false">IF(D374="","",IFERROR(INDEX(Categorias!$C$6:$C$45,MATCH(D374,Categorias!$B$6:$B$45,0)),"Sem grupo"))</f>
        <v/>
      </c>
      <c r="P374" s="38" t="str">
        <f aca="false">IF(B374="","",DATE(YEAR(B374),MONTH(B374),1))</f>
        <v/>
      </c>
    </row>
    <row r="375" customFormat="false" ht="15" hidden="false" customHeight="false" outlineLevel="0" collapsed="false">
      <c r="B375" s="33"/>
      <c r="C375" s="30"/>
      <c r="D375" s="30"/>
      <c r="E375" s="31"/>
      <c r="F375" s="30"/>
      <c r="G375" s="30"/>
      <c r="H375" s="34" t="str">
        <f aca="false">IF(D375="","",IFERROR(INDEX(Categorias!$D$6:$D$45,MATCH(D375,Categorias!$B$6:$B$45,0))&amp;"",""))</f>
        <v/>
      </c>
      <c r="I375" s="35"/>
      <c r="J375" s="35"/>
      <c r="K375" s="35"/>
      <c r="L375" s="36" t="str">
        <f aca="false">IF(OR(H375="",COUNTIF(I375:K375,"S")+COUNTIF(I375:K375,"N")&lt;3),"",COUNTIF(I375:K375,"S")*IF(H375="S",5,IF(H375="M",4,IF(H375="E",3,2))))</f>
        <v/>
      </c>
      <c r="M375" s="37" t="str">
        <f aca="false">IF(L375="","",IF(L375&gt;=12,"Executar",IF(L375&gt;=8,"Executar com controle",IF(L375&gt;=5,"Postergar","Cancelar"))))</f>
        <v/>
      </c>
      <c r="O375" s="28" t="str">
        <f aca="false">IF(D375="","",IFERROR(INDEX(Categorias!$C$6:$C$45,MATCH(D375,Categorias!$B$6:$B$45,0)),"Sem grupo"))</f>
        <v/>
      </c>
      <c r="P375" s="38" t="str">
        <f aca="false">IF(B375="","",DATE(YEAR(B375),MONTH(B375),1))</f>
        <v/>
      </c>
    </row>
    <row r="376" customFormat="false" ht="15" hidden="false" customHeight="false" outlineLevel="0" collapsed="false">
      <c r="B376" s="33"/>
      <c r="C376" s="30"/>
      <c r="D376" s="30"/>
      <c r="E376" s="31"/>
      <c r="F376" s="30"/>
      <c r="G376" s="30"/>
      <c r="H376" s="34" t="str">
        <f aca="false">IF(D376="","",IFERROR(INDEX(Categorias!$D$6:$D$45,MATCH(D376,Categorias!$B$6:$B$45,0))&amp;"",""))</f>
        <v/>
      </c>
      <c r="I376" s="35"/>
      <c r="J376" s="35"/>
      <c r="K376" s="35"/>
      <c r="L376" s="36" t="str">
        <f aca="false">IF(OR(H376="",COUNTIF(I376:K376,"S")+COUNTIF(I376:K376,"N")&lt;3),"",COUNTIF(I376:K376,"S")*IF(H376="S",5,IF(H376="M",4,IF(H376="E",3,2))))</f>
        <v/>
      </c>
      <c r="M376" s="37" t="str">
        <f aca="false">IF(L376="","",IF(L376&gt;=12,"Executar",IF(L376&gt;=8,"Executar com controle",IF(L376&gt;=5,"Postergar","Cancelar"))))</f>
        <v/>
      </c>
      <c r="O376" s="28" t="str">
        <f aca="false">IF(D376="","",IFERROR(INDEX(Categorias!$C$6:$C$45,MATCH(D376,Categorias!$B$6:$B$45,0)),"Sem grupo"))</f>
        <v/>
      </c>
      <c r="P376" s="38" t="str">
        <f aca="false">IF(B376="","",DATE(YEAR(B376),MONTH(B376),1))</f>
        <v/>
      </c>
    </row>
    <row r="377" customFormat="false" ht="15" hidden="false" customHeight="false" outlineLevel="0" collapsed="false">
      <c r="B377" s="33"/>
      <c r="C377" s="30"/>
      <c r="D377" s="30"/>
      <c r="E377" s="31"/>
      <c r="F377" s="30"/>
      <c r="G377" s="30"/>
      <c r="H377" s="34" t="str">
        <f aca="false">IF(D377="","",IFERROR(INDEX(Categorias!$D$6:$D$45,MATCH(D377,Categorias!$B$6:$B$45,0))&amp;"",""))</f>
        <v/>
      </c>
      <c r="I377" s="35"/>
      <c r="J377" s="35"/>
      <c r="K377" s="35"/>
      <c r="L377" s="36" t="str">
        <f aca="false">IF(OR(H377="",COUNTIF(I377:K377,"S")+COUNTIF(I377:K377,"N")&lt;3),"",COUNTIF(I377:K377,"S")*IF(H377="S",5,IF(H377="M",4,IF(H377="E",3,2))))</f>
        <v/>
      </c>
      <c r="M377" s="37" t="str">
        <f aca="false">IF(L377="","",IF(L377&gt;=12,"Executar",IF(L377&gt;=8,"Executar com controle",IF(L377&gt;=5,"Postergar","Cancelar"))))</f>
        <v/>
      </c>
      <c r="O377" s="28" t="str">
        <f aca="false">IF(D377="","",IFERROR(INDEX(Categorias!$C$6:$C$45,MATCH(D377,Categorias!$B$6:$B$45,0)),"Sem grupo"))</f>
        <v/>
      </c>
      <c r="P377" s="38" t="str">
        <f aca="false">IF(B377="","",DATE(YEAR(B377),MONTH(B377),1))</f>
        <v/>
      </c>
    </row>
    <row r="378" customFormat="false" ht="15" hidden="false" customHeight="false" outlineLevel="0" collapsed="false">
      <c r="B378" s="33"/>
      <c r="C378" s="30"/>
      <c r="D378" s="30"/>
      <c r="E378" s="31"/>
      <c r="F378" s="30"/>
      <c r="G378" s="30"/>
      <c r="H378" s="34" t="str">
        <f aca="false">IF(D378="","",IFERROR(INDEX(Categorias!$D$6:$D$45,MATCH(D378,Categorias!$B$6:$B$45,0))&amp;"",""))</f>
        <v/>
      </c>
      <c r="I378" s="35"/>
      <c r="J378" s="35"/>
      <c r="K378" s="35"/>
      <c r="L378" s="36" t="str">
        <f aca="false">IF(OR(H378="",COUNTIF(I378:K378,"S")+COUNTIF(I378:K378,"N")&lt;3),"",COUNTIF(I378:K378,"S")*IF(H378="S",5,IF(H378="M",4,IF(H378="E",3,2))))</f>
        <v/>
      </c>
      <c r="M378" s="37" t="str">
        <f aca="false">IF(L378="","",IF(L378&gt;=12,"Executar",IF(L378&gt;=8,"Executar com controle",IF(L378&gt;=5,"Postergar","Cancelar"))))</f>
        <v/>
      </c>
      <c r="O378" s="28" t="str">
        <f aca="false">IF(D378="","",IFERROR(INDEX(Categorias!$C$6:$C$45,MATCH(D378,Categorias!$B$6:$B$45,0)),"Sem grupo"))</f>
        <v/>
      </c>
      <c r="P378" s="38" t="str">
        <f aca="false">IF(B378="","",DATE(YEAR(B378),MONTH(B378),1))</f>
        <v/>
      </c>
    </row>
    <row r="379" customFormat="false" ht="15" hidden="false" customHeight="false" outlineLevel="0" collapsed="false">
      <c r="B379" s="33"/>
      <c r="C379" s="30"/>
      <c r="D379" s="30"/>
      <c r="E379" s="31"/>
      <c r="F379" s="30"/>
      <c r="G379" s="30"/>
      <c r="H379" s="34" t="str">
        <f aca="false">IF(D379="","",IFERROR(INDEX(Categorias!$D$6:$D$45,MATCH(D379,Categorias!$B$6:$B$45,0))&amp;"",""))</f>
        <v/>
      </c>
      <c r="I379" s="35"/>
      <c r="J379" s="35"/>
      <c r="K379" s="35"/>
      <c r="L379" s="36" t="str">
        <f aca="false">IF(OR(H379="",COUNTIF(I379:K379,"S")+COUNTIF(I379:K379,"N")&lt;3),"",COUNTIF(I379:K379,"S")*IF(H379="S",5,IF(H379="M",4,IF(H379="E",3,2))))</f>
        <v/>
      </c>
      <c r="M379" s="37" t="str">
        <f aca="false">IF(L379="","",IF(L379&gt;=12,"Executar",IF(L379&gt;=8,"Executar com controle",IF(L379&gt;=5,"Postergar","Cancelar"))))</f>
        <v/>
      </c>
      <c r="O379" s="28" t="str">
        <f aca="false">IF(D379="","",IFERROR(INDEX(Categorias!$C$6:$C$45,MATCH(D379,Categorias!$B$6:$B$45,0)),"Sem grupo"))</f>
        <v/>
      </c>
      <c r="P379" s="38" t="str">
        <f aca="false">IF(B379="","",DATE(YEAR(B379),MONTH(B379),1))</f>
        <v/>
      </c>
    </row>
    <row r="380" customFormat="false" ht="15" hidden="false" customHeight="false" outlineLevel="0" collapsed="false">
      <c r="B380" s="33"/>
      <c r="C380" s="30"/>
      <c r="D380" s="30"/>
      <c r="E380" s="31"/>
      <c r="F380" s="30"/>
      <c r="G380" s="30"/>
      <c r="H380" s="34" t="str">
        <f aca="false">IF(D380="","",IFERROR(INDEX(Categorias!$D$6:$D$45,MATCH(D380,Categorias!$B$6:$B$45,0))&amp;"",""))</f>
        <v/>
      </c>
      <c r="I380" s="35"/>
      <c r="J380" s="35"/>
      <c r="K380" s="35"/>
      <c r="L380" s="36" t="str">
        <f aca="false">IF(OR(H380="",COUNTIF(I380:K380,"S")+COUNTIF(I380:K380,"N")&lt;3),"",COUNTIF(I380:K380,"S")*IF(H380="S",5,IF(H380="M",4,IF(H380="E",3,2))))</f>
        <v/>
      </c>
      <c r="M380" s="37" t="str">
        <f aca="false">IF(L380="","",IF(L380&gt;=12,"Executar",IF(L380&gt;=8,"Executar com controle",IF(L380&gt;=5,"Postergar","Cancelar"))))</f>
        <v/>
      </c>
      <c r="O380" s="28" t="str">
        <f aca="false">IF(D380="","",IFERROR(INDEX(Categorias!$C$6:$C$45,MATCH(D380,Categorias!$B$6:$B$45,0)),"Sem grupo"))</f>
        <v/>
      </c>
      <c r="P380" s="38" t="str">
        <f aca="false">IF(B380="","",DATE(YEAR(B380),MONTH(B380),1))</f>
        <v/>
      </c>
    </row>
    <row r="381" customFormat="false" ht="15" hidden="false" customHeight="false" outlineLevel="0" collapsed="false">
      <c r="B381" s="33"/>
      <c r="C381" s="30"/>
      <c r="D381" s="30"/>
      <c r="E381" s="31"/>
      <c r="F381" s="30"/>
      <c r="G381" s="30"/>
      <c r="H381" s="34" t="str">
        <f aca="false">IF(D381="","",IFERROR(INDEX(Categorias!$D$6:$D$45,MATCH(D381,Categorias!$B$6:$B$45,0))&amp;"",""))</f>
        <v/>
      </c>
      <c r="I381" s="35"/>
      <c r="J381" s="35"/>
      <c r="K381" s="35"/>
      <c r="L381" s="36" t="str">
        <f aca="false">IF(OR(H381="",COUNTIF(I381:K381,"S")+COUNTIF(I381:K381,"N")&lt;3),"",COUNTIF(I381:K381,"S")*IF(H381="S",5,IF(H381="M",4,IF(H381="E",3,2))))</f>
        <v/>
      </c>
      <c r="M381" s="37" t="str">
        <f aca="false">IF(L381="","",IF(L381&gt;=12,"Executar",IF(L381&gt;=8,"Executar com controle",IF(L381&gt;=5,"Postergar","Cancelar"))))</f>
        <v/>
      </c>
      <c r="O381" s="28" t="str">
        <f aca="false">IF(D381="","",IFERROR(INDEX(Categorias!$C$6:$C$45,MATCH(D381,Categorias!$B$6:$B$45,0)),"Sem grupo"))</f>
        <v/>
      </c>
      <c r="P381" s="38" t="str">
        <f aca="false">IF(B381="","",DATE(YEAR(B381),MONTH(B381),1))</f>
        <v/>
      </c>
    </row>
    <row r="382" customFormat="false" ht="15" hidden="false" customHeight="false" outlineLevel="0" collapsed="false">
      <c r="B382" s="33"/>
      <c r="C382" s="30"/>
      <c r="D382" s="30"/>
      <c r="E382" s="31"/>
      <c r="F382" s="30"/>
      <c r="G382" s="30"/>
      <c r="H382" s="34" t="str">
        <f aca="false">IF(D382="","",IFERROR(INDEX(Categorias!$D$6:$D$45,MATCH(D382,Categorias!$B$6:$B$45,0))&amp;"",""))</f>
        <v/>
      </c>
      <c r="I382" s="35"/>
      <c r="J382" s="35"/>
      <c r="K382" s="35"/>
      <c r="L382" s="36" t="str">
        <f aca="false">IF(OR(H382="",COUNTIF(I382:K382,"S")+COUNTIF(I382:K382,"N")&lt;3),"",COUNTIF(I382:K382,"S")*IF(H382="S",5,IF(H382="M",4,IF(H382="E",3,2))))</f>
        <v/>
      </c>
      <c r="M382" s="37" t="str">
        <f aca="false">IF(L382="","",IF(L382&gt;=12,"Executar",IF(L382&gt;=8,"Executar com controle",IF(L382&gt;=5,"Postergar","Cancelar"))))</f>
        <v/>
      </c>
      <c r="O382" s="28" t="str">
        <f aca="false">IF(D382="","",IFERROR(INDEX(Categorias!$C$6:$C$45,MATCH(D382,Categorias!$B$6:$B$45,0)),"Sem grupo"))</f>
        <v/>
      </c>
      <c r="P382" s="38" t="str">
        <f aca="false">IF(B382="","",DATE(YEAR(B382),MONTH(B382),1))</f>
        <v/>
      </c>
    </row>
    <row r="383" customFormat="false" ht="15" hidden="false" customHeight="false" outlineLevel="0" collapsed="false">
      <c r="B383" s="33"/>
      <c r="C383" s="30"/>
      <c r="D383" s="30"/>
      <c r="E383" s="31"/>
      <c r="F383" s="30"/>
      <c r="G383" s="30"/>
      <c r="H383" s="34" t="str">
        <f aca="false">IF(D383="","",IFERROR(INDEX(Categorias!$D$6:$D$45,MATCH(D383,Categorias!$B$6:$B$45,0))&amp;"",""))</f>
        <v/>
      </c>
      <c r="I383" s="35"/>
      <c r="J383" s="35"/>
      <c r="K383" s="35"/>
      <c r="L383" s="36" t="str">
        <f aca="false">IF(OR(H383="",COUNTIF(I383:K383,"S")+COUNTIF(I383:K383,"N")&lt;3),"",COUNTIF(I383:K383,"S")*IF(H383="S",5,IF(H383="M",4,IF(H383="E",3,2))))</f>
        <v/>
      </c>
      <c r="M383" s="37" t="str">
        <f aca="false">IF(L383="","",IF(L383&gt;=12,"Executar",IF(L383&gt;=8,"Executar com controle",IF(L383&gt;=5,"Postergar","Cancelar"))))</f>
        <v/>
      </c>
      <c r="O383" s="28" t="str">
        <f aca="false">IF(D383="","",IFERROR(INDEX(Categorias!$C$6:$C$45,MATCH(D383,Categorias!$B$6:$B$45,0)),"Sem grupo"))</f>
        <v/>
      </c>
      <c r="P383" s="38" t="str">
        <f aca="false">IF(B383="","",DATE(YEAR(B383),MONTH(B383),1))</f>
        <v/>
      </c>
    </row>
    <row r="384" customFormat="false" ht="15" hidden="false" customHeight="false" outlineLevel="0" collapsed="false">
      <c r="B384" s="33"/>
      <c r="C384" s="30"/>
      <c r="D384" s="30"/>
      <c r="E384" s="31"/>
      <c r="F384" s="30"/>
      <c r="G384" s="30"/>
      <c r="H384" s="34" t="str">
        <f aca="false">IF(D384="","",IFERROR(INDEX(Categorias!$D$6:$D$45,MATCH(D384,Categorias!$B$6:$B$45,0))&amp;"",""))</f>
        <v/>
      </c>
      <c r="I384" s="35"/>
      <c r="J384" s="35"/>
      <c r="K384" s="35"/>
      <c r="L384" s="36" t="str">
        <f aca="false">IF(OR(H384="",COUNTIF(I384:K384,"S")+COUNTIF(I384:K384,"N")&lt;3),"",COUNTIF(I384:K384,"S")*IF(H384="S",5,IF(H384="M",4,IF(H384="E",3,2))))</f>
        <v/>
      </c>
      <c r="M384" s="37" t="str">
        <f aca="false">IF(L384="","",IF(L384&gt;=12,"Executar",IF(L384&gt;=8,"Executar com controle",IF(L384&gt;=5,"Postergar","Cancelar"))))</f>
        <v/>
      </c>
      <c r="O384" s="28" t="str">
        <f aca="false">IF(D384="","",IFERROR(INDEX(Categorias!$C$6:$C$45,MATCH(D384,Categorias!$B$6:$B$45,0)),"Sem grupo"))</f>
        <v/>
      </c>
      <c r="P384" s="38" t="str">
        <f aca="false">IF(B384="","",DATE(YEAR(B384),MONTH(B384),1))</f>
        <v/>
      </c>
    </row>
    <row r="385" customFormat="false" ht="15" hidden="false" customHeight="false" outlineLevel="0" collapsed="false">
      <c r="B385" s="33"/>
      <c r="C385" s="30"/>
      <c r="D385" s="30"/>
      <c r="E385" s="31"/>
      <c r="F385" s="30"/>
      <c r="G385" s="30"/>
      <c r="H385" s="34" t="str">
        <f aca="false">IF(D385="","",IFERROR(INDEX(Categorias!$D$6:$D$45,MATCH(D385,Categorias!$B$6:$B$45,0))&amp;"",""))</f>
        <v/>
      </c>
      <c r="I385" s="35"/>
      <c r="J385" s="35"/>
      <c r="K385" s="35"/>
      <c r="L385" s="36" t="str">
        <f aca="false">IF(OR(H385="",COUNTIF(I385:K385,"S")+COUNTIF(I385:K385,"N")&lt;3),"",COUNTIF(I385:K385,"S")*IF(H385="S",5,IF(H385="M",4,IF(H385="E",3,2))))</f>
        <v/>
      </c>
      <c r="M385" s="37" t="str">
        <f aca="false">IF(L385="","",IF(L385&gt;=12,"Executar",IF(L385&gt;=8,"Executar com controle",IF(L385&gt;=5,"Postergar","Cancelar"))))</f>
        <v/>
      </c>
      <c r="O385" s="28" t="str">
        <f aca="false">IF(D385="","",IFERROR(INDEX(Categorias!$C$6:$C$45,MATCH(D385,Categorias!$B$6:$B$45,0)),"Sem grupo"))</f>
        <v/>
      </c>
      <c r="P385" s="38" t="str">
        <f aca="false">IF(B385="","",DATE(YEAR(B385),MONTH(B385),1))</f>
        <v/>
      </c>
    </row>
    <row r="386" customFormat="false" ht="15" hidden="false" customHeight="false" outlineLevel="0" collapsed="false">
      <c r="B386" s="33"/>
      <c r="C386" s="30"/>
      <c r="D386" s="30"/>
      <c r="E386" s="31"/>
      <c r="F386" s="30"/>
      <c r="G386" s="30"/>
      <c r="H386" s="34" t="str">
        <f aca="false">IF(D386="","",IFERROR(INDEX(Categorias!$D$6:$D$45,MATCH(D386,Categorias!$B$6:$B$45,0))&amp;"",""))</f>
        <v/>
      </c>
      <c r="I386" s="35"/>
      <c r="J386" s="35"/>
      <c r="K386" s="35"/>
      <c r="L386" s="36" t="str">
        <f aca="false">IF(OR(H386="",COUNTIF(I386:K386,"S")+COUNTIF(I386:K386,"N")&lt;3),"",COUNTIF(I386:K386,"S")*IF(H386="S",5,IF(H386="M",4,IF(H386="E",3,2))))</f>
        <v/>
      </c>
      <c r="M386" s="37" t="str">
        <f aca="false">IF(L386="","",IF(L386&gt;=12,"Executar",IF(L386&gt;=8,"Executar com controle",IF(L386&gt;=5,"Postergar","Cancelar"))))</f>
        <v/>
      </c>
      <c r="O386" s="28" t="str">
        <f aca="false">IF(D386="","",IFERROR(INDEX(Categorias!$C$6:$C$45,MATCH(D386,Categorias!$B$6:$B$45,0)),"Sem grupo"))</f>
        <v/>
      </c>
      <c r="P386" s="38" t="str">
        <f aca="false">IF(B386="","",DATE(YEAR(B386),MONTH(B386),1))</f>
        <v/>
      </c>
    </row>
    <row r="387" customFormat="false" ht="15" hidden="false" customHeight="false" outlineLevel="0" collapsed="false">
      <c r="B387" s="33"/>
      <c r="C387" s="30"/>
      <c r="D387" s="30"/>
      <c r="E387" s="31"/>
      <c r="F387" s="30"/>
      <c r="G387" s="30"/>
      <c r="H387" s="34" t="str">
        <f aca="false">IF(D387="","",IFERROR(INDEX(Categorias!$D$6:$D$45,MATCH(D387,Categorias!$B$6:$B$45,0))&amp;"",""))</f>
        <v/>
      </c>
      <c r="I387" s="35"/>
      <c r="J387" s="35"/>
      <c r="K387" s="35"/>
      <c r="L387" s="36" t="str">
        <f aca="false">IF(OR(H387="",COUNTIF(I387:K387,"S")+COUNTIF(I387:K387,"N")&lt;3),"",COUNTIF(I387:K387,"S")*IF(H387="S",5,IF(H387="M",4,IF(H387="E",3,2))))</f>
        <v/>
      </c>
      <c r="M387" s="37" t="str">
        <f aca="false">IF(L387="","",IF(L387&gt;=12,"Executar",IF(L387&gt;=8,"Executar com controle",IF(L387&gt;=5,"Postergar","Cancelar"))))</f>
        <v/>
      </c>
      <c r="O387" s="28" t="str">
        <f aca="false">IF(D387="","",IFERROR(INDEX(Categorias!$C$6:$C$45,MATCH(D387,Categorias!$B$6:$B$45,0)),"Sem grupo"))</f>
        <v/>
      </c>
      <c r="P387" s="38" t="str">
        <f aca="false">IF(B387="","",DATE(YEAR(B387),MONTH(B387),1))</f>
        <v/>
      </c>
    </row>
    <row r="388" customFormat="false" ht="15" hidden="false" customHeight="false" outlineLevel="0" collapsed="false">
      <c r="B388" s="33"/>
      <c r="C388" s="30"/>
      <c r="D388" s="30"/>
      <c r="E388" s="31"/>
      <c r="F388" s="30"/>
      <c r="G388" s="30"/>
      <c r="H388" s="34" t="str">
        <f aca="false">IF(D388="","",IFERROR(INDEX(Categorias!$D$6:$D$45,MATCH(D388,Categorias!$B$6:$B$45,0))&amp;"",""))</f>
        <v/>
      </c>
      <c r="I388" s="35"/>
      <c r="J388" s="35"/>
      <c r="K388" s="35"/>
      <c r="L388" s="36" t="str">
        <f aca="false">IF(OR(H388="",COUNTIF(I388:K388,"S")+COUNTIF(I388:K388,"N")&lt;3),"",COUNTIF(I388:K388,"S")*IF(H388="S",5,IF(H388="M",4,IF(H388="E",3,2))))</f>
        <v/>
      </c>
      <c r="M388" s="37" t="str">
        <f aca="false">IF(L388="","",IF(L388&gt;=12,"Executar",IF(L388&gt;=8,"Executar com controle",IF(L388&gt;=5,"Postergar","Cancelar"))))</f>
        <v/>
      </c>
      <c r="O388" s="28" t="str">
        <f aca="false">IF(D388="","",IFERROR(INDEX(Categorias!$C$6:$C$45,MATCH(D388,Categorias!$B$6:$B$45,0)),"Sem grupo"))</f>
        <v/>
      </c>
      <c r="P388" s="38" t="str">
        <f aca="false">IF(B388="","",DATE(YEAR(B388),MONTH(B388),1))</f>
        <v/>
      </c>
    </row>
    <row r="389" customFormat="false" ht="15" hidden="false" customHeight="false" outlineLevel="0" collapsed="false">
      <c r="B389" s="33"/>
      <c r="C389" s="30"/>
      <c r="D389" s="30"/>
      <c r="E389" s="31"/>
      <c r="F389" s="30"/>
      <c r="G389" s="30"/>
      <c r="H389" s="34" t="str">
        <f aca="false">IF(D389="","",IFERROR(INDEX(Categorias!$D$6:$D$45,MATCH(D389,Categorias!$B$6:$B$45,0))&amp;"",""))</f>
        <v/>
      </c>
      <c r="I389" s="35"/>
      <c r="J389" s="35"/>
      <c r="K389" s="35"/>
      <c r="L389" s="36" t="str">
        <f aca="false">IF(OR(H389="",COUNTIF(I389:K389,"S")+COUNTIF(I389:K389,"N")&lt;3),"",COUNTIF(I389:K389,"S")*IF(H389="S",5,IF(H389="M",4,IF(H389="E",3,2))))</f>
        <v/>
      </c>
      <c r="M389" s="37" t="str">
        <f aca="false">IF(L389="","",IF(L389&gt;=12,"Executar",IF(L389&gt;=8,"Executar com controle",IF(L389&gt;=5,"Postergar","Cancelar"))))</f>
        <v/>
      </c>
      <c r="O389" s="28" t="str">
        <f aca="false">IF(D389="","",IFERROR(INDEX(Categorias!$C$6:$C$45,MATCH(D389,Categorias!$B$6:$B$45,0)),"Sem grupo"))</f>
        <v/>
      </c>
      <c r="P389" s="38" t="str">
        <f aca="false">IF(B389="","",DATE(YEAR(B389),MONTH(B389),1))</f>
        <v/>
      </c>
    </row>
    <row r="390" customFormat="false" ht="15" hidden="false" customHeight="false" outlineLevel="0" collapsed="false">
      <c r="B390" s="33"/>
      <c r="C390" s="30"/>
      <c r="D390" s="30"/>
      <c r="E390" s="31"/>
      <c r="F390" s="30"/>
      <c r="G390" s="30"/>
      <c r="H390" s="34" t="str">
        <f aca="false">IF(D390="","",IFERROR(INDEX(Categorias!$D$6:$D$45,MATCH(D390,Categorias!$B$6:$B$45,0))&amp;"",""))</f>
        <v/>
      </c>
      <c r="I390" s="35"/>
      <c r="J390" s="35"/>
      <c r="K390" s="35"/>
      <c r="L390" s="36" t="str">
        <f aca="false">IF(OR(H390="",COUNTIF(I390:K390,"S")+COUNTIF(I390:K390,"N")&lt;3),"",COUNTIF(I390:K390,"S")*IF(H390="S",5,IF(H390="M",4,IF(H390="E",3,2))))</f>
        <v/>
      </c>
      <c r="M390" s="37" t="str">
        <f aca="false">IF(L390="","",IF(L390&gt;=12,"Executar",IF(L390&gt;=8,"Executar com controle",IF(L390&gt;=5,"Postergar","Cancelar"))))</f>
        <v/>
      </c>
      <c r="O390" s="28" t="str">
        <f aca="false">IF(D390="","",IFERROR(INDEX(Categorias!$C$6:$C$45,MATCH(D390,Categorias!$B$6:$B$45,0)),"Sem grupo"))</f>
        <v/>
      </c>
      <c r="P390" s="38" t="str">
        <f aca="false">IF(B390="","",DATE(YEAR(B390),MONTH(B390),1))</f>
        <v/>
      </c>
    </row>
    <row r="391" customFormat="false" ht="15" hidden="false" customHeight="false" outlineLevel="0" collapsed="false">
      <c r="B391" s="33"/>
      <c r="C391" s="30"/>
      <c r="D391" s="30"/>
      <c r="E391" s="31"/>
      <c r="F391" s="30"/>
      <c r="G391" s="30"/>
      <c r="H391" s="34" t="str">
        <f aca="false">IF(D391="","",IFERROR(INDEX(Categorias!$D$6:$D$45,MATCH(D391,Categorias!$B$6:$B$45,0))&amp;"",""))</f>
        <v/>
      </c>
      <c r="I391" s="35"/>
      <c r="J391" s="35"/>
      <c r="K391" s="35"/>
      <c r="L391" s="36" t="str">
        <f aca="false">IF(OR(H391="",COUNTIF(I391:K391,"S")+COUNTIF(I391:K391,"N")&lt;3),"",COUNTIF(I391:K391,"S")*IF(H391="S",5,IF(H391="M",4,IF(H391="E",3,2))))</f>
        <v/>
      </c>
      <c r="M391" s="37" t="str">
        <f aca="false">IF(L391="","",IF(L391&gt;=12,"Executar",IF(L391&gt;=8,"Executar com controle",IF(L391&gt;=5,"Postergar","Cancelar"))))</f>
        <v/>
      </c>
      <c r="O391" s="28" t="str">
        <f aca="false">IF(D391="","",IFERROR(INDEX(Categorias!$C$6:$C$45,MATCH(D391,Categorias!$B$6:$B$45,0)),"Sem grupo"))</f>
        <v/>
      </c>
      <c r="P391" s="38" t="str">
        <f aca="false">IF(B391="","",DATE(YEAR(B391),MONTH(B391),1))</f>
        <v/>
      </c>
    </row>
    <row r="392" customFormat="false" ht="15" hidden="false" customHeight="false" outlineLevel="0" collapsed="false">
      <c r="B392" s="33"/>
      <c r="C392" s="30"/>
      <c r="D392" s="30"/>
      <c r="E392" s="31"/>
      <c r="F392" s="30"/>
      <c r="G392" s="30"/>
      <c r="H392" s="34" t="str">
        <f aca="false">IF(D392="","",IFERROR(INDEX(Categorias!$D$6:$D$45,MATCH(D392,Categorias!$B$6:$B$45,0))&amp;"",""))</f>
        <v/>
      </c>
      <c r="I392" s="35"/>
      <c r="J392" s="35"/>
      <c r="K392" s="35"/>
      <c r="L392" s="36" t="str">
        <f aca="false">IF(OR(H392="",COUNTIF(I392:K392,"S")+COUNTIF(I392:K392,"N")&lt;3),"",COUNTIF(I392:K392,"S")*IF(H392="S",5,IF(H392="M",4,IF(H392="E",3,2))))</f>
        <v/>
      </c>
      <c r="M392" s="37" t="str">
        <f aca="false">IF(L392="","",IF(L392&gt;=12,"Executar",IF(L392&gt;=8,"Executar com controle",IF(L392&gt;=5,"Postergar","Cancelar"))))</f>
        <v/>
      </c>
      <c r="O392" s="28" t="str">
        <f aca="false">IF(D392="","",IFERROR(INDEX(Categorias!$C$6:$C$45,MATCH(D392,Categorias!$B$6:$B$45,0)),"Sem grupo"))</f>
        <v/>
      </c>
      <c r="P392" s="38" t="str">
        <f aca="false">IF(B392="","",DATE(YEAR(B392),MONTH(B392),1))</f>
        <v/>
      </c>
    </row>
    <row r="393" customFormat="false" ht="15" hidden="false" customHeight="false" outlineLevel="0" collapsed="false">
      <c r="B393" s="33"/>
      <c r="C393" s="30"/>
      <c r="D393" s="30"/>
      <c r="E393" s="31"/>
      <c r="F393" s="30"/>
      <c r="G393" s="30"/>
      <c r="H393" s="34" t="str">
        <f aca="false">IF(D393="","",IFERROR(INDEX(Categorias!$D$6:$D$45,MATCH(D393,Categorias!$B$6:$B$45,0))&amp;"",""))</f>
        <v/>
      </c>
      <c r="I393" s="35"/>
      <c r="J393" s="35"/>
      <c r="K393" s="35"/>
      <c r="L393" s="36" t="str">
        <f aca="false">IF(OR(H393="",COUNTIF(I393:K393,"S")+COUNTIF(I393:K393,"N")&lt;3),"",COUNTIF(I393:K393,"S")*IF(H393="S",5,IF(H393="M",4,IF(H393="E",3,2))))</f>
        <v/>
      </c>
      <c r="M393" s="37" t="str">
        <f aca="false">IF(L393="","",IF(L393&gt;=12,"Executar",IF(L393&gt;=8,"Executar com controle",IF(L393&gt;=5,"Postergar","Cancelar"))))</f>
        <v/>
      </c>
      <c r="O393" s="28" t="str">
        <f aca="false">IF(D393="","",IFERROR(INDEX(Categorias!$C$6:$C$45,MATCH(D393,Categorias!$B$6:$B$45,0)),"Sem grupo"))</f>
        <v/>
      </c>
      <c r="P393" s="38" t="str">
        <f aca="false">IF(B393="","",DATE(YEAR(B393),MONTH(B393),1))</f>
        <v/>
      </c>
    </row>
    <row r="394" customFormat="false" ht="15" hidden="false" customHeight="false" outlineLevel="0" collapsed="false">
      <c r="B394" s="33"/>
      <c r="C394" s="30"/>
      <c r="D394" s="30"/>
      <c r="E394" s="31"/>
      <c r="F394" s="30"/>
      <c r="G394" s="30"/>
      <c r="H394" s="34" t="str">
        <f aca="false">IF(D394="","",IFERROR(INDEX(Categorias!$D$6:$D$45,MATCH(D394,Categorias!$B$6:$B$45,0))&amp;"",""))</f>
        <v/>
      </c>
      <c r="I394" s="35"/>
      <c r="J394" s="35"/>
      <c r="K394" s="35"/>
      <c r="L394" s="36" t="str">
        <f aca="false">IF(OR(H394="",COUNTIF(I394:K394,"S")+COUNTIF(I394:K394,"N")&lt;3),"",COUNTIF(I394:K394,"S")*IF(H394="S",5,IF(H394="M",4,IF(H394="E",3,2))))</f>
        <v/>
      </c>
      <c r="M394" s="37" t="str">
        <f aca="false">IF(L394="","",IF(L394&gt;=12,"Executar",IF(L394&gt;=8,"Executar com controle",IF(L394&gt;=5,"Postergar","Cancelar"))))</f>
        <v/>
      </c>
      <c r="O394" s="28" t="str">
        <f aca="false">IF(D394="","",IFERROR(INDEX(Categorias!$C$6:$C$45,MATCH(D394,Categorias!$B$6:$B$45,0)),"Sem grupo"))</f>
        <v/>
      </c>
      <c r="P394" s="38" t="str">
        <f aca="false">IF(B394="","",DATE(YEAR(B394),MONTH(B394),1))</f>
        <v/>
      </c>
    </row>
    <row r="395" customFormat="false" ht="15" hidden="false" customHeight="false" outlineLevel="0" collapsed="false">
      <c r="B395" s="33"/>
      <c r="C395" s="30"/>
      <c r="D395" s="30"/>
      <c r="E395" s="31"/>
      <c r="F395" s="30"/>
      <c r="G395" s="30"/>
      <c r="H395" s="34" t="str">
        <f aca="false">IF(D395="","",IFERROR(INDEX(Categorias!$D$6:$D$45,MATCH(D395,Categorias!$B$6:$B$45,0))&amp;"",""))</f>
        <v/>
      </c>
      <c r="I395" s="35"/>
      <c r="J395" s="35"/>
      <c r="K395" s="35"/>
      <c r="L395" s="36" t="str">
        <f aca="false">IF(OR(H395="",COUNTIF(I395:K395,"S")+COUNTIF(I395:K395,"N")&lt;3),"",COUNTIF(I395:K395,"S")*IF(H395="S",5,IF(H395="M",4,IF(H395="E",3,2))))</f>
        <v/>
      </c>
      <c r="M395" s="37" t="str">
        <f aca="false">IF(L395="","",IF(L395&gt;=12,"Executar",IF(L395&gt;=8,"Executar com controle",IF(L395&gt;=5,"Postergar","Cancelar"))))</f>
        <v/>
      </c>
      <c r="O395" s="28" t="str">
        <f aca="false">IF(D395="","",IFERROR(INDEX(Categorias!$C$6:$C$45,MATCH(D395,Categorias!$B$6:$B$45,0)),"Sem grupo"))</f>
        <v/>
      </c>
      <c r="P395" s="38" t="str">
        <f aca="false">IF(B395="","",DATE(YEAR(B395),MONTH(B395),1))</f>
        <v/>
      </c>
    </row>
    <row r="396" customFormat="false" ht="15" hidden="false" customHeight="false" outlineLevel="0" collapsed="false">
      <c r="B396" s="33"/>
      <c r="C396" s="30"/>
      <c r="D396" s="30"/>
      <c r="E396" s="31"/>
      <c r="F396" s="30"/>
      <c r="G396" s="30"/>
      <c r="H396" s="34" t="str">
        <f aca="false">IF(D396="","",IFERROR(INDEX(Categorias!$D$6:$D$45,MATCH(D396,Categorias!$B$6:$B$45,0))&amp;"",""))</f>
        <v/>
      </c>
      <c r="I396" s="35"/>
      <c r="J396" s="35"/>
      <c r="K396" s="35"/>
      <c r="L396" s="36" t="str">
        <f aca="false">IF(OR(H396="",COUNTIF(I396:K396,"S")+COUNTIF(I396:K396,"N")&lt;3),"",COUNTIF(I396:K396,"S")*IF(H396="S",5,IF(H396="M",4,IF(H396="E",3,2))))</f>
        <v/>
      </c>
      <c r="M396" s="37" t="str">
        <f aca="false">IF(L396="","",IF(L396&gt;=12,"Executar",IF(L396&gt;=8,"Executar com controle",IF(L396&gt;=5,"Postergar","Cancelar"))))</f>
        <v/>
      </c>
      <c r="O396" s="28" t="str">
        <f aca="false">IF(D396="","",IFERROR(INDEX(Categorias!$C$6:$C$45,MATCH(D396,Categorias!$B$6:$B$45,0)),"Sem grupo"))</f>
        <v/>
      </c>
      <c r="P396" s="38" t="str">
        <f aca="false">IF(B396="","",DATE(YEAR(B396),MONTH(B396),1))</f>
        <v/>
      </c>
    </row>
    <row r="397" customFormat="false" ht="15" hidden="false" customHeight="false" outlineLevel="0" collapsed="false">
      <c r="B397" s="33"/>
      <c r="C397" s="30"/>
      <c r="D397" s="30"/>
      <c r="E397" s="31"/>
      <c r="F397" s="30"/>
      <c r="G397" s="30"/>
      <c r="H397" s="34" t="str">
        <f aca="false">IF(D397="","",IFERROR(INDEX(Categorias!$D$6:$D$45,MATCH(D397,Categorias!$B$6:$B$45,0))&amp;"",""))</f>
        <v/>
      </c>
      <c r="I397" s="35"/>
      <c r="J397" s="35"/>
      <c r="K397" s="35"/>
      <c r="L397" s="36" t="str">
        <f aca="false">IF(OR(H397="",COUNTIF(I397:K397,"S")+COUNTIF(I397:K397,"N")&lt;3),"",COUNTIF(I397:K397,"S")*IF(H397="S",5,IF(H397="M",4,IF(H397="E",3,2))))</f>
        <v/>
      </c>
      <c r="M397" s="37" t="str">
        <f aca="false">IF(L397="","",IF(L397&gt;=12,"Executar",IF(L397&gt;=8,"Executar com controle",IF(L397&gt;=5,"Postergar","Cancelar"))))</f>
        <v/>
      </c>
      <c r="O397" s="28" t="str">
        <f aca="false">IF(D397="","",IFERROR(INDEX(Categorias!$C$6:$C$45,MATCH(D397,Categorias!$B$6:$B$45,0)),"Sem grupo"))</f>
        <v/>
      </c>
      <c r="P397" s="38" t="str">
        <f aca="false">IF(B397="","",DATE(YEAR(B397),MONTH(B397),1))</f>
        <v/>
      </c>
    </row>
    <row r="398" customFormat="false" ht="15" hidden="false" customHeight="false" outlineLevel="0" collapsed="false">
      <c r="B398" s="33"/>
      <c r="C398" s="30"/>
      <c r="D398" s="30"/>
      <c r="E398" s="31"/>
      <c r="F398" s="30"/>
      <c r="G398" s="30"/>
      <c r="H398" s="34" t="str">
        <f aca="false">IF(D398="","",IFERROR(INDEX(Categorias!$D$6:$D$45,MATCH(D398,Categorias!$B$6:$B$45,0))&amp;"",""))</f>
        <v/>
      </c>
      <c r="I398" s="35"/>
      <c r="J398" s="35"/>
      <c r="K398" s="35"/>
      <c r="L398" s="36" t="str">
        <f aca="false">IF(OR(H398="",COUNTIF(I398:K398,"S")+COUNTIF(I398:K398,"N")&lt;3),"",COUNTIF(I398:K398,"S")*IF(H398="S",5,IF(H398="M",4,IF(H398="E",3,2))))</f>
        <v/>
      </c>
      <c r="M398" s="37" t="str">
        <f aca="false">IF(L398="","",IF(L398&gt;=12,"Executar",IF(L398&gt;=8,"Executar com controle",IF(L398&gt;=5,"Postergar","Cancelar"))))</f>
        <v/>
      </c>
      <c r="O398" s="28" t="str">
        <f aca="false">IF(D398="","",IFERROR(INDEX(Categorias!$C$6:$C$45,MATCH(D398,Categorias!$B$6:$B$45,0)),"Sem grupo"))</f>
        <v/>
      </c>
      <c r="P398" s="38" t="str">
        <f aca="false">IF(B398="","",DATE(YEAR(B398),MONTH(B398),1))</f>
        <v/>
      </c>
    </row>
    <row r="399" customFormat="false" ht="15" hidden="false" customHeight="false" outlineLevel="0" collapsed="false">
      <c r="B399" s="33"/>
      <c r="C399" s="30"/>
      <c r="D399" s="30"/>
      <c r="E399" s="31"/>
      <c r="F399" s="30"/>
      <c r="G399" s="30"/>
      <c r="H399" s="34" t="str">
        <f aca="false">IF(D399="","",IFERROR(INDEX(Categorias!$D$6:$D$45,MATCH(D399,Categorias!$B$6:$B$45,0))&amp;"",""))</f>
        <v/>
      </c>
      <c r="I399" s="35"/>
      <c r="J399" s="35"/>
      <c r="K399" s="35"/>
      <c r="L399" s="36" t="str">
        <f aca="false">IF(OR(H399="",COUNTIF(I399:K399,"S")+COUNTIF(I399:K399,"N")&lt;3),"",COUNTIF(I399:K399,"S")*IF(H399="S",5,IF(H399="M",4,IF(H399="E",3,2))))</f>
        <v/>
      </c>
      <c r="M399" s="37" t="str">
        <f aca="false">IF(L399="","",IF(L399&gt;=12,"Executar",IF(L399&gt;=8,"Executar com controle",IF(L399&gt;=5,"Postergar","Cancelar"))))</f>
        <v/>
      </c>
      <c r="O399" s="28" t="str">
        <f aca="false">IF(D399="","",IFERROR(INDEX(Categorias!$C$6:$C$45,MATCH(D399,Categorias!$B$6:$B$45,0)),"Sem grupo"))</f>
        <v/>
      </c>
      <c r="P399" s="38" t="str">
        <f aca="false">IF(B399="","",DATE(YEAR(B399),MONTH(B399),1))</f>
        <v/>
      </c>
    </row>
    <row r="400" customFormat="false" ht="15" hidden="false" customHeight="false" outlineLevel="0" collapsed="false">
      <c r="B400" s="33"/>
      <c r="C400" s="30"/>
      <c r="D400" s="30"/>
      <c r="E400" s="31"/>
      <c r="F400" s="30"/>
      <c r="G400" s="30"/>
      <c r="H400" s="34" t="str">
        <f aca="false">IF(D400="","",IFERROR(INDEX(Categorias!$D$6:$D$45,MATCH(D400,Categorias!$B$6:$B$45,0))&amp;"",""))</f>
        <v/>
      </c>
      <c r="I400" s="35"/>
      <c r="J400" s="35"/>
      <c r="K400" s="35"/>
      <c r="L400" s="36" t="str">
        <f aca="false">IF(OR(H400="",COUNTIF(I400:K400,"S")+COUNTIF(I400:K400,"N")&lt;3),"",COUNTIF(I400:K400,"S")*IF(H400="S",5,IF(H400="M",4,IF(H400="E",3,2))))</f>
        <v/>
      </c>
      <c r="M400" s="37" t="str">
        <f aca="false">IF(L400="","",IF(L400&gt;=12,"Executar",IF(L400&gt;=8,"Executar com controle",IF(L400&gt;=5,"Postergar","Cancelar"))))</f>
        <v/>
      </c>
      <c r="O400" s="28" t="str">
        <f aca="false">IF(D400="","",IFERROR(INDEX(Categorias!$C$6:$C$45,MATCH(D400,Categorias!$B$6:$B$45,0)),"Sem grupo"))</f>
        <v/>
      </c>
      <c r="P400" s="38" t="str">
        <f aca="false">IF(B400="","",DATE(YEAR(B400),MONTH(B400),1))</f>
        <v/>
      </c>
    </row>
    <row r="401" customFormat="false" ht="15" hidden="false" customHeight="false" outlineLevel="0" collapsed="false">
      <c r="B401" s="33"/>
      <c r="C401" s="30"/>
      <c r="D401" s="30"/>
      <c r="E401" s="31"/>
      <c r="F401" s="30"/>
      <c r="G401" s="30"/>
      <c r="H401" s="34" t="str">
        <f aca="false">IF(D401="","",IFERROR(INDEX(Categorias!$D$6:$D$45,MATCH(D401,Categorias!$B$6:$B$45,0))&amp;"",""))</f>
        <v/>
      </c>
      <c r="I401" s="35"/>
      <c r="J401" s="35"/>
      <c r="K401" s="35"/>
      <c r="L401" s="36" t="str">
        <f aca="false">IF(OR(H401="",COUNTIF(I401:K401,"S")+COUNTIF(I401:K401,"N")&lt;3),"",COUNTIF(I401:K401,"S")*IF(H401="S",5,IF(H401="M",4,IF(H401="E",3,2))))</f>
        <v/>
      </c>
      <c r="M401" s="37" t="str">
        <f aca="false">IF(L401="","",IF(L401&gt;=12,"Executar",IF(L401&gt;=8,"Executar com controle",IF(L401&gt;=5,"Postergar","Cancelar"))))</f>
        <v/>
      </c>
      <c r="O401" s="28" t="str">
        <f aca="false">IF(D401="","",IFERROR(INDEX(Categorias!$C$6:$C$45,MATCH(D401,Categorias!$B$6:$B$45,0)),"Sem grupo"))</f>
        <v/>
      </c>
      <c r="P401" s="38" t="str">
        <f aca="false">IF(B401="","",DATE(YEAR(B401),MONTH(B401),1))</f>
        <v/>
      </c>
    </row>
    <row r="402" customFormat="false" ht="15" hidden="false" customHeight="false" outlineLevel="0" collapsed="false">
      <c r="B402" s="33"/>
      <c r="C402" s="30"/>
      <c r="D402" s="30"/>
      <c r="E402" s="31"/>
      <c r="F402" s="30"/>
      <c r="G402" s="30"/>
      <c r="H402" s="34" t="str">
        <f aca="false">IF(D402="","",IFERROR(INDEX(Categorias!$D$6:$D$45,MATCH(D402,Categorias!$B$6:$B$45,0))&amp;"",""))</f>
        <v/>
      </c>
      <c r="I402" s="35"/>
      <c r="J402" s="35"/>
      <c r="K402" s="35"/>
      <c r="L402" s="36" t="str">
        <f aca="false">IF(OR(H402="",COUNTIF(I402:K402,"S")+COUNTIF(I402:K402,"N")&lt;3),"",COUNTIF(I402:K402,"S")*IF(H402="S",5,IF(H402="M",4,IF(H402="E",3,2))))</f>
        <v/>
      </c>
      <c r="M402" s="37" t="str">
        <f aca="false">IF(L402="","",IF(L402&gt;=12,"Executar",IF(L402&gt;=8,"Executar com controle",IF(L402&gt;=5,"Postergar","Cancelar"))))</f>
        <v/>
      </c>
      <c r="O402" s="28" t="str">
        <f aca="false">IF(D402="","",IFERROR(INDEX(Categorias!$C$6:$C$45,MATCH(D402,Categorias!$B$6:$B$45,0)),"Sem grupo"))</f>
        <v/>
      </c>
      <c r="P402" s="38" t="str">
        <f aca="false">IF(B402="","",DATE(YEAR(B402),MONTH(B402),1))</f>
        <v/>
      </c>
    </row>
    <row r="403" customFormat="false" ht="15" hidden="false" customHeight="false" outlineLevel="0" collapsed="false">
      <c r="B403" s="33"/>
      <c r="C403" s="30"/>
      <c r="D403" s="30"/>
      <c r="E403" s="31"/>
      <c r="F403" s="30"/>
      <c r="G403" s="30"/>
      <c r="H403" s="34" t="str">
        <f aca="false">IF(D403="","",IFERROR(INDEX(Categorias!$D$6:$D$45,MATCH(D403,Categorias!$B$6:$B$45,0))&amp;"",""))</f>
        <v/>
      </c>
      <c r="I403" s="35"/>
      <c r="J403" s="35"/>
      <c r="K403" s="35"/>
      <c r="L403" s="36" t="str">
        <f aca="false">IF(OR(H403="",COUNTIF(I403:K403,"S")+COUNTIF(I403:K403,"N")&lt;3),"",COUNTIF(I403:K403,"S")*IF(H403="S",5,IF(H403="M",4,IF(H403="E",3,2))))</f>
        <v/>
      </c>
      <c r="M403" s="37" t="str">
        <f aca="false">IF(L403="","",IF(L403&gt;=12,"Executar",IF(L403&gt;=8,"Executar com controle",IF(L403&gt;=5,"Postergar","Cancelar"))))</f>
        <v/>
      </c>
      <c r="O403" s="28" t="str">
        <f aca="false">IF(D403="","",IFERROR(INDEX(Categorias!$C$6:$C$45,MATCH(D403,Categorias!$B$6:$B$45,0)),"Sem grupo"))</f>
        <v/>
      </c>
      <c r="P403" s="38" t="str">
        <f aca="false">IF(B403="","",DATE(YEAR(B403),MONTH(B403),1))</f>
        <v/>
      </c>
    </row>
    <row r="404" customFormat="false" ht="15" hidden="false" customHeight="false" outlineLevel="0" collapsed="false">
      <c r="B404" s="33"/>
      <c r="C404" s="30"/>
      <c r="D404" s="30"/>
      <c r="E404" s="31"/>
      <c r="F404" s="30"/>
      <c r="G404" s="30"/>
      <c r="H404" s="34" t="str">
        <f aca="false">IF(D404="","",IFERROR(INDEX(Categorias!$D$6:$D$45,MATCH(D404,Categorias!$B$6:$B$45,0))&amp;"",""))</f>
        <v/>
      </c>
      <c r="I404" s="35"/>
      <c r="J404" s="35"/>
      <c r="K404" s="35"/>
      <c r="L404" s="36" t="str">
        <f aca="false">IF(OR(H404="",COUNTIF(I404:K404,"S")+COUNTIF(I404:K404,"N")&lt;3),"",COUNTIF(I404:K404,"S")*IF(H404="S",5,IF(H404="M",4,IF(H404="E",3,2))))</f>
        <v/>
      </c>
      <c r="M404" s="37" t="str">
        <f aca="false">IF(L404="","",IF(L404&gt;=12,"Executar",IF(L404&gt;=8,"Executar com controle",IF(L404&gt;=5,"Postergar","Cancelar"))))</f>
        <v/>
      </c>
      <c r="O404" s="28" t="str">
        <f aca="false">IF(D404="","",IFERROR(INDEX(Categorias!$C$6:$C$45,MATCH(D404,Categorias!$B$6:$B$45,0)),"Sem grupo"))</f>
        <v/>
      </c>
      <c r="P404" s="38" t="str">
        <f aca="false">IF(B404="","",DATE(YEAR(B404),MONTH(B404),1))</f>
        <v/>
      </c>
    </row>
    <row r="405" customFormat="false" ht="15" hidden="false" customHeight="false" outlineLevel="0" collapsed="false">
      <c r="B405" s="33"/>
      <c r="C405" s="30"/>
      <c r="D405" s="30"/>
      <c r="E405" s="31"/>
      <c r="F405" s="30"/>
      <c r="G405" s="30"/>
      <c r="H405" s="34" t="str">
        <f aca="false">IF(D405="","",IFERROR(INDEX(Categorias!$D$6:$D$45,MATCH(D405,Categorias!$B$6:$B$45,0))&amp;"",""))</f>
        <v/>
      </c>
      <c r="I405" s="35"/>
      <c r="J405" s="35"/>
      <c r="K405" s="35"/>
      <c r="L405" s="36" t="str">
        <f aca="false">IF(OR(H405="",COUNTIF(I405:K405,"S")+COUNTIF(I405:K405,"N")&lt;3),"",COUNTIF(I405:K405,"S")*IF(H405="S",5,IF(H405="M",4,IF(H405="E",3,2))))</f>
        <v/>
      </c>
      <c r="M405" s="37" t="str">
        <f aca="false">IF(L405="","",IF(L405&gt;=12,"Executar",IF(L405&gt;=8,"Executar com controle",IF(L405&gt;=5,"Postergar","Cancelar"))))</f>
        <v/>
      </c>
      <c r="O405" s="28" t="str">
        <f aca="false">IF(D405="","",IFERROR(INDEX(Categorias!$C$6:$C$45,MATCH(D405,Categorias!$B$6:$B$45,0)),"Sem grupo"))</f>
        <v/>
      </c>
      <c r="P405" s="38" t="str">
        <f aca="false">IF(B405="","",DATE(YEAR(B405),MONTH(B405),1))</f>
        <v/>
      </c>
    </row>
    <row r="406" customFormat="false" ht="15" hidden="false" customHeight="false" outlineLevel="0" collapsed="false">
      <c r="B406" s="33"/>
      <c r="C406" s="30"/>
      <c r="D406" s="30"/>
      <c r="E406" s="31"/>
      <c r="F406" s="30"/>
      <c r="G406" s="30"/>
      <c r="H406" s="34" t="str">
        <f aca="false">IF(D406="","",IFERROR(INDEX(Categorias!$D$6:$D$45,MATCH(D406,Categorias!$B$6:$B$45,0))&amp;"",""))</f>
        <v/>
      </c>
      <c r="I406" s="35"/>
      <c r="J406" s="35"/>
      <c r="K406" s="35"/>
      <c r="L406" s="36" t="str">
        <f aca="false">IF(OR(H406="",COUNTIF(I406:K406,"S")+COUNTIF(I406:K406,"N")&lt;3),"",COUNTIF(I406:K406,"S")*IF(H406="S",5,IF(H406="M",4,IF(H406="E",3,2))))</f>
        <v/>
      </c>
      <c r="M406" s="37" t="str">
        <f aca="false">IF(L406="","",IF(L406&gt;=12,"Executar",IF(L406&gt;=8,"Executar com controle",IF(L406&gt;=5,"Postergar","Cancelar"))))</f>
        <v/>
      </c>
      <c r="O406" s="28" t="str">
        <f aca="false">IF(D406="","",IFERROR(INDEX(Categorias!$C$6:$C$45,MATCH(D406,Categorias!$B$6:$B$45,0)),"Sem grupo"))</f>
        <v/>
      </c>
      <c r="P406" s="38" t="str">
        <f aca="false">IF(B406="","",DATE(YEAR(B406),MONTH(B406),1))</f>
        <v/>
      </c>
    </row>
    <row r="407" customFormat="false" ht="15" hidden="false" customHeight="false" outlineLevel="0" collapsed="false">
      <c r="B407" s="33"/>
      <c r="C407" s="30"/>
      <c r="D407" s="30"/>
      <c r="E407" s="31"/>
      <c r="F407" s="30"/>
      <c r="G407" s="30"/>
      <c r="H407" s="34" t="str">
        <f aca="false">IF(D407="","",IFERROR(INDEX(Categorias!$D$6:$D$45,MATCH(D407,Categorias!$B$6:$B$45,0))&amp;"",""))</f>
        <v/>
      </c>
      <c r="I407" s="35"/>
      <c r="J407" s="35"/>
      <c r="K407" s="35"/>
      <c r="L407" s="36" t="str">
        <f aca="false">IF(OR(H407="",COUNTIF(I407:K407,"S")+COUNTIF(I407:K407,"N")&lt;3),"",COUNTIF(I407:K407,"S")*IF(H407="S",5,IF(H407="M",4,IF(H407="E",3,2))))</f>
        <v/>
      </c>
      <c r="M407" s="37" t="str">
        <f aca="false">IF(L407="","",IF(L407&gt;=12,"Executar",IF(L407&gt;=8,"Executar com controle",IF(L407&gt;=5,"Postergar","Cancelar"))))</f>
        <v/>
      </c>
      <c r="O407" s="28" t="str">
        <f aca="false">IF(D407="","",IFERROR(INDEX(Categorias!$C$6:$C$45,MATCH(D407,Categorias!$B$6:$B$45,0)),"Sem grupo"))</f>
        <v/>
      </c>
      <c r="P407" s="38" t="str">
        <f aca="false">IF(B407="","",DATE(YEAR(B407),MONTH(B407),1))</f>
        <v/>
      </c>
    </row>
    <row r="408" customFormat="false" ht="15" hidden="false" customHeight="false" outlineLevel="0" collapsed="false">
      <c r="B408" s="33"/>
      <c r="C408" s="30"/>
      <c r="D408" s="30"/>
      <c r="E408" s="31"/>
      <c r="F408" s="30"/>
      <c r="G408" s="30"/>
      <c r="H408" s="34" t="str">
        <f aca="false">IF(D408="","",IFERROR(INDEX(Categorias!$D$6:$D$45,MATCH(D408,Categorias!$B$6:$B$45,0))&amp;"",""))</f>
        <v/>
      </c>
      <c r="I408" s="35"/>
      <c r="J408" s="35"/>
      <c r="K408" s="35"/>
      <c r="L408" s="36" t="str">
        <f aca="false">IF(OR(H408="",COUNTIF(I408:K408,"S")+COUNTIF(I408:K408,"N")&lt;3),"",COUNTIF(I408:K408,"S")*IF(H408="S",5,IF(H408="M",4,IF(H408="E",3,2))))</f>
        <v/>
      </c>
      <c r="M408" s="37" t="str">
        <f aca="false">IF(L408="","",IF(L408&gt;=12,"Executar",IF(L408&gt;=8,"Executar com controle",IF(L408&gt;=5,"Postergar","Cancelar"))))</f>
        <v/>
      </c>
      <c r="O408" s="28" t="str">
        <f aca="false">IF(D408="","",IFERROR(INDEX(Categorias!$C$6:$C$45,MATCH(D408,Categorias!$B$6:$B$45,0)),"Sem grupo"))</f>
        <v/>
      </c>
      <c r="P408" s="38" t="str">
        <f aca="false">IF(B408="","",DATE(YEAR(B408),MONTH(B408),1))</f>
        <v/>
      </c>
    </row>
    <row r="409" customFormat="false" ht="15" hidden="false" customHeight="false" outlineLevel="0" collapsed="false">
      <c r="B409" s="33"/>
      <c r="C409" s="30"/>
      <c r="D409" s="30"/>
      <c r="E409" s="31"/>
      <c r="F409" s="30"/>
      <c r="G409" s="30"/>
      <c r="H409" s="34" t="str">
        <f aca="false">IF(D409="","",IFERROR(INDEX(Categorias!$D$6:$D$45,MATCH(D409,Categorias!$B$6:$B$45,0))&amp;"",""))</f>
        <v/>
      </c>
      <c r="I409" s="35"/>
      <c r="J409" s="35"/>
      <c r="K409" s="35"/>
      <c r="L409" s="36" t="str">
        <f aca="false">IF(OR(H409="",COUNTIF(I409:K409,"S")+COUNTIF(I409:K409,"N")&lt;3),"",COUNTIF(I409:K409,"S")*IF(H409="S",5,IF(H409="M",4,IF(H409="E",3,2))))</f>
        <v/>
      </c>
      <c r="M409" s="37" t="str">
        <f aca="false">IF(L409="","",IF(L409&gt;=12,"Executar",IF(L409&gt;=8,"Executar com controle",IF(L409&gt;=5,"Postergar","Cancelar"))))</f>
        <v/>
      </c>
      <c r="O409" s="28" t="str">
        <f aca="false">IF(D409="","",IFERROR(INDEX(Categorias!$C$6:$C$45,MATCH(D409,Categorias!$B$6:$B$45,0)),"Sem grupo"))</f>
        <v/>
      </c>
      <c r="P409" s="38" t="str">
        <f aca="false">IF(B409="","",DATE(YEAR(B409),MONTH(B409),1))</f>
        <v/>
      </c>
    </row>
    <row r="410" customFormat="false" ht="15" hidden="false" customHeight="false" outlineLevel="0" collapsed="false">
      <c r="B410" s="33"/>
      <c r="C410" s="30"/>
      <c r="D410" s="30"/>
      <c r="E410" s="31"/>
      <c r="F410" s="30"/>
      <c r="G410" s="30"/>
      <c r="H410" s="34" t="str">
        <f aca="false">IF(D410="","",IFERROR(INDEX(Categorias!$D$6:$D$45,MATCH(D410,Categorias!$B$6:$B$45,0))&amp;"",""))</f>
        <v/>
      </c>
      <c r="I410" s="35"/>
      <c r="J410" s="35"/>
      <c r="K410" s="35"/>
      <c r="L410" s="36" t="str">
        <f aca="false">IF(OR(H410="",COUNTIF(I410:K410,"S")+COUNTIF(I410:K410,"N")&lt;3),"",COUNTIF(I410:K410,"S")*IF(H410="S",5,IF(H410="M",4,IF(H410="E",3,2))))</f>
        <v/>
      </c>
      <c r="M410" s="37" t="str">
        <f aca="false">IF(L410="","",IF(L410&gt;=12,"Executar",IF(L410&gt;=8,"Executar com controle",IF(L410&gt;=5,"Postergar","Cancelar"))))</f>
        <v/>
      </c>
      <c r="O410" s="28" t="str">
        <f aca="false">IF(D410="","",IFERROR(INDEX(Categorias!$C$6:$C$45,MATCH(D410,Categorias!$B$6:$B$45,0)),"Sem grupo"))</f>
        <v/>
      </c>
      <c r="P410" s="38" t="str">
        <f aca="false">IF(B410="","",DATE(YEAR(B410),MONTH(B410),1))</f>
        <v/>
      </c>
    </row>
    <row r="411" customFormat="false" ht="15" hidden="false" customHeight="false" outlineLevel="0" collapsed="false">
      <c r="B411" s="33"/>
      <c r="C411" s="30"/>
      <c r="D411" s="30"/>
      <c r="E411" s="31"/>
      <c r="F411" s="30"/>
      <c r="G411" s="30"/>
      <c r="H411" s="34" t="str">
        <f aca="false">IF(D411="","",IFERROR(INDEX(Categorias!$D$6:$D$45,MATCH(D411,Categorias!$B$6:$B$45,0))&amp;"",""))</f>
        <v/>
      </c>
      <c r="I411" s="35"/>
      <c r="J411" s="35"/>
      <c r="K411" s="35"/>
      <c r="L411" s="36" t="str">
        <f aca="false">IF(OR(H411="",COUNTIF(I411:K411,"S")+COUNTIF(I411:K411,"N")&lt;3),"",COUNTIF(I411:K411,"S")*IF(H411="S",5,IF(H411="M",4,IF(H411="E",3,2))))</f>
        <v/>
      </c>
      <c r="M411" s="37" t="str">
        <f aca="false">IF(L411="","",IF(L411&gt;=12,"Executar",IF(L411&gt;=8,"Executar com controle",IF(L411&gt;=5,"Postergar","Cancelar"))))</f>
        <v/>
      </c>
      <c r="O411" s="28" t="str">
        <f aca="false">IF(D411="","",IFERROR(INDEX(Categorias!$C$6:$C$45,MATCH(D411,Categorias!$B$6:$B$45,0)),"Sem grupo"))</f>
        <v/>
      </c>
      <c r="P411" s="38" t="str">
        <f aca="false">IF(B411="","",DATE(YEAR(B411),MONTH(B411),1))</f>
        <v/>
      </c>
    </row>
    <row r="412" customFormat="false" ht="15" hidden="false" customHeight="false" outlineLevel="0" collapsed="false">
      <c r="B412" s="33"/>
      <c r="C412" s="30"/>
      <c r="D412" s="30"/>
      <c r="E412" s="31"/>
      <c r="F412" s="30"/>
      <c r="G412" s="30"/>
      <c r="H412" s="34" t="str">
        <f aca="false">IF(D412="","",IFERROR(INDEX(Categorias!$D$6:$D$45,MATCH(D412,Categorias!$B$6:$B$45,0))&amp;"",""))</f>
        <v/>
      </c>
      <c r="I412" s="35"/>
      <c r="J412" s="35"/>
      <c r="K412" s="35"/>
      <c r="L412" s="36" t="str">
        <f aca="false">IF(OR(H412="",COUNTIF(I412:K412,"S")+COUNTIF(I412:K412,"N")&lt;3),"",COUNTIF(I412:K412,"S")*IF(H412="S",5,IF(H412="M",4,IF(H412="E",3,2))))</f>
        <v/>
      </c>
      <c r="M412" s="37" t="str">
        <f aca="false">IF(L412="","",IF(L412&gt;=12,"Executar",IF(L412&gt;=8,"Executar com controle",IF(L412&gt;=5,"Postergar","Cancelar"))))</f>
        <v/>
      </c>
      <c r="O412" s="28" t="str">
        <f aca="false">IF(D412="","",IFERROR(INDEX(Categorias!$C$6:$C$45,MATCH(D412,Categorias!$B$6:$B$45,0)),"Sem grupo"))</f>
        <v/>
      </c>
      <c r="P412" s="38" t="str">
        <f aca="false">IF(B412="","",DATE(YEAR(B412),MONTH(B412),1))</f>
        <v/>
      </c>
    </row>
    <row r="413" customFormat="false" ht="15" hidden="false" customHeight="false" outlineLevel="0" collapsed="false">
      <c r="B413" s="33"/>
      <c r="C413" s="30"/>
      <c r="D413" s="30"/>
      <c r="E413" s="31"/>
      <c r="F413" s="30"/>
      <c r="G413" s="30"/>
      <c r="H413" s="34" t="str">
        <f aca="false">IF(D413="","",IFERROR(INDEX(Categorias!$D$6:$D$45,MATCH(D413,Categorias!$B$6:$B$45,0))&amp;"",""))</f>
        <v/>
      </c>
      <c r="I413" s="35"/>
      <c r="J413" s="35"/>
      <c r="K413" s="35"/>
      <c r="L413" s="36" t="str">
        <f aca="false">IF(OR(H413="",COUNTIF(I413:K413,"S")+COUNTIF(I413:K413,"N")&lt;3),"",COUNTIF(I413:K413,"S")*IF(H413="S",5,IF(H413="M",4,IF(H413="E",3,2))))</f>
        <v/>
      </c>
      <c r="M413" s="37" t="str">
        <f aca="false">IF(L413="","",IF(L413&gt;=12,"Executar",IF(L413&gt;=8,"Executar com controle",IF(L413&gt;=5,"Postergar","Cancelar"))))</f>
        <v/>
      </c>
      <c r="O413" s="28" t="str">
        <f aca="false">IF(D413="","",IFERROR(INDEX(Categorias!$C$6:$C$45,MATCH(D413,Categorias!$B$6:$B$45,0)),"Sem grupo"))</f>
        <v/>
      </c>
      <c r="P413" s="38" t="str">
        <f aca="false">IF(B413="","",DATE(YEAR(B413),MONTH(B413),1))</f>
        <v/>
      </c>
    </row>
    <row r="414" customFormat="false" ht="15" hidden="false" customHeight="false" outlineLevel="0" collapsed="false">
      <c r="B414" s="33"/>
      <c r="C414" s="30"/>
      <c r="D414" s="30"/>
      <c r="E414" s="31"/>
      <c r="F414" s="30"/>
      <c r="G414" s="30"/>
      <c r="H414" s="34" t="str">
        <f aca="false">IF(D414="","",IFERROR(INDEX(Categorias!$D$6:$D$45,MATCH(D414,Categorias!$B$6:$B$45,0))&amp;"",""))</f>
        <v/>
      </c>
      <c r="I414" s="35"/>
      <c r="J414" s="35"/>
      <c r="K414" s="35"/>
      <c r="L414" s="36" t="str">
        <f aca="false">IF(OR(H414="",COUNTIF(I414:K414,"S")+COUNTIF(I414:K414,"N")&lt;3),"",COUNTIF(I414:K414,"S")*IF(H414="S",5,IF(H414="M",4,IF(H414="E",3,2))))</f>
        <v/>
      </c>
      <c r="M414" s="37" t="str">
        <f aca="false">IF(L414="","",IF(L414&gt;=12,"Executar",IF(L414&gt;=8,"Executar com controle",IF(L414&gt;=5,"Postergar","Cancelar"))))</f>
        <v/>
      </c>
      <c r="O414" s="28" t="str">
        <f aca="false">IF(D414="","",IFERROR(INDEX(Categorias!$C$6:$C$45,MATCH(D414,Categorias!$B$6:$B$45,0)),"Sem grupo"))</f>
        <v/>
      </c>
      <c r="P414" s="38" t="str">
        <f aca="false">IF(B414="","",DATE(YEAR(B414),MONTH(B414),1))</f>
        <v/>
      </c>
    </row>
    <row r="415" customFormat="false" ht="15" hidden="false" customHeight="false" outlineLevel="0" collapsed="false">
      <c r="B415" s="33"/>
      <c r="C415" s="30"/>
      <c r="D415" s="30"/>
      <c r="E415" s="31"/>
      <c r="F415" s="30"/>
      <c r="G415" s="30"/>
      <c r="H415" s="34" t="str">
        <f aca="false">IF(D415="","",IFERROR(INDEX(Categorias!$D$6:$D$45,MATCH(D415,Categorias!$B$6:$B$45,0))&amp;"",""))</f>
        <v/>
      </c>
      <c r="I415" s="35"/>
      <c r="J415" s="35"/>
      <c r="K415" s="35"/>
      <c r="L415" s="36" t="str">
        <f aca="false">IF(OR(H415="",COUNTIF(I415:K415,"S")+COUNTIF(I415:K415,"N")&lt;3),"",COUNTIF(I415:K415,"S")*IF(H415="S",5,IF(H415="M",4,IF(H415="E",3,2))))</f>
        <v/>
      </c>
      <c r="M415" s="37" t="str">
        <f aca="false">IF(L415="","",IF(L415&gt;=12,"Executar",IF(L415&gt;=8,"Executar com controle",IF(L415&gt;=5,"Postergar","Cancelar"))))</f>
        <v/>
      </c>
      <c r="O415" s="28" t="str">
        <f aca="false">IF(D415="","",IFERROR(INDEX(Categorias!$C$6:$C$45,MATCH(D415,Categorias!$B$6:$B$45,0)),"Sem grupo"))</f>
        <v/>
      </c>
      <c r="P415" s="38" t="str">
        <f aca="false">IF(B415="","",DATE(YEAR(B415),MONTH(B415),1))</f>
        <v/>
      </c>
    </row>
    <row r="416" customFormat="false" ht="15" hidden="false" customHeight="false" outlineLevel="0" collapsed="false">
      <c r="B416" s="33"/>
      <c r="C416" s="30"/>
      <c r="D416" s="30"/>
      <c r="E416" s="31"/>
      <c r="F416" s="30"/>
      <c r="G416" s="30"/>
      <c r="H416" s="34" t="str">
        <f aca="false">IF(D416="","",IFERROR(INDEX(Categorias!$D$6:$D$45,MATCH(D416,Categorias!$B$6:$B$45,0))&amp;"",""))</f>
        <v/>
      </c>
      <c r="I416" s="35"/>
      <c r="J416" s="35"/>
      <c r="K416" s="35"/>
      <c r="L416" s="36" t="str">
        <f aca="false">IF(OR(H416="",COUNTIF(I416:K416,"S")+COUNTIF(I416:K416,"N")&lt;3),"",COUNTIF(I416:K416,"S")*IF(H416="S",5,IF(H416="M",4,IF(H416="E",3,2))))</f>
        <v/>
      </c>
      <c r="M416" s="37" t="str">
        <f aca="false">IF(L416="","",IF(L416&gt;=12,"Executar",IF(L416&gt;=8,"Executar com controle",IF(L416&gt;=5,"Postergar","Cancelar"))))</f>
        <v/>
      </c>
      <c r="O416" s="28" t="str">
        <f aca="false">IF(D416="","",IFERROR(INDEX(Categorias!$C$6:$C$45,MATCH(D416,Categorias!$B$6:$B$45,0)),"Sem grupo"))</f>
        <v/>
      </c>
      <c r="P416" s="38" t="str">
        <f aca="false">IF(B416="","",DATE(YEAR(B416),MONTH(B416),1))</f>
        <v/>
      </c>
    </row>
    <row r="417" customFormat="false" ht="15" hidden="false" customHeight="false" outlineLevel="0" collapsed="false">
      <c r="B417" s="33"/>
      <c r="C417" s="30"/>
      <c r="D417" s="30"/>
      <c r="E417" s="31"/>
      <c r="F417" s="30"/>
      <c r="G417" s="30"/>
      <c r="H417" s="34" t="str">
        <f aca="false">IF(D417="","",IFERROR(INDEX(Categorias!$D$6:$D$45,MATCH(D417,Categorias!$B$6:$B$45,0))&amp;"",""))</f>
        <v/>
      </c>
      <c r="I417" s="35"/>
      <c r="J417" s="35"/>
      <c r="K417" s="35"/>
      <c r="L417" s="36" t="str">
        <f aca="false">IF(OR(H417="",COUNTIF(I417:K417,"S")+COUNTIF(I417:K417,"N")&lt;3),"",COUNTIF(I417:K417,"S")*IF(H417="S",5,IF(H417="M",4,IF(H417="E",3,2))))</f>
        <v/>
      </c>
      <c r="M417" s="37" t="str">
        <f aca="false">IF(L417="","",IF(L417&gt;=12,"Executar",IF(L417&gt;=8,"Executar com controle",IF(L417&gt;=5,"Postergar","Cancelar"))))</f>
        <v/>
      </c>
      <c r="O417" s="28" t="str">
        <f aca="false">IF(D417="","",IFERROR(INDEX(Categorias!$C$6:$C$45,MATCH(D417,Categorias!$B$6:$B$45,0)),"Sem grupo"))</f>
        <v/>
      </c>
      <c r="P417" s="38" t="str">
        <f aca="false">IF(B417="","",DATE(YEAR(B417),MONTH(B417),1))</f>
        <v/>
      </c>
    </row>
    <row r="418" customFormat="false" ht="15" hidden="false" customHeight="false" outlineLevel="0" collapsed="false">
      <c r="B418" s="33"/>
      <c r="C418" s="30"/>
      <c r="D418" s="30"/>
      <c r="E418" s="31"/>
      <c r="F418" s="30"/>
      <c r="G418" s="30"/>
      <c r="H418" s="34" t="str">
        <f aca="false">IF(D418="","",IFERROR(INDEX(Categorias!$D$6:$D$45,MATCH(D418,Categorias!$B$6:$B$45,0))&amp;"",""))</f>
        <v/>
      </c>
      <c r="I418" s="35"/>
      <c r="J418" s="35"/>
      <c r="K418" s="35"/>
      <c r="L418" s="36" t="str">
        <f aca="false">IF(OR(H418="",COUNTIF(I418:K418,"S")+COUNTIF(I418:K418,"N")&lt;3),"",COUNTIF(I418:K418,"S")*IF(H418="S",5,IF(H418="M",4,IF(H418="E",3,2))))</f>
        <v/>
      </c>
      <c r="M418" s="37" t="str">
        <f aca="false">IF(L418="","",IF(L418&gt;=12,"Executar",IF(L418&gt;=8,"Executar com controle",IF(L418&gt;=5,"Postergar","Cancelar"))))</f>
        <v/>
      </c>
      <c r="O418" s="28" t="str">
        <f aca="false">IF(D418="","",IFERROR(INDEX(Categorias!$C$6:$C$45,MATCH(D418,Categorias!$B$6:$B$45,0)),"Sem grupo"))</f>
        <v/>
      </c>
      <c r="P418" s="38" t="str">
        <f aca="false">IF(B418="","",DATE(YEAR(B418),MONTH(B418),1))</f>
        <v/>
      </c>
    </row>
    <row r="419" customFormat="false" ht="15" hidden="false" customHeight="false" outlineLevel="0" collapsed="false">
      <c r="B419" s="33"/>
      <c r="C419" s="30"/>
      <c r="D419" s="30"/>
      <c r="E419" s="31"/>
      <c r="F419" s="30"/>
      <c r="G419" s="30"/>
      <c r="H419" s="34" t="str">
        <f aca="false">IF(D419="","",IFERROR(INDEX(Categorias!$D$6:$D$45,MATCH(D419,Categorias!$B$6:$B$45,0))&amp;"",""))</f>
        <v/>
      </c>
      <c r="I419" s="35"/>
      <c r="J419" s="35"/>
      <c r="K419" s="35"/>
      <c r="L419" s="36" t="str">
        <f aca="false">IF(OR(H419="",COUNTIF(I419:K419,"S")+COUNTIF(I419:K419,"N")&lt;3),"",COUNTIF(I419:K419,"S")*IF(H419="S",5,IF(H419="M",4,IF(H419="E",3,2))))</f>
        <v/>
      </c>
      <c r="M419" s="37" t="str">
        <f aca="false">IF(L419="","",IF(L419&gt;=12,"Executar",IF(L419&gt;=8,"Executar com controle",IF(L419&gt;=5,"Postergar","Cancelar"))))</f>
        <v/>
      </c>
      <c r="O419" s="28" t="str">
        <f aca="false">IF(D419="","",IFERROR(INDEX(Categorias!$C$6:$C$45,MATCH(D419,Categorias!$B$6:$B$45,0)),"Sem grupo"))</f>
        <v/>
      </c>
      <c r="P419" s="38" t="str">
        <f aca="false">IF(B419="","",DATE(YEAR(B419),MONTH(B419),1))</f>
        <v/>
      </c>
    </row>
    <row r="420" customFormat="false" ht="15" hidden="false" customHeight="false" outlineLevel="0" collapsed="false">
      <c r="B420" s="33"/>
      <c r="C420" s="30"/>
      <c r="D420" s="30"/>
      <c r="E420" s="31"/>
      <c r="F420" s="30"/>
      <c r="G420" s="30"/>
      <c r="H420" s="34" t="str">
        <f aca="false">IF(D420="","",IFERROR(INDEX(Categorias!$D$6:$D$45,MATCH(D420,Categorias!$B$6:$B$45,0))&amp;"",""))</f>
        <v/>
      </c>
      <c r="I420" s="35"/>
      <c r="J420" s="35"/>
      <c r="K420" s="35"/>
      <c r="L420" s="36" t="str">
        <f aca="false">IF(OR(H420="",COUNTIF(I420:K420,"S")+COUNTIF(I420:K420,"N")&lt;3),"",COUNTIF(I420:K420,"S")*IF(H420="S",5,IF(H420="M",4,IF(H420="E",3,2))))</f>
        <v/>
      </c>
      <c r="M420" s="37" t="str">
        <f aca="false">IF(L420="","",IF(L420&gt;=12,"Executar",IF(L420&gt;=8,"Executar com controle",IF(L420&gt;=5,"Postergar","Cancelar"))))</f>
        <v/>
      </c>
      <c r="O420" s="28" t="str">
        <f aca="false">IF(D420="","",IFERROR(INDEX(Categorias!$C$6:$C$45,MATCH(D420,Categorias!$B$6:$B$45,0)),"Sem grupo"))</f>
        <v/>
      </c>
      <c r="P420" s="38" t="str">
        <f aca="false">IF(B420="","",DATE(YEAR(B420),MONTH(B420),1))</f>
        <v/>
      </c>
    </row>
    <row r="421" customFormat="false" ht="15" hidden="false" customHeight="false" outlineLevel="0" collapsed="false">
      <c r="B421" s="33"/>
      <c r="C421" s="30"/>
      <c r="D421" s="30"/>
      <c r="E421" s="31"/>
      <c r="F421" s="30"/>
      <c r="G421" s="30"/>
      <c r="H421" s="34" t="str">
        <f aca="false">IF(D421="","",IFERROR(INDEX(Categorias!$D$6:$D$45,MATCH(D421,Categorias!$B$6:$B$45,0))&amp;"",""))</f>
        <v/>
      </c>
      <c r="I421" s="35"/>
      <c r="J421" s="35"/>
      <c r="K421" s="35"/>
      <c r="L421" s="36" t="str">
        <f aca="false">IF(OR(H421="",COUNTIF(I421:K421,"S")+COUNTIF(I421:K421,"N")&lt;3),"",COUNTIF(I421:K421,"S")*IF(H421="S",5,IF(H421="M",4,IF(H421="E",3,2))))</f>
        <v/>
      </c>
      <c r="M421" s="37" t="str">
        <f aca="false">IF(L421="","",IF(L421&gt;=12,"Executar",IF(L421&gt;=8,"Executar com controle",IF(L421&gt;=5,"Postergar","Cancelar"))))</f>
        <v/>
      </c>
      <c r="O421" s="28" t="str">
        <f aca="false">IF(D421="","",IFERROR(INDEX(Categorias!$C$6:$C$45,MATCH(D421,Categorias!$B$6:$B$45,0)),"Sem grupo"))</f>
        <v/>
      </c>
      <c r="P421" s="38" t="str">
        <f aca="false">IF(B421="","",DATE(YEAR(B421),MONTH(B421),1))</f>
        <v/>
      </c>
    </row>
    <row r="422" customFormat="false" ht="15" hidden="false" customHeight="false" outlineLevel="0" collapsed="false">
      <c r="B422" s="33"/>
      <c r="C422" s="30"/>
      <c r="D422" s="30"/>
      <c r="E422" s="31"/>
      <c r="F422" s="30"/>
      <c r="G422" s="30"/>
      <c r="H422" s="34" t="str">
        <f aca="false">IF(D422="","",IFERROR(INDEX(Categorias!$D$6:$D$45,MATCH(D422,Categorias!$B$6:$B$45,0))&amp;"",""))</f>
        <v/>
      </c>
      <c r="I422" s="35"/>
      <c r="J422" s="35"/>
      <c r="K422" s="35"/>
      <c r="L422" s="36" t="str">
        <f aca="false">IF(OR(H422="",COUNTIF(I422:K422,"S")+COUNTIF(I422:K422,"N")&lt;3),"",COUNTIF(I422:K422,"S")*IF(H422="S",5,IF(H422="M",4,IF(H422="E",3,2))))</f>
        <v/>
      </c>
      <c r="M422" s="37" t="str">
        <f aca="false">IF(L422="","",IF(L422&gt;=12,"Executar",IF(L422&gt;=8,"Executar com controle",IF(L422&gt;=5,"Postergar","Cancelar"))))</f>
        <v/>
      </c>
      <c r="O422" s="28" t="str">
        <f aca="false">IF(D422="","",IFERROR(INDEX(Categorias!$C$6:$C$45,MATCH(D422,Categorias!$B$6:$B$45,0)),"Sem grupo"))</f>
        <v/>
      </c>
      <c r="P422" s="38" t="str">
        <f aca="false">IF(B422="","",DATE(YEAR(B422),MONTH(B422),1))</f>
        <v/>
      </c>
    </row>
    <row r="423" customFormat="false" ht="15" hidden="false" customHeight="false" outlineLevel="0" collapsed="false">
      <c r="B423" s="33"/>
      <c r="C423" s="30"/>
      <c r="D423" s="30"/>
      <c r="E423" s="31"/>
      <c r="F423" s="30"/>
      <c r="G423" s="30"/>
      <c r="H423" s="34" t="str">
        <f aca="false">IF(D423="","",IFERROR(INDEX(Categorias!$D$6:$D$45,MATCH(D423,Categorias!$B$6:$B$45,0))&amp;"",""))</f>
        <v/>
      </c>
      <c r="I423" s="35"/>
      <c r="J423" s="35"/>
      <c r="K423" s="35"/>
      <c r="L423" s="36" t="str">
        <f aca="false">IF(OR(H423="",COUNTIF(I423:K423,"S")+COUNTIF(I423:K423,"N")&lt;3),"",COUNTIF(I423:K423,"S")*IF(H423="S",5,IF(H423="M",4,IF(H423="E",3,2))))</f>
        <v/>
      </c>
      <c r="M423" s="37" t="str">
        <f aca="false">IF(L423="","",IF(L423&gt;=12,"Executar",IF(L423&gt;=8,"Executar com controle",IF(L423&gt;=5,"Postergar","Cancelar"))))</f>
        <v/>
      </c>
      <c r="O423" s="28" t="str">
        <f aca="false">IF(D423="","",IFERROR(INDEX(Categorias!$C$6:$C$45,MATCH(D423,Categorias!$B$6:$B$45,0)),"Sem grupo"))</f>
        <v/>
      </c>
      <c r="P423" s="38" t="str">
        <f aca="false">IF(B423="","",DATE(YEAR(B423),MONTH(B423),1))</f>
        <v/>
      </c>
    </row>
    <row r="424" customFormat="false" ht="15" hidden="false" customHeight="false" outlineLevel="0" collapsed="false">
      <c r="B424" s="33"/>
      <c r="C424" s="30"/>
      <c r="D424" s="30"/>
      <c r="E424" s="31"/>
      <c r="F424" s="30"/>
      <c r="G424" s="30"/>
      <c r="H424" s="34" t="str">
        <f aca="false">IF(D424="","",IFERROR(INDEX(Categorias!$D$6:$D$45,MATCH(D424,Categorias!$B$6:$B$45,0))&amp;"",""))</f>
        <v/>
      </c>
      <c r="I424" s="35"/>
      <c r="J424" s="35"/>
      <c r="K424" s="35"/>
      <c r="L424" s="36" t="str">
        <f aca="false">IF(OR(H424="",COUNTIF(I424:K424,"S")+COUNTIF(I424:K424,"N")&lt;3),"",COUNTIF(I424:K424,"S")*IF(H424="S",5,IF(H424="M",4,IF(H424="E",3,2))))</f>
        <v/>
      </c>
      <c r="M424" s="37" t="str">
        <f aca="false">IF(L424="","",IF(L424&gt;=12,"Executar",IF(L424&gt;=8,"Executar com controle",IF(L424&gt;=5,"Postergar","Cancelar"))))</f>
        <v/>
      </c>
      <c r="O424" s="28" t="str">
        <f aca="false">IF(D424="","",IFERROR(INDEX(Categorias!$C$6:$C$45,MATCH(D424,Categorias!$B$6:$B$45,0)),"Sem grupo"))</f>
        <v/>
      </c>
      <c r="P424" s="38" t="str">
        <f aca="false">IF(B424="","",DATE(YEAR(B424),MONTH(B424),1))</f>
        <v/>
      </c>
    </row>
    <row r="425" customFormat="false" ht="15" hidden="false" customHeight="false" outlineLevel="0" collapsed="false">
      <c r="B425" s="33"/>
      <c r="C425" s="30"/>
      <c r="D425" s="30"/>
      <c r="E425" s="31"/>
      <c r="F425" s="30"/>
      <c r="G425" s="30"/>
      <c r="H425" s="34" t="str">
        <f aca="false">IF(D425="","",IFERROR(INDEX(Categorias!$D$6:$D$45,MATCH(D425,Categorias!$B$6:$B$45,0))&amp;"",""))</f>
        <v/>
      </c>
      <c r="I425" s="35"/>
      <c r="J425" s="35"/>
      <c r="K425" s="35"/>
      <c r="L425" s="36" t="str">
        <f aca="false">IF(OR(H425="",COUNTIF(I425:K425,"S")+COUNTIF(I425:K425,"N")&lt;3),"",COUNTIF(I425:K425,"S")*IF(H425="S",5,IF(H425="M",4,IF(H425="E",3,2))))</f>
        <v/>
      </c>
      <c r="M425" s="37" t="str">
        <f aca="false">IF(L425="","",IF(L425&gt;=12,"Executar",IF(L425&gt;=8,"Executar com controle",IF(L425&gt;=5,"Postergar","Cancelar"))))</f>
        <v/>
      </c>
      <c r="O425" s="28" t="str">
        <f aca="false">IF(D425="","",IFERROR(INDEX(Categorias!$C$6:$C$45,MATCH(D425,Categorias!$B$6:$B$45,0)),"Sem grupo"))</f>
        <v/>
      </c>
      <c r="P425" s="38" t="str">
        <f aca="false">IF(B425="","",DATE(YEAR(B425),MONTH(B425),1))</f>
        <v/>
      </c>
    </row>
    <row r="426" customFormat="false" ht="15" hidden="false" customHeight="false" outlineLevel="0" collapsed="false">
      <c r="B426" s="33"/>
      <c r="C426" s="30"/>
      <c r="D426" s="30"/>
      <c r="E426" s="31"/>
      <c r="F426" s="30"/>
      <c r="G426" s="30"/>
      <c r="H426" s="34" t="str">
        <f aca="false">IF(D426="","",IFERROR(INDEX(Categorias!$D$6:$D$45,MATCH(D426,Categorias!$B$6:$B$45,0))&amp;"",""))</f>
        <v/>
      </c>
      <c r="I426" s="35"/>
      <c r="J426" s="35"/>
      <c r="K426" s="35"/>
      <c r="L426" s="36" t="str">
        <f aca="false">IF(OR(H426="",COUNTIF(I426:K426,"S")+COUNTIF(I426:K426,"N")&lt;3),"",COUNTIF(I426:K426,"S")*IF(H426="S",5,IF(H426="M",4,IF(H426="E",3,2))))</f>
        <v/>
      </c>
      <c r="M426" s="37" t="str">
        <f aca="false">IF(L426="","",IF(L426&gt;=12,"Executar",IF(L426&gt;=8,"Executar com controle",IF(L426&gt;=5,"Postergar","Cancelar"))))</f>
        <v/>
      </c>
      <c r="O426" s="28" t="str">
        <f aca="false">IF(D426="","",IFERROR(INDEX(Categorias!$C$6:$C$45,MATCH(D426,Categorias!$B$6:$B$45,0)),"Sem grupo"))</f>
        <v/>
      </c>
      <c r="P426" s="38" t="str">
        <f aca="false">IF(B426="","",DATE(YEAR(B426),MONTH(B426),1))</f>
        <v/>
      </c>
    </row>
    <row r="427" customFormat="false" ht="15" hidden="false" customHeight="false" outlineLevel="0" collapsed="false">
      <c r="B427" s="33"/>
      <c r="C427" s="30"/>
      <c r="D427" s="30"/>
      <c r="E427" s="31"/>
      <c r="F427" s="30"/>
      <c r="G427" s="30"/>
      <c r="H427" s="34" t="str">
        <f aca="false">IF(D427="","",IFERROR(INDEX(Categorias!$D$6:$D$45,MATCH(D427,Categorias!$B$6:$B$45,0))&amp;"",""))</f>
        <v/>
      </c>
      <c r="I427" s="35"/>
      <c r="J427" s="35"/>
      <c r="K427" s="35"/>
      <c r="L427" s="36" t="str">
        <f aca="false">IF(OR(H427="",COUNTIF(I427:K427,"S")+COUNTIF(I427:K427,"N")&lt;3),"",COUNTIF(I427:K427,"S")*IF(H427="S",5,IF(H427="M",4,IF(H427="E",3,2))))</f>
        <v/>
      </c>
      <c r="M427" s="37" t="str">
        <f aca="false">IF(L427="","",IF(L427&gt;=12,"Executar",IF(L427&gt;=8,"Executar com controle",IF(L427&gt;=5,"Postergar","Cancelar"))))</f>
        <v/>
      </c>
      <c r="O427" s="28" t="str">
        <f aca="false">IF(D427="","",IFERROR(INDEX(Categorias!$C$6:$C$45,MATCH(D427,Categorias!$B$6:$B$45,0)),"Sem grupo"))</f>
        <v/>
      </c>
      <c r="P427" s="38" t="str">
        <f aca="false">IF(B427="","",DATE(YEAR(B427),MONTH(B427),1))</f>
        <v/>
      </c>
    </row>
    <row r="428" customFormat="false" ht="15" hidden="false" customHeight="false" outlineLevel="0" collapsed="false">
      <c r="B428" s="33"/>
      <c r="C428" s="30"/>
      <c r="D428" s="30"/>
      <c r="E428" s="31"/>
      <c r="F428" s="30"/>
      <c r="G428" s="30"/>
      <c r="H428" s="34" t="str">
        <f aca="false">IF(D428="","",IFERROR(INDEX(Categorias!$D$6:$D$45,MATCH(D428,Categorias!$B$6:$B$45,0))&amp;"",""))</f>
        <v/>
      </c>
      <c r="I428" s="35"/>
      <c r="J428" s="35"/>
      <c r="K428" s="35"/>
      <c r="L428" s="36" t="str">
        <f aca="false">IF(OR(H428="",COUNTIF(I428:K428,"S")+COUNTIF(I428:K428,"N")&lt;3),"",COUNTIF(I428:K428,"S")*IF(H428="S",5,IF(H428="M",4,IF(H428="E",3,2))))</f>
        <v/>
      </c>
      <c r="M428" s="37" t="str">
        <f aca="false">IF(L428="","",IF(L428&gt;=12,"Executar",IF(L428&gt;=8,"Executar com controle",IF(L428&gt;=5,"Postergar","Cancelar"))))</f>
        <v/>
      </c>
      <c r="O428" s="28" t="str">
        <f aca="false">IF(D428="","",IFERROR(INDEX(Categorias!$C$6:$C$45,MATCH(D428,Categorias!$B$6:$B$45,0)),"Sem grupo"))</f>
        <v/>
      </c>
      <c r="P428" s="38" t="str">
        <f aca="false">IF(B428="","",DATE(YEAR(B428),MONTH(B428),1))</f>
        <v/>
      </c>
    </row>
    <row r="429" customFormat="false" ht="15" hidden="false" customHeight="false" outlineLevel="0" collapsed="false">
      <c r="B429" s="33"/>
      <c r="C429" s="30"/>
      <c r="D429" s="30"/>
      <c r="E429" s="31"/>
      <c r="F429" s="30"/>
      <c r="G429" s="30"/>
      <c r="H429" s="34" t="str">
        <f aca="false">IF(D429="","",IFERROR(INDEX(Categorias!$D$6:$D$45,MATCH(D429,Categorias!$B$6:$B$45,0))&amp;"",""))</f>
        <v/>
      </c>
      <c r="I429" s="35"/>
      <c r="J429" s="35"/>
      <c r="K429" s="35"/>
      <c r="L429" s="36" t="str">
        <f aca="false">IF(OR(H429="",COUNTIF(I429:K429,"S")+COUNTIF(I429:K429,"N")&lt;3),"",COUNTIF(I429:K429,"S")*IF(H429="S",5,IF(H429="M",4,IF(H429="E",3,2))))</f>
        <v/>
      </c>
      <c r="M429" s="37" t="str">
        <f aca="false">IF(L429="","",IF(L429&gt;=12,"Executar",IF(L429&gt;=8,"Executar com controle",IF(L429&gt;=5,"Postergar","Cancelar"))))</f>
        <v/>
      </c>
      <c r="O429" s="28" t="str">
        <f aca="false">IF(D429="","",IFERROR(INDEX(Categorias!$C$6:$C$45,MATCH(D429,Categorias!$B$6:$B$45,0)),"Sem grupo"))</f>
        <v/>
      </c>
      <c r="P429" s="38" t="str">
        <f aca="false">IF(B429="","",DATE(YEAR(B429),MONTH(B429),1))</f>
        <v/>
      </c>
    </row>
    <row r="430" customFormat="false" ht="15" hidden="false" customHeight="false" outlineLevel="0" collapsed="false">
      <c r="B430" s="33"/>
      <c r="C430" s="30"/>
      <c r="D430" s="30"/>
      <c r="E430" s="31"/>
      <c r="F430" s="30"/>
      <c r="G430" s="30"/>
      <c r="H430" s="34" t="str">
        <f aca="false">IF(D430="","",IFERROR(INDEX(Categorias!$D$6:$D$45,MATCH(D430,Categorias!$B$6:$B$45,0))&amp;"",""))</f>
        <v/>
      </c>
      <c r="I430" s="35"/>
      <c r="J430" s="35"/>
      <c r="K430" s="35"/>
      <c r="L430" s="36" t="str">
        <f aca="false">IF(OR(H430="",COUNTIF(I430:K430,"S")+COUNTIF(I430:K430,"N")&lt;3),"",COUNTIF(I430:K430,"S")*IF(H430="S",5,IF(H430="M",4,IF(H430="E",3,2))))</f>
        <v/>
      </c>
      <c r="M430" s="37" t="str">
        <f aca="false">IF(L430="","",IF(L430&gt;=12,"Executar",IF(L430&gt;=8,"Executar com controle",IF(L430&gt;=5,"Postergar","Cancelar"))))</f>
        <v/>
      </c>
      <c r="O430" s="28" t="str">
        <f aca="false">IF(D430="","",IFERROR(INDEX(Categorias!$C$6:$C$45,MATCH(D430,Categorias!$B$6:$B$45,0)),"Sem grupo"))</f>
        <v/>
      </c>
      <c r="P430" s="38" t="str">
        <f aca="false">IF(B430="","",DATE(YEAR(B430),MONTH(B430),1))</f>
        <v/>
      </c>
    </row>
    <row r="431" customFormat="false" ht="15" hidden="false" customHeight="false" outlineLevel="0" collapsed="false">
      <c r="B431" s="33"/>
      <c r="C431" s="30"/>
      <c r="D431" s="30"/>
      <c r="E431" s="31"/>
      <c r="F431" s="30"/>
      <c r="G431" s="30"/>
      <c r="H431" s="34" t="str">
        <f aca="false">IF(D431="","",IFERROR(INDEX(Categorias!$D$6:$D$45,MATCH(D431,Categorias!$B$6:$B$45,0))&amp;"",""))</f>
        <v/>
      </c>
      <c r="I431" s="35"/>
      <c r="J431" s="35"/>
      <c r="K431" s="35"/>
      <c r="L431" s="36" t="str">
        <f aca="false">IF(OR(H431="",COUNTIF(I431:K431,"S")+COUNTIF(I431:K431,"N")&lt;3),"",COUNTIF(I431:K431,"S")*IF(H431="S",5,IF(H431="M",4,IF(H431="E",3,2))))</f>
        <v/>
      </c>
      <c r="M431" s="37" t="str">
        <f aca="false">IF(L431="","",IF(L431&gt;=12,"Executar",IF(L431&gt;=8,"Executar com controle",IF(L431&gt;=5,"Postergar","Cancelar"))))</f>
        <v/>
      </c>
      <c r="O431" s="28" t="str">
        <f aca="false">IF(D431="","",IFERROR(INDEX(Categorias!$C$6:$C$45,MATCH(D431,Categorias!$B$6:$B$45,0)),"Sem grupo"))</f>
        <v/>
      </c>
      <c r="P431" s="38" t="str">
        <f aca="false">IF(B431="","",DATE(YEAR(B431),MONTH(B431),1))</f>
        <v/>
      </c>
    </row>
    <row r="432" customFormat="false" ht="15" hidden="false" customHeight="false" outlineLevel="0" collapsed="false">
      <c r="B432" s="33"/>
      <c r="C432" s="30"/>
      <c r="D432" s="30"/>
      <c r="E432" s="31"/>
      <c r="F432" s="30"/>
      <c r="G432" s="30"/>
      <c r="H432" s="34" t="str">
        <f aca="false">IF(D432="","",IFERROR(INDEX(Categorias!$D$6:$D$45,MATCH(D432,Categorias!$B$6:$B$45,0))&amp;"",""))</f>
        <v/>
      </c>
      <c r="I432" s="35"/>
      <c r="J432" s="35"/>
      <c r="K432" s="35"/>
      <c r="L432" s="36" t="str">
        <f aca="false">IF(OR(H432="",COUNTIF(I432:K432,"S")+COUNTIF(I432:K432,"N")&lt;3),"",COUNTIF(I432:K432,"S")*IF(H432="S",5,IF(H432="M",4,IF(H432="E",3,2))))</f>
        <v/>
      </c>
      <c r="M432" s="37" t="str">
        <f aca="false">IF(L432="","",IF(L432&gt;=12,"Executar",IF(L432&gt;=8,"Executar com controle",IF(L432&gt;=5,"Postergar","Cancelar"))))</f>
        <v/>
      </c>
      <c r="O432" s="28" t="str">
        <f aca="false">IF(D432="","",IFERROR(INDEX(Categorias!$C$6:$C$45,MATCH(D432,Categorias!$B$6:$B$45,0)),"Sem grupo"))</f>
        <v/>
      </c>
      <c r="P432" s="38" t="str">
        <f aca="false">IF(B432="","",DATE(YEAR(B432),MONTH(B432),1))</f>
        <v/>
      </c>
    </row>
    <row r="433" customFormat="false" ht="15" hidden="false" customHeight="false" outlineLevel="0" collapsed="false">
      <c r="B433" s="33"/>
      <c r="C433" s="30"/>
      <c r="D433" s="30"/>
      <c r="E433" s="31"/>
      <c r="F433" s="30"/>
      <c r="G433" s="30"/>
      <c r="H433" s="34" t="str">
        <f aca="false">IF(D433="","",IFERROR(INDEX(Categorias!$D$6:$D$45,MATCH(D433,Categorias!$B$6:$B$45,0))&amp;"",""))</f>
        <v/>
      </c>
      <c r="I433" s="35"/>
      <c r="J433" s="35"/>
      <c r="K433" s="35"/>
      <c r="L433" s="36" t="str">
        <f aca="false">IF(OR(H433="",COUNTIF(I433:K433,"S")+COUNTIF(I433:K433,"N")&lt;3),"",COUNTIF(I433:K433,"S")*IF(H433="S",5,IF(H433="M",4,IF(H433="E",3,2))))</f>
        <v/>
      </c>
      <c r="M433" s="37" t="str">
        <f aca="false">IF(L433="","",IF(L433&gt;=12,"Executar",IF(L433&gt;=8,"Executar com controle",IF(L433&gt;=5,"Postergar","Cancelar"))))</f>
        <v/>
      </c>
      <c r="O433" s="28" t="str">
        <f aca="false">IF(D433="","",IFERROR(INDEX(Categorias!$C$6:$C$45,MATCH(D433,Categorias!$B$6:$B$45,0)),"Sem grupo"))</f>
        <v/>
      </c>
      <c r="P433" s="38" t="str">
        <f aca="false">IF(B433="","",DATE(YEAR(B433),MONTH(B433),1))</f>
        <v/>
      </c>
    </row>
    <row r="434" customFormat="false" ht="15" hidden="false" customHeight="false" outlineLevel="0" collapsed="false">
      <c r="B434" s="33"/>
      <c r="C434" s="30"/>
      <c r="D434" s="30"/>
      <c r="E434" s="31"/>
      <c r="F434" s="30"/>
      <c r="G434" s="30"/>
      <c r="H434" s="34" t="str">
        <f aca="false">IF(D434="","",IFERROR(INDEX(Categorias!$D$6:$D$45,MATCH(D434,Categorias!$B$6:$B$45,0))&amp;"",""))</f>
        <v/>
      </c>
      <c r="I434" s="35"/>
      <c r="J434" s="35"/>
      <c r="K434" s="35"/>
      <c r="L434" s="36" t="str">
        <f aca="false">IF(OR(H434="",COUNTIF(I434:K434,"S")+COUNTIF(I434:K434,"N")&lt;3),"",COUNTIF(I434:K434,"S")*IF(H434="S",5,IF(H434="M",4,IF(H434="E",3,2))))</f>
        <v/>
      </c>
      <c r="M434" s="37" t="str">
        <f aca="false">IF(L434="","",IF(L434&gt;=12,"Executar",IF(L434&gt;=8,"Executar com controle",IF(L434&gt;=5,"Postergar","Cancelar"))))</f>
        <v/>
      </c>
      <c r="O434" s="28" t="str">
        <f aca="false">IF(D434="","",IFERROR(INDEX(Categorias!$C$6:$C$45,MATCH(D434,Categorias!$B$6:$B$45,0)),"Sem grupo"))</f>
        <v/>
      </c>
      <c r="P434" s="38" t="str">
        <f aca="false">IF(B434="","",DATE(YEAR(B434),MONTH(B434),1))</f>
        <v/>
      </c>
    </row>
    <row r="435" customFormat="false" ht="15" hidden="false" customHeight="false" outlineLevel="0" collapsed="false">
      <c r="B435" s="33"/>
      <c r="C435" s="30"/>
      <c r="D435" s="30"/>
      <c r="E435" s="31"/>
      <c r="F435" s="30"/>
      <c r="G435" s="30"/>
      <c r="H435" s="34" t="str">
        <f aca="false">IF(D435="","",IFERROR(INDEX(Categorias!$D$6:$D$45,MATCH(D435,Categorias!$B$6:$B$45,0))&amp;"",""))</f>
        <v/>
      </c>
      <c r="I435" s="35"/>
      <c r="J435" s="35"/>
      <c r="K435" s="35"/>
      <c r="L435" s="36" t="str">
        <f aca="false">IF(OR(H435="",COUNTIF(I435:K435,"S")+COUNTIF(I435:K435,"N")&lt;3),"",COUNTIF(I435:K435,"S")*IF(H435="S",5,IF(H435="M",4,IF(H435="E",3,2))))</f>
        <v/>
      </c>
      <c r="M435" s="37" t="str">
        <f aca="false">IF(L435="","",IF(L435&gt;=12,"Executar",IF(L435&gt;=8,"Executar com controle",IF(L435&gt;=5,"Postergar","Cancelar"))))</f>
        <v/>
      </c>
      <c r="O435" s="28" t="str">
        <f aca="false">IF(D435="","",IFERROR(INDEX(Categorias!$C$6:$C$45,MATCH(D435,Categorias!$B$6:$B$45,0)),"Sem grupo"))</f>
        <v/>
      </c>
      <c r="P435" s="38" t="str">
        <f aca="false">IF(B435="","",DATE(YEAR(B435),MONTH(B435),1))</f>
        <v/>
      </c>
    </row>
    <row r="436" customFormat="false" ht="15" hidden="false" customHeight="false" outlineLevel="0" collapsed="false">
      <c r="B436" s="33"/>
      <c r="C436" s="30"/>
      <c r="D436" s="30"/>
      <c r="E436" s="31"/>
      <c r="F436" s="30"/>
      <c r="G436" s="30"/>
      <c r="H436" s="34" t="str">
        <f aca="false">IF(D436="","",IFERROR(INDEX(Categorias!$D$6:$D$45,MATCH(D436,Categorias!$B$6:$B$45,0))&amp;"",""))</f>
        <v/>
      </c>
      <c r="I436" s="35"/>
      <c r="J436" s="35"/>
      <c r="K436" s="35"/>
      <c r="L436" s="36" t="str">
        <f aca="false">IF(OR(H436="",COUNTIF(I436:K436,"S")+COUNTIF(I436:K436,"N")&lt;3),"",COUNTIF(I436:K436,"S")*IF(H436="S",5,IF(H436="M",4,IF(H436="E",3,2))))</f>
        <v/>
      </c>
      <c r="M436" s="37" t="str">
        <f aca="false">IF(L436="","",IF(L436&gt;=12,"Executar",IF(L436&gt;=8,"Executar com controle",IF(L436&gt;=5,"Postergar","Cancelar"))))</f>
        <v/>
      </c>
      <c r="O436" s="28" t="str">
        <f aca="false">IF(D436="","",IFERROR(INDEX(Categorias!$C$6:$C$45,MATCH(D436,Categorias!$B$6:$B$45,0)),"Sem grupo"))</f>
        <v/>
      </c>
      <c r="P436" s="38" t="str">
        <f aca="false">IF(B436="","",DATE(YEAR(B436),MONTH(B436),1))</f>
        <v/>
      </c>
    </row>
    <row r="437" customFormat="false" ht="15" hidden="false" customHeight="false" outlineLevel="0" collapsed="false">
      <c r="B437" s="33"/>
      <c r="C437" s="30"/>
      <c r="D437" s="30"/>
      <c r="E437" s="31"/>
      <c r="F437" s="30"/>
      <c r="G437" s="30"/>
      <c r="H437" s="34" t="str">
        <f aca="false">IF(D437="","",IFERROR(INDEX(Categorias!$D$6:$D$45,MATCH(D437,Categorias!$B$6:$B$45,0))&amp;"",""))</f>
        <v/>
      </c>
      <c r="I437" s="35"/>
      <c r="J437" s="35"/>
      <c r="K437" s="35"/>
      <c r="L437" s="36" t="str">
        <f aca="false">IF(OR(H437="",COUNTIF(I437:K437,"S")+COUNTIF(I437:K437,"N")&lt;3),"",COUNTIF(I437:K437,"S")*IF(H437="S",5,IF(H437="M",4,IF(H437="E",3,2))))</f>
        <v/>
      </c>
      <c r="M437" s="37" t="str">
        <f aca="false">IF(L437="","",IF(L437&gt;=12,"Executar",IF(L437&gt;=8,"Executar com controle",IF(L437&gt;=5,"Postergar","Cancelar"))))</f>
        <v/>
      </c>
      <c r="O437" s="28" t="str">
        <f aca="false">IF(D437="","",IFERROR(INDEX(Categorias!$C$6:$C$45,MATCH(D437,Categorias!$B$6:$B$45,0)),"Sem grupo"))</f>
        <v/>
      </c>
      <c r="P437" s="38" t="str">
        <f aca="false">IF(B437="","",DATE(YEAR(B437),MONTH(B437),1))</f>
        <v/>
      </c>
    </row>
    <row r="438" customFormat="false" ht="15" hidden="false" customHeight="false" outlineLevel="0" collapsed="false">
      <c r="B438" s="33"/>
      <c r="C438" s="30"/>
      <c r="D438" s="30"/>
      <c r="E438" s="31"/>
      <c r="F438" s="30"/>
      <c r="G438" s="30"/>
      <c r="H438" s="34" t="str">
        <f aca="false">IF(D438="","",IFERROR(INDEX(Categorias!$D$6:$D$45,MATCH(D438,Categorias!$B$6:$B$45,0))&amp;"",""))</f>
        <v/>
      </c>
      <c r="I438" s="35"/>
      <c r="J438" s="35"/>
      <c r="K438" s="35"/>
      <c r="L438" s="36" t="str">
        <f aca="false">IF(OR(H438="",COUNTIF(I438:K438,"S")+COUNTIF(I438:K438,"N")&lt;3),"",COUNTIF(I438:K438,"S")*IF(H438="S",5,IF(H438="M",4,IF(H438="E",3,2))))</f>
        <v/>
      </c>
      <c r="M438" s="37" t="str">
        <f aca="false">IF(L438="","",IF(L438&gt;=12,"Executar",IF(L438&gt;=8,"Executar com controle",IF(L438&gt;=5,"Postergar","Cancelar"))))</f>
        <v/>
      </c>
      <c r="O438" s="28" t="str">
        <f aca="false">IF(D438="","",IFERROR(INDEX(Categorias!$C$6:$C$45,MATCH(D438,Categorias!$B$6:$B$45,0)),"Sem grupo"))</f>
        <v/>
      </c>
      <c r="P438" s="38" t="str">
        <f aca="false">IF(B438="","",DATE(YEAR(B438),MONTH(B438),1))</f>
        <v/>
      </c>
    </row>
    <row r="439" customFormat="false" ht="15" hidden="false" customHeight="false" outlineLevel="0" collapsed="false">
      <c r="B439" s="33"/>
      <c r="C439" s="30"/>
      <c r="D439" s="30"/>
      <c r="E439" s="31"/>
      <c r="F439" s="30"/>
      <c r="G439" s="30"/>
      <c r="H439" s="34" t="str">
        <f aca="false">IF(D439="","",IFERROR(INDEX(Categorias!$D$6:$D$45,MATCH(D439,Categorias!$B$6:$B$45,0))&amp;"",""))</f>
        <v/>
      </c>
      <c r="I439" s="35"/>
      <c r="J439" s="35"/>
      <c r="K439" s="35"/>
      <c r="L439" s="36" t="str">
        <f aca="false">IF(OR(H439="",COUNTIF(I439:K439,"S")+COUNTIF(I439:K439,"N")&lt;3),"",COUNTIF(I439:K439,"S")*IF(H439="S",5,IF(H439="M",4,IF(H439="E",3,2))))</f>
        <v/>
      </c>
      <c r="M439" s="37" t="str">
        <f aca="false">IF(L439="","",IF(L439&gt;=12,"Executar",IF(L439&gt;=8,"Executar com controle",IF(L439&gt;=5,"Postergar","Cancelar"))))</f>
        <v/>
      </c>
      <c r="O439" s="28" t="str">
        <f aca="false">IF(D439="","",IFERROR(INDEX(Categorias!$C$6:$C$45,MATCH(D439,Categorias!$B$6:$B$45,0)),"Sem grupo"))</f>
        <v/>
      </c>
      <c r="P439" s="38" t="str">
        <f aca="false">IF(B439="","",DATE(YEAR(B439),MONTH(B439),1))</f>
        <v/>
      </c>
    </row>
    <row r="440" customFormat="false" ht="15" hidden="false" customHeight="false" outlineLevel="0" collapsed="false">
      <c r="B440" s="33"/>
      <c r="C440" s="30"/>
      <c r="D440" s="30"/>
      <c r="E440" s="31"/>
      <c r="F440" s="30"/>
      <c r="G440" s="30"/>
      <c r="H440" s="34" t="str">
        <f aca="false">IF(D440="","",IFERROR(INDEX(Categorias!$D$6:$D$45,MATCH(D440,Categorias!$B$6:$B$45,0))&amp;"",""))</f>
        <v/>
      </c>
      <c r="I440" s="35"/>
      <c r="J440" s="35"/>
      <c r="K440" s="35"/>
      <c r="L440" s="36" t="str">
        <f aca="false">IF(OR(H440="",COUNTIF(I440:K440,"S")+COUNTIF(I440:K440,"N")&lt;3),"",COUNTIF(I440:K440,"S")*IF(H440="S",5,IF(H440="M",4,IF(H440="E",3,2))))</f>
        <v/>
      </c>
      <c r="M440" s="37" t="str">
        <f aca="false">IF(L440="","",IF(L440&gt;=12,"Executar",IF(L440&gt;=8,"Executar com controle",IF(L440&gt;=5,"Postergar","Cancelar"))))</f>
        <v/>
      </c>
      <c r="O440" s="28" t="str">
        <f aca="false">IF(D440="","",IFERROR(INDEX(Categorias!$C$6:$C$45,MATCH(D440,Categorias!$B$6:$B$45,0)),"Sem grupo"))</f>
        <v/>
      </c>
      <c r="P440" s="38" t="str">
        <f aca="false">IF(B440="","",DATE(YEAR(B440),MONTH(B440),1))</f>
        <v/>
      </c>
    </row>
    <row r="441" customFormat="false" ht="15" hidden="false" customHeight="false" outlineLevel="0" collapsed="false">
      <c r="B441" s="33"/>
      <c r="C441" s="30"/>
      <c r="D441" s="30"/>
      <c r="E441" s="31"/>
      <c r="F441" s="30"/>
      <c r="G441" s="30"/>
      <c r="H441" s="34" t="str">
        <f aca="false">IF(D441="","",IFERROR(INDEX(Categorias!$D$6:$D$45,MATCH(D441,Categorias!$B$6:$B$45,0))&amp;"",""))</f>
        <v/>
      </c>
      <c r="I441" s="35"/>
      <c r="J441" s="35"/>
      <c r="K441" s="35"/>
      <c r="L441" s="36" t="str">
        <f aca="false">IF(OR(H441="",COUNTIF(I441:K441,"S")+COUNTIF(I441:K441,"N")&lt;3),"",COUNTIF(I441:K441,"S")*IF(H441="S",5,IF(H441="M",4,IF(H441="E",3,2))))</f>
        <v/>
      </c>
      <c r="M441" s="37" t="str">
        <f aca="false">IF(L441="","",IF(L441&gt;=12,"Executar",IF(L441&gt;=8,"Executar com controle",IF(L441&gt;=5,"Postergar","Cancelar"))))</f>
        <v/>
      </c>
      <c r="O441" s="28" t="str">
        <f aca="false">IF(D441="","",IFERROR(INDEX(Categorias!$C$6:$C$45,MATCH(D441,Categorias!$B$6:$B$45,0)),"Sem grupo"))</f>
        <v/>
      </c>
      <c r="P441" s="38" t="str">
        <f aca="false">IF(B441="","",DATE(YEAR(B441),MONTH(B441),1))</f>
        <v/>
      </c>
    </row>
    <row r="442" customFormat="false" ht="15" hidden="false" customHeight="false" outlineLevel="0" collapsed="false">
      <c r="B442" s="33"/>
      <c r="C442" s="30"/>
      <c r="D442" s="30"/>
      <c r="E442" s="31"/>
      <c r="F442" s="30"/>
      <c r="G442" s="30"/>
      <c r="H442" s="34" t="str">
        <f aca="false">IF(D442="","",IFERROR(INDEX(Categorias!$D$6:$D$45,MATCH(D442,Categorias!$B$6:$B$45,0))&amp;"",""))</f>
        <v/>
      </c>
      <c r="I442" s="35"/>
      <c r="J442" s="35"/>
      <c r="K442" s="35"/>
      <c r="L442" s="36" t="str">
        <f aca="false">IF(OR(H442="",COUNTIF(I442:K442,"S")+COUNTIF(I442:K442,"N")&lt;3),"",COUNTIF(I442:K442,"S")*IF(H442="S",5,IF(H442="M",4,IF(H442="E",3,2))))</f>
        <v/>
      </c>
      <c r="M442" s="37" t="str">
        <f aca="false">IF(L442="","",IF(L442&gt;=12,"Executar",IF(L442&gt;=8,"Executar com controle",IF(L442&gt;=5,"Postergar","Cancelar"))))</f>
        <v/>
      </c>
      <c r="O442" s="28" t="str">
        <f aca="false">IF(D442="","",IFERROR(INDEX(Categorias!$C$6:$C$45,MATCH(D442,Categorias!$B$6:$B$45,0)),"Sem grupo"))</f>
        <v/>
      </c>
      <c r="P442" s="38" t="str">
        <f aca="false">IF(B442="","",DATE(YEAR(B442),MONTH(B442),1))</f>
        <v/>
      </c>
    </row>
    <row r="443" customFormat="false" ht="15" hidden="false" customHeight="false" outlineLevel="0" collapsed="false">
      <c r="B443" s="33"/>
      <c r="C443" s="30"/>
      <c r="D443" s="30"/>
      <c r="E443" s="31"/>
      <c r="F443" s="30"/>
      <c r="G443" s="30"/>
      <c r="H443" s="34" t="str">
        <f aca="false">IF(D443="","",IFERROR(INDEX(Categorias!$D$6:$D$45,MATCH(D443,Categorias!$B$6:$B$45,0))&amp;"",""))</f>
        <v/>
      </c>
      <c r="I443" s="35"/>
      <c r="J443" s="35"/>
      <c r="K443" s="35"/>
      <c r="L443" s="36" t="str">
        <f aca="false">IF(OR(H443="",COUNTIF(I443:K443,"S")+COUNTIF(I443:K443,"N")&lt;3),"",COUNTIF(I443:K443,"S")*IF(H443="S",5,IF(H443="M",4,IF(H443="E",3,2))))</f>
        <v/>
      </c>
      <c r="M443" s="37" t="str">
        <f aca="false">IF(L443="","",IF(L443&gt;=12,"Executar",IF(L443&gt;=8,"Executar com controle",IF(L443&gt;=5,"Postergar","Cancelar"))))</f>
        <v/>
      </c>
      <c r="O443" s="28" t="str">
        <f aca="false">IF(D443="","",IFERROR(INDEX(Categorias!$C$6:$C$45,MATCH(D443,Categorias!$B$6:$B$45,0)),"Sem grupo"))</f>
        <v/>
      </c>
      <c r="P443" s="38" t="str">
        <f aca="false">IF(B443="","",DATE(YEAR(B443),MONTH(B443),1))</f>
        <v/>
      </c>
    </row>
    <row r="444" customFormat="false" ht="15" hidden="false" customHeight="false" outlineLevel="0" collapsed="false">
      <c r="B444" s="33"/>
      <c r="C444" s="30"/>
      <c r="D444" s="30"/>
      <c r="E444" s="31"/>
      <c r="F444" s="30"/>
      <c r="G444" s="30"/>
      <c r="H444" s="34" t="str">
        <f aca="false">IF(D444="","",IFERROR(INDEX(Categorias!$D$6:$D$45,MATCH(D444,Categorias!$B$6:$B$45,0))&amp;"",""))</f>
        <v/>
      </c>
      <c r="I444" s="35"/>
      <c r="J444" s="35"/>
      <c r="K444" s="35"/>
      <c r="L444" s="36" t="str">
        <f aca="false">IF(OR(H444="",COUNTIF(I444:K444,"S")+COUNTIF(I444:K444,"N")&lt;3),"",COUNTIF(I444:K444,"S")*IF(H444="S",5,IF(H444="M",4,IF(H444="E",3,2))))</f>
        <v/>
      </c>
      <c r="M444" s="37" t="str">
        <f aca="false">IF(L444="","",IF(L444&gt;=12,"Executar",IF(L444&gt;=8,"Executar com controle",IF(L444&gt;=5,"Postergar","Cancelar"))))</f>
        <v/>
      </c>
      <c r="O444" s="28" t="str">
        <f aca="false">IF(D444="","",IFERROR(INDEX(Categorias!$C$6:$C$45,MATCH(D444,Categorias!$B$6:$B$45,0)),"Sem grupo"))</f>
        <v/>
      </c>
      <c r="P444" s="38" t="str">
        <f aca="false">IF(B444="","",DATE(YEAR(B444),MONTH(B444),1))</f>
        <v/>
      </c>
    </row>
    <row r="445" customFormat="false" ht="15" hidden="false" customHeight="false" outlineLevel="0" collapsed="false">
      <c r="B445" s="33"/>
      <c r="C445" s="30"/>
      <c r="D445" s="30"/>
      <c r="E445" s="31"/>
      <c r="F445" s="30"/>
      <c r="G445" s="30"/>
      <c r="H445" s="34" t="str">
        <f aca="false">IF(D445="","",IFERROR(INDEX(Categorias!$D$6:$D$45,MATCH(D445,Categorias!$B$6:$B$45,0))&amp;"",""))</f>
        <v/>
      </c>
      <c r="I445" s="35"/>
      <c r="J445" s="35"/>
      <c r="K445" s="35"/>
      <c r="L445" s="36" t="str">
        <f aca="false">IF(OR(H445="",COUNTIF(I445:K445,"S")+COUNTIF(I445:K445,"N")&lt;3),"",COUNTIF(I445:K445,"S")*IF(H445="S",5,IF(H445="M",4,IF(H445="E",3,2))))</f>
        <v/>
      </c>
      <c r="M445" s="37" t="str">
        <f aca="false">IF(L445="","",IF(L445&gt;=12,"Executar",IF(L445&gt;=8,"Executar com controle",IF(L445&gt;=5,"Postergar","Cancelar"))))</f>
        <v/>
      </c>
      <c r="O445" s="28" t="str">
        <f aca="false">IF(D445="","",IFERROR(INDEX(Categorias!$C$6:$C$45,MATCH(D445,Categorias!$B$6:$B$45,0)),"Sem grupo"))</f>
        <v/>
      </c>
      <c r="P445" s="38" t="str">
        <f aca="false">IF(B445="","",DATE(YEAR(B445),MONTH(B445),1))</f>
        <v/>
      </c>
    </row>
    <row r="446" customFormat="false" ht="15" hidden="false" customHeight="false" outlineLevel="0" collapsed="false">
      <c r="B446" s="33"/>
      <c r="C446" s="30"/>
      <c r="D446" s="30"/>
      <c r="E446" s="31"/>
      <c r="F446" s="30"/>
      <c r="G446" s="30"/>
      <c r="H446" s="34" t="str">
        <f aca="false">IF(D446="","",IFERROR(INDEX(Categorias!$D$6:$D$45,MATCH(D446,Categorias!$B$6:$B$45,0))&amp;"",""))</f>
        <v/>
      </c>
      <c r="I446" s="35"/>
      <c r="J446" s="35"/>
      <c r="K446" s="35"/>
      <c r="L446" s="36" t="str">
        <f aca="false">IF(OR(H446="",COUNTIF(I446:K446,"S")+COUNTIF(I446:K446,"N")&lt;3),"",COUNTIF(I446:K446,"S")*IF(H446="S",5,IF(H446="M",4,IF(H446="E",3,2))))</f>
        <v/>
      </c>
      <c r="M446" s="37" t="str">
        <f aca="false">IF(L446="","",IF(L446&gt;=12,"Executar",IF(L446&gt;=8,"Executar com controle",IF(L446&gt;=5,"Postergar","Cancelar"))))</f>
        <v/>
      </c>
      <c r="O446" s="28" t="str">
        <f aca="false">IF(D446="","",IFERROR(INDEX(Categorias!$C$6:$C$45,MATCH(D446,Categorias!$B$6:$B$45,0)),"Sem grupo"))</f>
        <v/>
      </c>
      <c r="P446" s="38" t="str">
        <f aca="false">IF(B446="","",DATE(YEAR(B446),MONTH(B446),1))</f>
        <v/>
      </c>
    </row>
    <row r="447" customFormat="false" ht="15" hidden="false" customHeight="false" outlineLevel="0" collapsed="false">
      <c r="B447" s="33"/>
      <c r="C447" s="30"/>
      <c r="D447" s="30"/>
      <c r="E447" s="31"/>
      <c r="F447" s="30"/>
      <c r="G447" s="30"/>
      <c r="H447" s="34" t="str">
        <f aca="false">IF(D447="","",IFERROR(INDEX(Categorias!$D$6:$D$45,MATCH(D447,Categorias!$B$6:$B$45,0))&amp;"",""))</f>
        <v/>
      </c>
      <c r="I447" s="35"/>
      <c r="J447" s="35"/>
      <c r="K447" s="35"/>
      <c r="L447" s="36" t="str">
        <f aca="false">IF(OR(H447="",COUNTIF(I447:K447,"S")+COUNTIF(I447:K447,"N")&lt;3),"",COUNTIF(I447:K447,"S")*IF(H447="S",5,IF(H447="M",4,IF(H447="E",3,2))))</f>
        <v/>
      </c>
      <c r="M447" s="37" t="str">
        <f aca="false">IF(L447="","",IF(L447&gt;=12,"Executar",IF(L447&gt;=8,"Executar com controle",IF(L447&gt;=5,"Postergar","Cancelar"))))</f>
        <v/>
      </c>
      <c r="O447" s="28" t="str">
        <f aca="false">IF(D447="","",IFERROR(INDEX(Categorias!$C$6:$C$45,MATCH(D447,Categorias!$B$6:$B$45,0)),"Sem grupo"))</f>
        <v/>
      </c>
      <c r="P447" s="38" t="str">
        <f aca="false">IF(B447="","",DATE(YEAR(B447),MONTH(B447),1))</f>
        <v/>
      </c>
    </row>
    <row r="448" customFormat="false" ht="15" hidden="false" customHeight="false" outlineLevel="0" collapsed="false">
      <c r="B448" s="33"/>
      <c r="C448" s="30"/>
      <c r="D448" s="30"/>
      <c r="E448" s="31"/>
      <c r="F448" s="30"/>
      <c r="G448" s="30"/>
      <c r="H448" s="34" t="str">
        <f aca="false">IF(D448="","",IFERROR(INDEX(Categorias!$D$6:$D$45,MATCH(D448,Categorias!$B$6:$B$45,0))&amp;"",""))</f>
        <v/>
      </c>
      <c r="I448" s="35"/>
      <c r="J448" s="35"/>
      <c r="K448" s="35"/>
      <c r="L448" s="36" t="str">
        <f aca="false">IF(OR(H448="",COUNTIF(I448:K448,"S")+COUNTIF(I448:K448,"N")&lt;3),"",COUNTIF(I448:K448,"S")*IF(H448="S",5,IF(H448="M",4,IF(H448="E",3,2))))</f>
        <v/>
      </c>
      <c r="M448" s="37" t="str">
        <f aca="false">IF(L448="","",IF(L448&gt;=12,"Executar",IF(L448&gt;=8,"Executar com controle",IF(L448&gt;=5,"Postergar","Cancelar"))))</f>
        <v/>
      </c>
      <c r="O448" s="28" t="str">
        <f aca="false">IF(D448="","",IFERROR(INDEX(Categorias!$C$6:$C$45,MATCH(D448,Categorias!$B$6:$B$45,0)),"Sem grupo"))</f>
        <v/>
      </c>
      <c r="P448" s="38" t="str">
        <f aca="false">IF(B448="","",DATE(YEAR(B448),MONTH(B448),1))</f>
        <v/>
      </c>
    </row>
    <row r="449" customFormat="false" ht="15" hidden="false" customHeight="false" outlineLevel="0" collapsed="false">
      <c r="B449" s="33"/>
      <c r="C449" s="30"/>
      <c r="D449" s="30"/>
      <c r="E449" s="31"/>
      <c r="F449" s="30"/>
      <c r="G449" s="30"/>
      <c r="H449" s="34" t="str">
        <f aca="false">IF(D449="","",IFERROR(INDEX(Categorias!$D$6:$D$45,MATCH(D449,Categorias!$B$6:$B$45,0))&amp;"",""))</f>
        <v/>
      </c>
      <c r="I449" s="35"/>
      <c r="J449" s="35"/>
      <c r="K449" s="35"/>
      <c r="L449" s="36" t="str">
        <f aca="false">IF(OR(H449="",COUNTIF(I449:K449,"S")+COUNTIF(I449:K449,"N")&lt;3),"",COUNTIF(I449:K449,"S")*IF(H449="S",5,IF(H449="M",4,IF(H449="E",3,2))))</f>
        <v/>
      </c>
      <c r="M449" s="37" t="str">
        <f aca="false">IF(L449="","",IF(L449&gt;=12,"Executar",IF(L449&gt;=8,"Executar com controle",IF(L449&gt;=5,"Postergar","Cancelar"))))</f>
        <v/>
      </c>
      <c r="O449" s="28" t="str">
        <f aca="false">IF(D449="","",IFERROR(INDEX(Categorias!$C$6:$C$45,MATCH(D449,Categorias!$B$6:$B$45,0)),"Sem grupo"))</f>
        <v/>
      </c>
      <c r="P449" s="38" t="str">
        <f aca="false">IF(B449="","",DATE(YEAR(B449),MONTH(B449),1))</f>
        <v/>
      </c>
    </row>
    <row r="450" customFormat="false" ht="15" hidden="false" customHeight="false" outlineLevel="0" collapsed="false">
      <c r="B450" s="33"/>
      <c r="C450" s="30"/>
      <c r="D450" s="30"/>
      <c r="E450" s="31"/>
      <c r="F450" s="30"/>
      <c r="G450" s="30"/>
      <c r="H450" s="34" t="str">
        <f aca="false">IF(D450="","",IFERROR(INDEX(Categorias!$D$6:$D$45,MATCH(D450,Categorias!$B$6:$B$45,0))&amp;"",""))</f>
        <v/>
      </c>
      <c r="I450" s="35"/>
      <c r="J450" s="35"/>
      <c r="K450" s="35"/>
      <c r="L450" s="36" t="str">
        <f aca="false">IF(OR(H450="",COUNTIF(I450:K450,"S")+COUNTIF(I450:K450,"N")&lt;3),"",COUNTIF(I450:K450,"S")*IF(H450="S",5,IF(H450="M",4,IF(H450="E",3,2))))</f>
        <v/>
      </c>
      <c r="M450" s="37" t="str">
        <f aca="false">IF(L450="","",IF(L450&gt;=12,"Executar",IF(L450&gt;=8,"Executar com controle",IF(L450&gt;=5,"Postergar","Cancelar"))))</f>
        <v/>
      </c>
      <c r="O450" s="28" t="str">
        <f aca="false">IF(D450="","",IFERROR(INDEX(Categorias!$C$6:$C$45,MATCH(D450,Categorias!$B$6:$B$45,0)),"Sem grupo"))</f>
        <v/>
      </c>
      <c r="P450" s="38" t="str">
        <f aca="false">IF(B450="","",DATE(YEAR(B450),MONTH(B450),1))</f>
        <v/>
      </c>
    </row>
    <row r="451" customFormat="false" ht="15" hidden="false" customHeight="false" outlineLevel="0" collapsed="false">
      <c r="B451" s="33"/>
      <c r="C451" s="30"/>
      <c r="D451" s="30"/>
      <c r="E451" s="31"/>
      <c r="F451" s="30"/>
      <c r="G451" s="30"/>
      <c r="H451" s="34" t="str">
        <f aca="false">IF(D451="","",IFERROR(INDEX(Categorias!$D$6:$D$45,MATCH(D451,Categorias!$B$6:$B$45,0))&amp;"",""))</f>
        <v/>
      </c>
      <c r="I451" s="35"/>
      <c r="J451" s="35"/>
      <c r="K451" s="35"/>
      <c r="L451" s="36" t="str">
        <f aca="false">IF(OR(H451="",COUNTIF(I451:K451,"S")+COUNTIF(I451:K451,"N")&lt;3),"",COUNTIF(I451:K451,"S")*IF(H451="S",5,IF(H451="M",4,IF(H451="E",3,2))))</f>
        <v/>
      </c>
      <c r="M451" s="37" t="str">
        <f aca="false">IF(L451="","",IF(L451&gt;=12,"Executar",IF(L451&gt;=8,"Executar com controle",IF(L451&gt;=5,"Postergar","Cancelar"))))</f>
        <v/>
      </c>
      <c r="O451" s="28" t="str">
        <f aca="false">IF(D451="","",IFERROR(INDEX(Categorias!$C$6:$C$45,MATCH(D451,Categorias!$B$6:$B$45,0)),"Sem grupo"))</f>
        <v/>
      </c>
      <c r="P451" s="38" t="str">
        <f aca="false">IF(B451="","",DATE(YEAR(B451),MONTH(B451),1))</f>
        <v/>
      </c>
    </row>
    <row r="452" customFormat="false" ht="15" hidden="false" customHeight="false" outlineLevel="0" collapsed="false">
      <c r="B452" s="33"/>
      <c r="C452" s="30"/>
      <c r="D452" s="30"/>
      <c r="E452" s="31"/>
      <c r="F452" s="30"/>
      <c r="G452" s="30"/>
      <c r="H452" s="34" t="str">
        <f aca="false">IF(D452="","",IFERROR(INDEX(Categorias!$D$6:$D$45,MATCH(D452,Categorias!$B$6:$B$45,0))&amp;"",""))</f>
        <v/>
      </c>
      <c r="I452" s="35"/>
      <c r="J452" s="35"/>
      <c r="K452" s="35"/>
      <c r="L452" s="36" t="str">
        <f aca="false">IF(OR(H452="",COUNTIF(I452:K452,"S")+COUNTIF(I452:K452,"N")&lt;3),"",COUNTIF(I452:K452,"S")*IF(H452="S",5,IF(H452="M",4,IF(H452="E",3,2))))</f>
        <v/>
      </c>
      <c r="M452" s="37" t="str">
        <f aca="false">IF(L452="","",IF(L452&gt;=12,"Executar",IF(L452&gt;=8,"Executar com controle",IF(L452&gt;=5,"Postergar","Cancelar"))))</f>
        <v/>
      </c>
      <c r="O452" s="28" t="str">
        <f aca="false">IF(D452="","",IFERROR(INDEX(Categorias!$C$6:$C$45,MATCH(D452,Categorias!$B$6:$B$45,0)),"Sem grupo"))</f>
        <v/>
      </c>
      <c r="P452" s="38" t="str">
        <f aca="false">IF(B452="","",DATE(YEAR(B452),MONTH(B452),1))</f>
        <v/>
      </c>
    </row>
    <row r="453" customFormat="false" ht="15" hidden="false" customHeight="false" outlineLevel="0" collapsed="false">
      <c r="B453" s="33"/>
      <c r="C453" s="30"/>
      <c r="D453" s="30"/>
      <c r="E453" s="31"/>
      <c r="F453" s="30"/>
      <c r="G453" s="30"/>
      <c r="H453" s="34" t="str">
        <f aca="false">IF(D453="","",IFERROR(INDEX(Categorias!$D$6:$D$45,MATCH(D453,Categorias!$B$6:$B$45,0))&amp;"",""))</f>
        <v/>
      </c>
      <c r="I453" s="35"/>
      <c r="J453" s="35"/>
      <c r="K453" s="35"/>
      <c r="L453" s="36" t="str">
        <f aca="false">IF(OR(H453="",COUNTIF(I453:K453,"S")+COUNTIF(I453:K453,"N")&lt;3),"",COUNTIF(I453:K453,"S")*IF(H453="S",5,IF(H453="M",4,IF(H453="E",3,2))))</f>
        <v/>
      </c>
      <c r="M453" s="37" t="str">
        <f aca="false">IF(L453="","",IF(L453&gt;=12,"Executar",IF(L453&gt;=8,"Executar com controle",IF(L453&gt;=5,"Postergar","Cancelar"))))</f>
        <v/>
      </c>
      <c r="O453" s="28" t="str">
        <f aca="false">IF(D453="","",IFERROR(INDEX(Categorias!$C$6:$C$45,MATCH(D453,Categorias!$B$6:$B$45,0)),"Sem grupo"))</f>
        <v/>
      </c>
      <c r="P453" s="38" t="str">
        <f aca="false">IF(B453="","",DATE(YEAR(B453),MONTH(B453),1))</f>
        <v/>
      </c>
    </row>
    <row r="454" customFormat="false" ht="15" hidden="false" customHeight="false" outlineLevel="0" collapsed="false">
      <c r="B454" s="33"/>
      <c r="C454" s="30"/>
      <c r="D454" s="30"/>
      <c r="E454" s="31"/>
      <c r="F454" s="30"/>
      <c r="G454" s="30"/>
      <c r="H454" s="34" t="str">
        <f aca="false">IF(D454="","",IFERROR(INDEX(Categorias!$D$6:$D$45,MATCH(D454,Categorias!$B$6:$B$45,0))&amp;"",""))</f>
        <v/>
      </c>
      <c r="I454" s="35"/>
      <c r="J454" s="35"/>
      <c r="K454" s="35"/>
      <c r="L454" s="36" t="str">
        <f aca="false">IF(OR(H454="",COUNTIF(I454:K454,"S")+COUNTIF(I454:K454,"N")&lt;3),"",COUNTIF(I454:K454,"S")*IF(H454="S",5,IF(H454="M",4,IF(H454="E",3,2))))</f>
        <v/>
      </c>
      <c r="M454" s="37" t="str">
        <f aca="false">IF(L454="","",IF(L454&gt;=12,"Executar",IF(L454&gt;=8,"Executar com controle",IF(L454&gt;=5,"Postergar","Cancelar"))))</f>
        <v/>
      </c>
      <c r="O454" s="28" t="str">
        <f aca="false">IF(D454="","",IFERROR(INDEX(Categorias!$C$6:$C$45,MATCH(D454,Categorias!$B$6:$B$45,0)),"Sem grupo"))</f>
        <v/>
      </c>
      <c r="P454" s="38" t="str">
        <f aca="false">IF(B454="","",DATE(YEAR(B454),MONTH(B454),1))</f>
        <v/>
      </c>
    </row>
    <row r="455" customFormat="false" ht="15" hidden="false" customHeight="false" outlineLevel="0" collapsed="false">
      <c r="B455" s="33"/>
      <c r="C455" s="30"/>
      <c r="D455" s="30"/>
      <c r="E455" s="31"/>
      <c r="F455" s="30"/>
      <c r="G455" s="30"/>
      <c r="H455" s="34" t="str">
        <f aca="false">IF(D455="","",IFERROR(INDEX(Categorias!$D$6:$D$45,MATCH(D455,Categorias!$B$6:$B$45,0))&amp;"",""))</f>
        <v/>
      </c>
      <c r="I455" s="35"/>
      <c r="J455" s="35"/>
      <c r="K455" s="35"/>
      <c r="L455" s="36" t="str">
        <f aca="false">IF(OR(H455="",COUNTIF(I455:K455,"S")+COUNTIF(I455:K455,"N")&lt;3),"",COUNTIF(I455:K455,"S")*IF(H455="S",5,IF(H455="M",4,IF(H455="E",3,2))))</f>
        <v/>
      </c>
      <c r="M455" s="37" t="str">
        <f aca="false">IF(L455="","",IF(L455&gt;=12,"Executar",IF(L455&gt;=8,"Executar com controle",IF(L455&gt;=5,"Postergar","Cancelar"))))</f>
        <v/>
      </c>
      <c r="O455" s="28" t="str">
        <f aca="false">IF(D455="","",IFERROR(INDEX(Categorias!$C$6:$C$45,MATCH(D455,Categorias!$B$6:$B$45,0)),"Sem grupo"))</f>
        <v/>
      </c>
      <c r="P455" s="38" t="str">
        <f aca="false">IF(B455="","",DATE(YEAR(B455),MONTH(B455),1))</f>
        <v/>
      </c>
    </row>
    <row r="456" customFormat="false" ht="15" hidden="false" customHeight="false" outlineLevel="0" collapsed="false">
      <c r="B456" s="33"/>
      <c r="C456" s="30"/>
      <c r="D456" s="30"/>
      <c r="E456" s="31"/>
      <c r="F456" s="30"/>
      <c r="G456" s="30"/>
      <c r="H456" s="34" t="str">
        <f aca="false">IF(D456="","",IFERROR(INDEX(Categorias!$D$6:$D$45,MATCH(D456,Categorias!$B$6:$B$45,0))&amp;"",""))</f>
        <v/>
      </c>
      <c r="I456" s="35"/>
      <c r="J456" s="35"/>
      <c r="K456" s="35"/>
      <c r="L456" s="36" t="str">
        <f aca="false">IF(OR(H456="",COUNTIF(I456:K456,"S")+COUNTIF(I456:K456,"N")&lt;3),"",COUNTIF(I456:K456,"S")*IF(H456="S",5,IF(H456="M",4,IF(H456="E",3,2))))</f>
        <v/>
      </c>
      <c r="M456" s="37" t="str">
        <f aca="false">IF(L456="","",IF(L456&gt;=12,"Executar",IF(L456&gt;=8,"Executar com controle",IF(L456&gt;=5,"Postergar","Cancelar"))))</f>
        <v/>
      </c>
      <c r="O456" s="28" t="str">
        <f aca="false">IF(D456="","",IFERROR(INDEX(Categorias!$C$6:$C$45,MATCH(D456,Categorias!$B$6:$B$45,0)),"Sem grupo"))</f>
        <v/>
      </c>
      <c r="P456" s="38" t="str">
        <f aca="false">IF(B456="","",DATE(YEAR(B456),MONTH(B456),1))</f>
        <v/>
      </c>
    </row>
    <row r="457" customFormat="false" ht="15" hidden="false" customHeight="false" outlineLevel="0" collapsed="false">
      <c r="B457" s="33"/>
      <c r="C457" s="30"/>
      <c r="D457" s="30"/>
      <c r="E457" s="31"/>
      <c r="F457" s="30"/>
      <c r="G457" s="30"/>
      <c r="H457" s="34" t="str">
        <f aca="false">IF(D457="","",IFERROR(INDEX(Categorias!$D$6:$D$45,MATCH(D457,Categorias!$B$6:$B$45,0))&amp;"",""))</f>
        <v/>
      </c>
      <c r="I457" s="35"/>
      <c r="J457" s="35"/>
      <c r="K457" s="35"/>
      <c r="L457" s="36" t="str">
        <f aca="false">IF(OR(H457="",COUNTIF(I457:K457,"S")+COUNTIF(I457:K457,"N")&lt;3),"",COUNTIF(I457:K457,"S")*IF(H457="S",5,IF(H457="M",4,IF(H457="E",3,2))))</f>
        <v/>
      </c>
      <c r="M457" s="37" t="str">
        <f aca="false">IF(L457="","",IF(L457&gt;=12,"Executar",IF(L457&gt;=8,"Executar com controle",IF(L457&gt;=5,"Postergar","Cancelar"))))</f>
        <v/>
      </c>
      <c r="O457" s="28" t="str">
        <f aca="false">IF(D457="","",IFERROR(INDEX(Categorias!$C$6:$C$45,MATCH(D457,Categorias!$B$6:$B$45,0)),"Sem grupo"))</f>
        <v/>
      </c>
      <c r="P457" s="38" t="str">
        <f aca="false">IF(B457="","",DATE(YEAR(B457),MONTH(B457),1))</f>
        <v/>
      </c>
    </row>
    <row r="458" customFormat="false" ht="15" hidden="false" customHeight="false" outlineLevel="0" collapsed="false">
      <c r="B458" s="33"/>
      <c r="C458" s="30"/>
      <c r="D458" s="30"/>
      <c r="E458" s="31"/>
      <c r="F458" s="30"/>
      <c r="G458" s="30"/>
      <c r="H458" s="34" t="str">
        <f aca="false">IF(D458="","",IFERROR(INDEX(Categorias!$D$6:$D$45,MATCH(D458,Categorias!$B$6:$B$45,0))&amp;"",""))</f>
        <v/>
      </c>
      <c r="I458" s="35"/>
      <c r="J458" s="35"/>
      <c r="K458" s="35"/>
      <c r="L458" s="36" t="str">
        <f aca="false">IF(OR(H458="",COUNTIF(I458:K458,"S")+COUNTIF(I458:K458,"N")&lt;3),"",COUNTIF(I458:K458,"S")*IF(H458="S",5,IF(H458="M",4,IF(H458="E",3,2))))</f>
        <v/>
      </c>
      <c r="M458" s="37" t="str">
        <f aca="false">IF(L458="","",IF(L458&gt;=12,"Executar",IF(L458&gt;=8,"Executar com controle",IF(L458&gt;=5,"Postergar","Cancelar"))))</f>
        <v/>
      </c>
      <c r="O458" s="28" t="str">
        <f aca="false">IF(D458="","",IFERROR(INDEX(Categorias!$C$6:$C$45,MATCH(D458,Categorias!$B$6:$B$45,0)),"Sem grupo"))</f>
        <v/>
      </c>
      <c r="P458" s="38" t="str">
        <f aca="false">IF(B458="","",DATE(YEAR(B458),MONTH(B458),1))</f>
        <v/>
      </c>
    </row>
    <row r="459" customFormat="false" ht="15" hidden="false" customHeight="false" outlineLevel="0" collapsed="false">
      <c r="B459" s="33"/>
      <c r="C459" s="30"/>
      <c r="D459" s="30"/>
      <c r="E459" s="31"/>
      <c r="F459" s="30"/>
      <c r="G459" s="30"/>
      <c r="H459" s="34" t="str">
        <f aca="false">IF(D459="","",IFERROR(INDEX(Categorias!$D$6:$D$45,MATCH(D459,Categorias!$B$6:$B$45,0))&amp;"",""))</f>
        <v/>
      </c>
      <c r="I459" s="35"/>
      <c r="J459" s="35"/>
      <c r="K459" s="35"/>
      <c r="L459" s="36" t="str">
        <f aca="false">IF(OR(H459="",COUNTIF(I459:K459,"S")+COUNTIF(I459:K459,"N")&lt;3),"",COUNTIF(I459:K459,"S")*IF(H459="S",5,IF(H459="M",4,IF(H459="E",3,2))))</f>
        <v/>
      </c>
      <c r="M459" s="37" t="str">
        <f aca="false">IF(L459="","",IF(L459&gt;=12,"Executar",IF(L459&gt;=8,"Executar com controle",IF(L459&gt;=5,"Postergar","Cancelar"))))</f>
        <v/>
      </c>
      <c r="O459" s="28" t="str">
        <f aca="false">IF(D459="","",IFERROR(INDEX(Categorias!$C$6:$C$45,MATCH(D459,Categorias!$B$6:$B$45,0)),"Sem grupo"))</f>
        <v/>
      </c>
      <c r="P459" s="38" t="str">
        <f aca="false">IF(B459="","",DATE(YEAR(B459),MONTH(B459),1))</f>
        <v/>
      </c>
    </row>
    <row r="460" customFormat="false" ht="15" hidden="false" customHeight="false" outlineLevel="0" collapsed="false">
      <c r="B460" s="33"/>
      <c r="C460" s="30"/>
      <c r="D460" s="30"/>
      <c r="E460" s="31"/>
      <c r="F460" s="30"/>
      <c r="G460" s="30"/>
      <c r="H460" s="34" t="str">
        <f aca="false">IF(D460="","",IFERROR(INDEX(Categorias!$D$6:$D$45,MATCH(D460,Categorias!$B$6:$B$45,0))&amp;"",""))</f>
        <v/>
      </c>
      <c r="I460" s="35"/>
      <c r="J460" s="35"/>
      <c r="K460" s="35"/>
      <c r="L460" s="36" t="str">
        <f aca="false">IF(OR(H460="",COUNTIF(I460:K460,"S")+COUNTIF(I460:K460,"N")&lt;3),"",COUNTIF(I460:K460,"S")*IF(H460="S",5,IF(H460="M",4,IF(H460="E",3,2))))</f>
        <v/>
      </c>
      <c r="M460" s="37" t="str">
        <f aca="false">IF(L460="","",IF(L460&gt;=12,"Executar",IF(L460&gt;=8,"Executar com controle",IF(L460&gt;=5,"Postergar","Cancelar"))))</f>
        <v/>
      </c>
      <c r="O460" s="28" t="str">
        <f aca="false">IF(D460="","",IFERROR(INDEX(Categorias!$C$6:$C$45,MATCH(D460,Categorias!$B$6:$B$45,0)),"Sem grupo"))</f>
        <v/>
      </c>
      <c r="P460" s="38" t="str">
        <f aca="false">IF(B460="","",DATE(YEAR(B460),MONTH(B460),1))</f>
        <v/>
      </c>
    </row>
    <row r="461" customFormat="false" ht="15" hidden="false" customHeight="false" outlineLevel="0" collapsed="false">
      <c r="B461" s="33"/>
      <c r="C461" s="30"/>
      <c r="D461" s="30"/>
      <c r="E461" s="31"/>
      <c r="F461" s="30"/>
      <c r="G461" s="30"/>
      <c r="H461" s="34" t="str">
        <f aca="false">IF(D461="","",IFERROR(INDEX(Categorias!$D$6:$D$45,MATCH(D461,Categorias!$B$6:$B$45,0))&amp;"",""))</f>
        <v/>
      </c>
      <c r="I461" s="35"/>
      <c r="J461" s="35"/>
      <c r="K461" s="35"/>
      <c r="L461" s="36" t="str">
        <f aca="false">IF(OR(H461="",COUNTIF(I461:K461,"S")+COUNTIF(I461:K461,"N")&lt;3),"",COUNTIF(I461:K461,"S")*IF(H461="S",5,IF(H461="M",4,IF(H461="E",3,2))))</f>
        <v/>
      </c>
      <c r="M461" s="37" t="str">
        <f aca="false">IF(L461="","",IF(L461&gt;=12,"Executar",IF(L461&gt;=8,"Executar com controle",IF(L461&gt;=5,"Postergar","Cancelar"))))</f>
        <v/>
      </c>
      <c r="O461" s="28" t="str">
        <f aca="false">IF(D461="","",IFERROR(INDEX(Categorias!$C$6:$C$45,MATCH(D461,Categorias!$B$6:$B$45,0)),"Sem grupo"))</f>
        <v/>
      </c>
      <c r="P461" s="38" t="str">
        <f aca="false">IF(B461="","",DATE(YEAR(B461),MONTH(B461),1))</f>
        <v/>
      </c>
    </row>
    <row r="462" customFormat="false" ht="15" hidden="false" customHeight="false" outlineLevel="0" collapsed="false">
      <c r="B462" s="33"/>
      <c r="C462" s="30"/>
      <c r="D462" s="30"/>
      <c r="E462" s="31"/>
      <c r="F462" s="30"/>
      <c r="G462" s="30"/>
      <c r="H462" s="34" t="str">
        <f aca="false">IF(D462="","",IFERROR(INDEX(Categorias!$D$6:$D$45,MATCH(D462,Categorias!$B$6:$B$45,0))&amp;"",""))</f>
        <v/>
      </c>
      <c r="I462" s="35"/>
      <c r="J462" s="35"/>
      <c r="K462" s="35"/>
      <c r="L462" s="36" t="str">
        <f aca="false">IF(OR(H462="",COUNTIF(I462:K462,"S")+COUNTIF(I462:K462,"N")&lt;3),"",COUNTIF(I462:K462,"S")*IF(H462="S",5,IF(H462="M",4,IF(H462="E",3,2))))</f>
        <v/>
      </c>
      <c r="M462" s="37" t="str">
        <f aca="false">IF(L462="","",IF(L462&gt;=12,"Executar",IF(L462&gt;=8,"Executar com controle",IF(L462&gt;=5,"Postergar","Cancelar"))))</f>
        <v/>
      </c>
      <c r="O462" s="28" t="str">
        <f aca="false">IF(D462="","",IFERROR(INDEX(Categorias!$C$6:$C$45,MATCH(D462,Categorias!$B$6:$B$45,0)),"Sem grupo"))</f>
        <v/>
      </c>
      <c r="P462" s="38" t="str">
        <f aca="false">IF(B462="","",DATE(YEAR(B462),MONTH(B462),1))</f>
        <v/>
      </c>
    </row>
    <row r="463" customFormat="false" ht="15" hidden="false" customHeight="false" outlineLevel="0" collapsed="false">
      <c r="B463" s="33"/>
      <c r="C463" s="30"/>
      <c r="D463" s="30"/>
      <c r="E463" s="31"/>
      <c r="F463" s="30"/>
      <c r="G463" s="30"/>
      <c r="H463" s="34" t="str">
        <f aca="false">IF(D463="","",IFERROR(INDEX(Categorias!$D$6:$D$45,MATCH(D463,Categorias!$B$6:$B$45,0))&amp;"",""))</f>
        <v/>
      </c>
      <c r="I463" s="35"/>
      <c r="J463" s="35"/>
      <c r="K463" s="35"/>
      <c r="L463" s="36" t="str">
        <f aca="false">IF(OR(H463="",COUNTIF(I463:K463,"S")+COUNTIF(I463:K463,"N")&lt;3),"",COUNTIF(I463:K463,"S")*IF(H463="S",5,IF(H463="M",4,IF(H463="E",3,2))))</f>
        <v/>
      </c>
      <c r="M463" s="37" t="str">
        <f aca="false">IF(L463="","",IF(L463&gt;=12,"Executar",IF(L463&gt;=8,"Executar com controle",IF(L463&gt;=5,"Postergar","Cancelar"))))</f>
        <v/>
      </c>
      <c r="O463" s="28" t="str">
        <f aca="false">IF(D463="","",IFERROR(INDEX(Categorias!$C$6:$C$45,MATCH(D463,Categorias!$B$6:$B$45,0)),"Sem grupo"))</f>
        <v/>
      </c>
      <c r="P463" s="38" t="str">
        <f aca="false">IF(B463="","",DATE(YEAR(B463),MONTH(B463),1))</f>
        <v/>
      </c>
    </row>
    <row r="464" customFormat="false" ht="15" hidden="false" customHeight="false" outlineLevel="0" collapsed="false">
      <c r="B464" s="33"/>
      <c r="C464" s="30"/>
      <c r="D464" s="30"/>
      <c r="E464" s="31"/>
      <c r="F464" s="30"/>
      <c r="G464" s="30"/>
      <c r="H464" s="34" t="str">
        <f aca="false">IF(D464="","",IFERROR(INDEX(Categorias!$D$6:$D$45,MATCH(D464,Categorias!$B$6:$B$45,0))&amp;"",""))</f>
        <v/>
      </c>
      <c r="I464" s="35"/>
      <c r="J464" s="35"/>
      <c r="K464" s="35"/>
      <c r="L464" s="36" t="str">
        <f aca="false">IF(OR(H464="",COUNTIF(I464:K464,"S")+COUNTIF(I464:K464,"N")&lt;3),"",COUNTIF(I464:K464,"S")*IF(H464="S",5,IF(H464="M",4,IF(H464="E",3,2))))</f>
        <v/>
      </c>
      <c r="M464" s="37" t="str">
        <f aca="false">IF(L464="","",IF(L464&gt;=12,"Executar",IF(L464&gt;=8,"Executar com controle",IF(L464&gt;=5,"Postergar","Cancelar"))))</f>
        <v/>
      </c>
      <c r="O464" s="28" t="str">
        <f aca="false">IF(D464="","",IFERROR(INDEX(Categorias!$C$6:$C$45,MATCH(D464,Categorias!$B$6:$B$45,0)),"Sem grupo"))</f>
        <v/>
      </c>
      <c r="P464" s="38" t="str">
        <f aca="false">IF(B464="","",DATE(YEAR(B464),MONTH(B464),1))</f>
        <v/>
      </c>
    </row>
    <row r="465" customFormat="false" ht="15" hidden="false" customHeight="false" outlineLevel="0" collapsed="false">
      <c r="B465" s="33"/>
      <c r="C465" s="30"/>
      <c r="D465" s="30"/>
      <c r="E465" s="31"/>
      <c r="F465" s="30"/>
      <c r="G465" s="30"/>
      <c r="H465" s="34" t="str">
        <f aca="false">IF(D465="","",IFERROR(INDEX(Categorias!$D$6:$D$45,MATCH(D465,Categorias!$B$6:$B$45,0))&amp;"",""))</f>
        <v/>
      </c>
      <c r="I465" s="35"/>
      <c r="J465" s="35"/>
      <c r="K465" s="35"/>
      <c r="L465" s="36" t="str">
        <f aca="false">IF(OR(H465="",COUNTIF(I465:K465,"S")+COUNTIF(I465:K465,"N")&lt;3),"",COUNTIF(I465:K465,"S")*IF(H465="S",5,IF(H465="M",4,IF(H465="E",3,2))))</f>
        <v/>
      </c>
      <c r="M465" s="37" t="str">
        <f aca="false">IF(L465="","",IF(L465&gt;=12,"Executar",IF(L465&gt;=8,"Executar com controle",IF(L465&gt;=5,"Postergar","Cancelar"))))</f>
        <v/>
      </c>
      <c r="O465" s="28" t="str">
        <f aca="false">IF(D465="","",IFERROR(INDEX(Categorias!$C$6:$C$45,MATCH(D465,Categorias!$B$6:$B$45,0)),"Sem grupo"))</f>
        <v/>
      </c>
      <c r="P465" s="38" t="str">
        <f aca="false">IF(B465="","",DATE(YEAR(B465),MONTH(B465),1))</f>
        <v/>
      </c>
    </row>
    <row r="466" customFormat="false" ht="15" hidden="false" customHeight="false" outlineLevel="0" collapsed="false">
      <c r="B466" s="33"/>
      <c r="C466" s="30"/>
      <c r="D466" s="30"/>
      <c r="E466" s="31"/>
      <c r="F466" s="30"/>
      <c r="G466" s="30"/>
      <c r="H466" s="34" t="str">
        <f aca="false">IF(D466="","",IFERROR(INDEX(Categorias!$D$6:$D$45,MATCH(D466,Categorias!$B$6:$B$45,0))&amp;"",""))</f>
        <v/>
      </c>
      <c r="I466" s="35"/>
      <c r="J466" s="35"/>
      <c r="K466" s="35"/>
      <c r="L466" s="36" t="str">
        <f aca="false">IF(OR(H466="",COUNTIF(I466:K466,"S")+COUNTIF(I466:K466,"N")&lt;3),"",COUNTIF(I466:K466,"S")*IF(H466="S",5,IF(H466="M",4,IF(H466="E",3,2))))</f>
        <v/>
      </c>
      <c r="M466" s="37" t="str">
        <f aca="false">IF(L466="","",IF(L466&gt;=12,"Executar",IF(L466&gt;=8,"Executar com controle",IF(L466&gt;=5,"Postergar","Cancelar"))))</f>
        <v/>
      </c>
      <c r="O466" s="28" t="str">
        <f aca="false">IF(D466="","",IFERROR(INDEX(Categorias!$C$6:$C$45,MATCH(D466,Categorias!$B$6:$B$45,0)),"Sem grupo"))</f>
        <v/>
      </c>
      <c r="P466" s="38" t="str">
        <f aca="false">IF(B466="","",DATE(YEAR(B466),MONTH(B466),1))</f>
        <v/>
      </c>
    </row>
    <row r="467" customFormat="false" ht="15" hidden="false" customHeight="false" outlineLevel="0" collapsed="false">
      <c r="B467" s="33"/>
      <c r="C467" s="30"/>
      <c r="D467" s="30"/>
      <c r="E467" s="31"/>
      <c r="F467" s="30"/>
      <c r="G467" s="30"/>
      <c r="H467" s="34" t="str">
        <f aca="false">IF(D467="","",IFERROR(INDEX(Categorias!$D$6:$D$45,MATCH(D467,Categorias!$B$6:$B$45,0))&amp;"",""))</f>
        <v/>
      </c>
      <c r="I467" s="35"/>
      <c r="J467" s="35"/>
      <c r="K467" s="35"/>
      <c r="L467" s="36" t="str">
        <f aca="false">IF(OR(H467="",COUNTIF(I467:K467,"S")+COUNTIF(I467:K467,"N")&lt;3),"",COUNTIF(I467:K467,"S")*IF(H467="S",5,IF(H467="M",4,IF(H467="E",3,2))))</f>
        <v/>
      </c>
      <c r="M467" s="37" t="str">
        <f aca="false">IF(L467="","",IF(L467&gt;=12,"Executar",IF(L467&gt;=8,"Executar com controle",IF(L467&gt;=5,"Postergar","Cancelar"))))</f>
        <v/>
      </c>
      <c r="O467" s="28" t="str">
        <f aca="false">IF(D467="","",IFERROR(INDEX(Categorias!$C$6:$C$45,MATCH(D467,Categorias!$B$6:$B$45,0)),"Sem grupo"))</f>
        <v/>
      </c>
      <c r="P467" s="38" t="str">
        <f aca="false">IF(B467="","",DATE(YEAR(B467),MONTH(B467),1))</f>
        <v/>
      </c>
    </row>
    <row r="468" customFormat="false" ht="15" hidden="false" customHeight="false" outlineLevel="0" collapsed="false">
      <c r="B468" s="33"/>
      <c r="C468" s="30"/>
      <c r="D468" s="30"/>
      <c r="E468" s="31"/>
      <c r="F468" s="30"/>
      <c r="G468" s="30"/>
      <c r="H468" s="34" t="str">
        <f aca="false">IF(D468="","",IFERROR(INDEX(Categorias!$D$6:$D$45,MATCH(D468,Categorias!$B$6:$B$45,0))&amp;"",""))</f>
        <v/>
      </c>
      <c r="I468" s="35"/>
      <c r="J468" s="35"/>
      <c r="K468" s="35"/>
      <c r="L468" s="36" t="str">
        <f aca="false">IF(OR(H468="",COUNTIF(I468:K468,"S")+COUNTIF(I468:K468,"N")&lt;3),"",COUNTIF(I468:K468,"S")*IF(H468="S",5,IF(H468="M",4,IF(H468="E",3,2))))</f>
        <v/>
      </c>
      <c r="M468" s="37" t="str">
        <f aca="false">IF(L468="","",IF(L468&gt;=12,"Executar",IF(L468&gt;=8,"Executar com controle",IF(L468&gt;=5,"Postergar","Cancelar"))))</f>
        <v/>
      </c>
      <c r="O468" s="28" t="str">
        <f aca="false">IF(D468="","",IFERROR(INDEX(Categorias!$C$6:$C$45,MATCH(D468,Categorias!$B$6:$B$45,0)),"Sem grupo"))</f>
        <v/>
      </c>
      <c r="P468" s="38" t="str">
        <f aca="false">IF(B468="","",DATE(YEAR(B468),MONTH(B468),1))</f>
        <v/>
      </c>
    </row>
    <row r="469" customFormat="false" ht="15" hidden="false" customHeight="false" outlineLevel="0" collapsed="false">
      <c r="B469" s="33"/>
      <c r="C469" s="30"/>
      <c r="D469" s="30"/>
      <c r="E469" s="31"/>
      <c r="F469" s="30"/>
      <c r="G469" s="30"/>
      <c r="H469" s="34" t="str">
        <f aca="false">IF(D469="","",IFERROR(INDEX(Categorias!$D$6:$D$45,MATCH(D469,Categorias!$B$6:$B$45,0))&amp;"",""))</f>
        <v/>
      </c>
      <c r="I469" s="35"/>
      <c r="J469" s="35"/>
      <c r="K469" s="35"/>
      <c r="L469" s="36" t="str">
        <f aca="false">IF(OR(H469="",COUNTIF(I469:K469,"S")+COUNTIF(I469:K469,"N")&lt;3),"",COUNTIF(I469:K469,"S")*IF(H469="S",5,IF(H469="M",4,IF(H469="E",3,2))))</f>
        <v/>
      </c>
      <c r="M469" s="37" t="str">
        <f aca="false">IF(L469="","",IF(L469&gt;=12,"Executar",IF(L469&gt;=8,"Executar com controle",IF(L469&gt;=5,"Postergar","Cancelar"))))</f>
        <v/>
      </c>
      <c r="O469" s="28" t="str">
        <f aca="false">IF(D469="","",IFERROR(INDEX(Categorias!$C$6:$C$45,MATCH(D469,Categorias!$B$6:$B$45,0)),"Sem grupo"))</f>
        <v/>
      </c>
      <c r="P469" s="38" t="str">
        <f aca="false">IF(B469="","",DATE(YEAR(B469),MONTH(B469),1))</f>
        <v/>
      </c>
    </row>
    <row r="470" customFormat="false" ht="15" hidden="false" customHeight="false" outlineLevel="0" collapsed="false">
      <c r="B470" s="33"/>
      <c r="C470" s="30"/>
      <c r="D470" s="30"/>
      <c r="E470" s="31"/>
      <c r="F470" s="30"/>
      <c r="G470" s="30"/>
      <c r="H470" s="34" t="str">
        <f aca="false">IF(D470="","",IFERROR(INDEX(Categorias!$D$6:$D$45,MATCH(D470,Categorias!$B$6:$B$45,0))&amp;"",""))</f>
        <v/>
      </c>
      <c r="I470" s="35"/>
      <c r="J470" s="35"/>
      <c r="K470" s="35"/>
      <c r="L470" s="36" t="str">
        <f aca="false">IF(OR(H470="",COUNTIF(I470:K470,"S")+COUNTIF(I470:K470,"N")&lt;3),"",COUNTIF(I470:K470,"S")*IF(H470="S",5,IF(H470="M",4,IF(H470="E",3,2))))</f>
        <v/>
      </c>
      <c r="M470" s="37" t="str">
        <f aca="false">IF(L470="","",IF(L470&gt;=12,"Executar",IF(L470&gt;=8,"Executar com controle",IF(L470&gt;=5,"Postergar","Cancelar"))))</f>
        <v/>
      </c>
      <c r="O470" s="28" t="str">
        <f aca="false">IF(D470="","",IFERROR(INDEX(Categorias!$C$6:$C$45,MATCH(D470,Categorias!$B$6:$B$45,0)),"Sem grupo"))</f>
        <v/>
      </c>
      <c r="P470" s="38" t="str">
        <f aca="false">IF(B470="","",DATE(YEAR(B470),MONTH(B470),1))</f>
        <v/>
      </c>
    </row>
    <row r="471" customFormat="false" ht="15" hidden="false" customHeight="false" outlineLevel="0" collapsed="false">
      <c r="B471" s="33"/>
      <c r="C471" s="30"/>
      <c r="D471" s="30"/>
      <c r="E471" s="31"/>
      <c r="F471" s="30"/>
      <c r="G471" s="30"/>
      <c r="H471" s="34" t="str">
        <f aca="false">IF(D471="","",IFERROR(INDEX(Categorias!$D$6:$D$45,MATCH(D471,Categorias!$B$6:$B$45,0))&amp;"",""))</f>
        <v/>
      </c>
      <c r="I471" s="35"/>
      <c r="J471" s="35"/>
      <c r="K471" s="35"/>
      <c r="L471" s="36" t="str">
        <f aca="false">IF(OR(H471="",COUNTIF(I471:K471,"S")+COUNTIF(I471:K471,"N")&lt;3),"",COUNTIF(I471:K471,"S")*IF(H471="S",5,IF(H471="M",4,IF(H471="E",3,2))))</f>
        <v/>
      </c>
      <c r="M471" s="37" t="str">
        <f aca="false">IF(L471="","",IF(L471&gt;=12,"Executar",IF(L471&gt;=8,"Executar com controle",IF(L471&gt;=5,"Postergar","Cancelar"))))</f>
        <v/>
      </c>
      <c r="O471" s="28" t="str">
        <f aca="false">IF(D471="","",IFERROR(INDEX(Categorias!$C$6:$C$45,MATCH(D471,Categorias!$B$6:$B$45,0)),"Sem grupo"))</f>
        <v/>
      </c>
      <c r="P471" s="38" t="str">
        <f aca="false">IF(B471="","",DATE(YEAR(B471),MONTH(B471),1))</f>
        <v/>
      </c>
    </row>
    <row r="472" customFormat="false" ht="15" hidden="false" customHeight="false" outlineLevel="0" collapsed="false">
      <c r="B472" s="33"/>
      <c r="C472" s="30"/>
      <c r="D472" s="30"/>
      <c r="E472" s="31"/>
      <c r="F472" s="30"/>
      <c r="G472" s="30"/>
      <c r="H472" s="34" t="str">
        <f aca="false">IF(D472="","",IFERROR(INDEX(Categorias!$D$6:$D$45,MATCH(D472,Categorias!$B$6:$B$45,0))&amp;"",""))</f>
        <v/>
      </c>
      <c r="I472" s="35"/>
      <c r="J472" s="35"/>
      <c r="K472" s="35"/>
      <c r="L472" s="36" t="str">
        <f aca="false">IF(OR(H472="",COUNTIF(I472:K472,"S")+COUNTIF(I472:K472,"N")&lt;3),"",COUNTIF(I472:K472,"S")*IF(H472="S",5,IF(H472="M",4,IF(H472="E",3,2))))</f>
        <v/>
      </c>
      <c r="M472" s="37" t="str">
        <f aca="false">IF(L472="","",IF(L472&gt;=12,"Executar",IF(L472&gt;=8,"Executar com controle",IF(L472&gt;=5,"Postergar","Cancelar"))))</f>
        <v/>
      </c>
      <c r="O472" s="28" t="str">
        <f aca="false">IF(D472="","",IFERROR(INDEX(Categorias!$C$6:$C$45,MATCH(D472,Categorias!$B$6:$B$45,0)),"Sem grupo"))</f>
        <v/>
      </c>
      <c r="P472" s="38" t="str">
        <f aca="false">IF(B472="","",DATE(YEAR(B472),MONTH(B472),1))</f>
        <v/>
      </c>
    </row>
    <row r="473" customFormat="false" ht="15" hidden="false" customHeight="false" outlineLevel="0" collapsed="false">
      <c r="B473" s="33"/>
      <c r="C473" s="30"/>
      <c r="D473" s="30"/>
      <c r="E473" s="31"/>
      <c r="F473" s="30"/>
      <c r="G473" s="30"/>
      <c r="H473" s="34" t="str">
        <f aca="false">IF(D473="","",IFERROR(INDEX(Categorias!$D$6:$D$45,MATCH(D473,Categorias!$B$6:$B$45,0))&amp;"",""))</f>
        <v/>
      </c>
      <c r="I473" s="35"/>
      <c r="J473" s="35"/>
      <c r="K473" s="35"/>
      <c r="L473" s="36" t="str">
        <f aca="false">IF(OR(H473="",COUNTIF(I473:K473,"S")+COUNTIF(I473:K473,"N")&lt;3),"",COUNTIF(I473:K473,"S")*IF(H473="S",5,IF(H473="M",4,IF(H473="E",3,2))))</f>
        <v/>
      </c>
      <c r="M473" s="37" t="str">
        <f aca="false">IF(L473="","",IF(L473&gt;=12,"Executar",IF(L473&gt;=8,"Executar com controle",IF(L473&gt;=5,"Postergar","Cancelar"))))</f>
        <v/>
      </c>
      <c r="O473" s="28" t="str">
        <f aca="false">IF(D473="","",IFERROR(INDEX(Categorias!$C$6:$C$45,MATCH(D473,Categorias!$B$6:$B$45,0)),"Sem grupo"))</f>
        <v/>
      </c>
      <c r="P473" s="38" t="str">
        <f aca="false">IF(B473="","",DATE(YEAR(B473),MONTH(B473),1))</f>
        <v/>
      </c>
    </row>
    <row r="474" customFormat="false" ht="15" hidden="false" customHeight="false" outlineLevel="0" collapsed="false">
      <c r="B474" s="33"/>
      <c r="C474" s="30"/>
      <c r="D474" s="30"/>
      <c r="E474" s="31"/>
      <c r="F474" s="30"/>
      <c r="G474" s="30"/>
      <c r="H474" s="34" t="str">
        <f aca="false">IF(D474="","",IFERROR(INDEX(Categorias!$D$6:$D$45,MATCH(D474,Categorias!$B$6:$B$45,0))&amp;"",""))</f>
        <v/>
      </c>
      <c r="I474" s="35"/>
      <c r="J474" s="35"/>
      <c r="K474" s="35"/>
      <c r="L474" s="36" t="str">
        <f aca="false">IF(OR(H474="",COUNTIF(I474:K474,"S")+COUNTIF(I474:K474,"N")&lt;3),"",COUNTIF(I474:K474,"S")*IF(H474="S",5,IF(H474="M",4,IF(H474="E",3,2))))</f>
        <v/>
      </c>
      <c r="M474" s="37" t="str">
        <f aca="false">IF(L474="","",IF(L474&gt;=12,"Executar",IF(L474&gt;=8,"Executar com controle",IF(L474&gt;=5,"Postergar","Cancelar"))))</f>
        <v/>
      </c>
      <c r="O474" s="28" t="str">
        <f aca="false">IF(D474="","",IFERROR(INDEX(Categorias!$C$6:$C$45,MATCH(D474,Categorias!$B$6:$B$45,0)),"Sem grupo"))</f>
        <v/>
      </c>
      <c r="P474" s="38" t="str">
        <f aca="false">IF(B474="","",DATE(YEAR(B474),MONTH(B474),1))</f>
        <v/>
      </c>
    </row>
    <row r="475" customFormat="false" ht="15" hidden="false" customHeight="false" outlineLevel="0" collapsed="false">
      <c r="B475" s="33"/>
      <c r="C475" s="30"/>
      <c r="D475" s="30"/>
      <c r="E475" s="31"/>
      <c r="F475" s="30"/>
      <c r="G475" s="30"/>
      <c r="H475" s="34" t="str">
        <f aca="false">IF(D475="","",IFERROR(INDEX(Categorias!$D$6:$D$45,MATCH(D475,Categorias!$B$6:$B$45,0))&amp;"",""))</f>
        <v/>
      </c>
      <c r="I475" s="35"/>
      <c r="J475" s="35"/>
      <c r="K475" s="35"/>
      <c r="L475" s="36" t="str">
        <f aca="false">IF(OR(H475="",COUNTIF(I475:K475,"S")+COUNTIF(I475:K475,"N")&lt;3),"",COUNTIF(I475:K475,"S")*IF(H475="S",5,IF(H475="M",4,IF(H475="E",3,2))))</f>
        <v/>
      </c>
      <c r="M475" s="37" t="str">
        <f aca="false">IF(L475="","",IF(L475&gt;=12,"Executar",IF(L475&gt;=8,"Executar com controle",IF(L475&gt;=5,"Postergar","Cancelar"))))</f>
        <v/>
      </c>
      <c r="O475" s="28" t="str">
        <f aca="false">IF(D475="","",IFERROR(INDEX(Categorias!$C$6:$C$45,MATCH(D475,Categorias!$B$6:$B$45,0)),"Sem grupo"))</f>
        <v/>
      </c>
      <c r="P475" s="38" t="str">
        <f aca="false">IF(B475="","",DATE(YEAR(B475),MONTH(B475),1))</f>
        <v/>
      </c>
    </row>
    <row r="476" customFormat="false" ht="15" hidden="false" customHeight="false" outlineLevel="0" collapsed="false">
      <c r="B476" s="33"/>
      <c r="C476" s="30"/>
      <c r="D476" s="30"/>
      <c r="E476" s="31"/>
      <c r="F476" s="30"/>
      <c r="G476" s="30"/>
      <c r="H476" s="34" t="str">
        <f aca="false">IF(D476="","",IFERROR(INDEX(Categorias!$D$6:$D$45,MATCH(D476,Categorias!$B$6:$B$45,0))&amp;"",""))</f>
        <v/>
      </c>
      <c r="I476" s="35"/>
      <c r="J476" s="35"/>
      <c r="K476" s="35"/>
      <c r="L476" s="36" t="str">
        <f aca="false">IF(OR(H476="",COUNTIF(I476:K476,"S")+COUNTIF(I476:K476,"N")&lt;3),"",COUNTIF(I476:K476,"S")*IF(H476="S",5,IF(H476="M",4,IF(H476="E",3,2))))</f>
        <v/>
      </c>
      <c r="M476" s="37" t="str">
        <f aca="false">IF(L476="","",IF(L476&gt;=12,"Executar",IF(L476&gt;=8,"Executar com controle",IF(L476&gt;=5,"Postergar","Cancelar"))))</f>
        <v/>
      </c>
      <c r="O476" s="28" t="str">
        <f aca="false">IF(D476="","",IFERROR(INDEX(Categorias!$C$6:$C$45,MATCH(D476,Categorias!$B$6:$B$45,0)),"Sem grupo"))</f>
        <v/>
      </c>
      <c r="P476" s="38" t="str">
        <f aca="false">IF(B476="","",DATE(YEAR(B476),MONTH(B476),1))</f>
        <v/>
      </c>
    </row>
    <row r="477" customFormat="false" ht="15" hidden="false" customHeight="false" outlineLevel="0" collapsed="false">
      <c r="B477" s="33"/>
      <c r="C477" s="30"/>
      <c r="D477" s="30"/>
      <c r="E477" s="31"/>
      <c r="F477" s="30"/>
      <c r="G477" s="30"/>
      <c r="H477" s="34" t="str">
        <f aca="false">IF(D477="","",IFERROR(INDEX(Categorias!$D$6:$D$45,MATCH(D477,Categorias!$B$6:$B$45,0))&amp;"",""))</f>
        <v/>
      </c>
      <c r="I477" s="35"/>
      <c r="J477" s="35"/>
      <c r="K477" s="35"/>
      <c r="L477" s="36" t="str">
        <f aca="false">IF(OR(H477="",COUNTIF(I477:K477,"S")+COUNTIF(I477:K477,"N")&lt;3),"",COUNTIF(I477:K477,"S")*IF(H477="S",5,IF(H477="M",4,IF(H477="E",3,2))))</f>
        <v/>
      </c>
      <c r="M477" s="37" t="str">
        <f aca="false">IF(L477="","",IF(L477&gt;=12,"Executar",IF(L477&gt;=8,"Executar com controle",IF(L477&gt;=5,"Postergar","Cancelar"))))</f>
        <v/>
      </c>
      <c r="O477" s="28" t="str">
        <f aca="false">IF(D477="","",IFERROR(INDEX(Categorias!$C$6:$C$45,MATCH(D477,Categorias!$B$6:$B$45,0)),"Sem grupo"))</f>
        <v/>
      </c>
      <c r="P477" s="38" t="str">
        <f aca="false">IF(B477="","",DATE(YEAR(B477),MONTH(B477),1))</f>
        <v/>
      </c>
    </row>
    <row r="478" customFormat="false" ht="15" hidden="false" customHeight="false" outlineLevel="0" collapsed="false">
      <c r="B478" s="33"/>
      <c r="C478" s="30"/>
      <c r="D478" s="30"/>
      <c r="E478" s="31"/>
      <c r="F478" s="30"/>
      <c r="G478" s="30"/>
      <c r="H478" s="34" t="str">
        <f aca="false">IF(D478="","",IFERROR(INDEX(Categorias!$D$6:$D$45,MATCH(D478,Categorias!$B$6:$B$45,0))&amp;"",""))</f>
        <v/>
      </c>
      <c r="I478" s="35"/>
      <c r="J478" s="35"/>
      <c r="K478" s="35"/>
      <c r="L478" s="36" t="str">
        <f aca="false">IF(OR(H478="",COUNTIF(I478:K478,"S")+COUNTIF(I478:K478,"N")&lt;3),"",COUNTIF(I478:K478,"S")*IF(H478="S",5,IF(H478="M",4,IF(H478="E",3,2))))</f>
        <v/>
      </c>
      <c r="M478" s="37" t="str">
        <f aca="false">IF(L478="","",IF(L478&gt;=12,"Executar",IF(L478&gt;=8,"Executar com controle",IF(L478&gt;=5,"Postergar","Cancelar"))))</f>
        <v/>
      </c>
      <c r="O478" s="28" t="str">
        <f aca="false">IF(D478="","",IFERROR(INDEX(Categorias!$C$6:$C$45,MATCH(D478,Categorias!$B$6:$B$45,0)),"Sem grupo"))</f>
        <v/>
      </c>
      <c r="P478" s="38" t="str">
        <f aca="false">IF(B478="","",DATE(YEAR(B478),MONTH(B478),1))</f>
        <v/>
      </c>
    </row>
    <row r="479" customFormat="false" ht="15" hidden="false" customHeight="false" outlineLevel="0" collapsed="false">
      <c r="B479" s="33"/>
      <c r="C479" s="30"/>
      <c r="D479" s="30"/>
      <c r="E479" s="31"/>
      <c r="F479" s="30"/>
      <c r="G479" s="30"/>
      <c r="H479" s="34" t="str">
        <f aca="false">IF(D479="","",IFERROR(INDEX(Categorias!$D$6:$D$45,MATCH(D479,Categorias!$B$6:$B$45,0))&amp;"",""))</f>
        <v/>
      </c>
      <c r="I479" s="35"/>
      <c r="J479" s="35"/>
      <c r="K479" s="35"/>
      <c r="L479" s="36" t="str">
        <f aca="false">IF(OR(H479="",COUNTIF(I479:K479,"S")+COUNTIF(I479:K479,"N")&lt;3),"",COUNTIF(I479:K479,"S")*IF(H479="S",5,IF(H479="M",4,IF(H479="E",3,2))))</f>
        <v/>
      </c>
      <c r="M479" s="37" t="str">
        <f aca="false">IF(L479="","",IF(L479&gt;=12,"Executar",IF(L479&gt;=8,"Executar com controle",IF(L479&gt;=5,"Postergar","Cancelar"))))</f>
        <v/>
      </c>
      <c r="O479" s="28" t="str">
        <f aca="false">IF(D479="","",IFERROR(INDEX(Categorias!$C$6:$C$45,MATCH(D479,Categorias!$B$6:$B$45,0)),"Sem grupo"))</f>
        <v/>
      </c>
      <c r="P479" s="38" t="str">
        <f aca="false">IF(B479="","",DATE(YEAR(B479),MONTH(B479),1))</f>
        <v/>
      </c>
    </row>
    <row r="480" customFormat="false" ht="15" hidden="false" customHeight="false" outlineLevel="0" collapsed="false">
      <c r="B480" s="33"/>
      <c r="C480" s="30"/>
      <c r="D480" s="30"/>
      <c r="E480" s="31"/>
      <c r="F480" s="30"/>
      <c r="G480" s="30"/>
      <c r="H480" s="34" t="str">
        <f aca="false">IF(D480="","",IFERROR(INDEX(Categorias!$D$6:$D$45,MATCH(D480,Categorias!$B$6:$B$45,0))&amp;"",""))</f>
        <v/>
      </c>
      <c r="I480" s="35"/>
      <c r="J480" s="35"/>
      <c r="K480" s="35"/>
      <c r="L480" s="36" t="str">
        <f aca="false">IF(OR(H480="",COUNTIF(I480:K480,"S")+COUNTIF(I480:K480,"N")&lt;3),"",COUNTIF(I480:K480,"S")*IF(H480="S",5,IF(H480="M",4,IF(H480="E",3,2))))</f>
        <v/>
      </c>
      <c r="M480" s="37" t="str">
        <f aca="false">IF(L480="","",IF(L480&gt;=12,"Executar",IF(L480&gt;=8,"Executar com controle",IF(L480&gt;=5,"Postergar","Cancelar"))))</f>
        <v/>
      </c>
      <c r="O480" s="28" t="str">
        <f aca="false">IF(D480="","",IFERROR(INDEX(Categorias!$C$6:$C$45,MATCH(D480,Categorias!$B$6:$B$45,0)),"Sem grupo"))</f>
        <v/>
      </c>
      <c r="P480" s="38" t="str">
        <f aca="false">IF(B480="","",DATE(YEAR(B480),MONTH(B480),1))</f>
        <v/>
      </c>
    </row>
    <row r="481" customFormat="false" ht="15" hidden="false" customHeight="false" outlineLevel="0" collapsed="false">
      <c r="B481" s="33"/>
      <c r="C481" s="30"/>
      <c r="D481" s="30"/>
      <c r="E481" s="31"/>
      <c r="F481" s="30"/>
      <c r="G481" s="30"/>
      <c r="H481" s="34" t="str">
        <f aca="false">IF(D481="","",IFERROR(INDEX(Categorias!$D$6:$D$45,MATCH(D481,Categorias!$B$6:$B$45,0))&amp;"",""))</f>
        <v/>
      </c>
      <c r="I481" s="35"/>
      <c r="J481" s="35"/>
      <c r="K481" s="35"/>
      <c r="L481" s="36" t="str">
        <f aca="false">IF(OR(H481="",COUNTIF(I481:K481,"S")+COUNTIF(I481:K481,"N")&lt;3),"",COUNTIF(I481:K481,"S")*IF(H481="S",5,IF(H481="M",4,IF(H481="E",3,2))))</f>
        <v/>
      </c>
      <c r="M481" s="37" t="str">
        <f aca="false">IF(L481="","",IF(L481&gt;=12,"Executar",IF(L481&gt;=8,"Executar com controle",IF(L481&gt;=5,"Postergar","Cancelar"))))</f>
        <v/>
      </c>
      <c r="O481" s="28" t="str">
        <f aca="false">IF(D481="","",IFERROR(INDEX(Categorias!$C$6:$C$45,MATCH(D481,Categorias!$B$6:$B$45,0)),"Sem grupo"))</f>
        <v/>
      </c>
      <c r="P481" s="38" t="str">
        <f aca="false">IF(B481="","",DATE(YEAR(B481),MONTH(B481),1))</f>
        <v/>
      </c>
    </row>
    <row r="482" customFormat="false" ht="15" hidden="false" customHeight="false" outlineLevel="0" collapsed="false">
      <c r="B482" s="33"/>
      <c r="C482" s="30"/>
      <c r="D482" s="30"/>
      <c r="E482" s="31"/>
      <c r="F482" s="30"/>
      <c r="G482" s="30"/>
      <c r="H482" s="34" t="str">
        <f aca="false">IF(D482="","",IFERROR(INDEX(Categorias!$D$6:$D$45,MATCH(D482,Categorias!$B$6:$B$45,0))&amp;"",""))</f>
        <v/>
      </c>
      <c r="I482" s="35"/>
      <c r="J482" s="35"/>
      <c r="K482" s="35"/>
      <c r="L482" s="36" t="str">
        <f aca="false">IF(OR(H482="",COUNTIF(I482:K482,"S")+COUNTIF(I482:K482,"N")&lt;3),"",COUNTIF(I482:K482,"S")*IF(H482="S",5,IF(H482="M",4,IF(H482="E",3,2))))</f>
        <v/>
      </c>
      <c r="M482" s="37" t="str">
        <f aca="false">IF(L482="","",IF(L482&gt;=12,"Executar",IF(L482&gt;=8,"Executar com controle",IF(L482&gt;=5,"Postergar","Cancelar"))))</f>
        <v/>
      </c>
      <c r="O482" s="28" t="str">
        <f aca="false">IF(D482="","",IFERROR(INDEX(Categorias!$C$6:$C$45,MATCH(D482,Categorias!$B$6:$B$45,0)),"Sem grupo"))</f>
        <v/>
      </c>
      <c r="P482" s="38" t="str">
        <f aca="false">IF(B482="","",DATE(YEAR(B482),MONTH(B482),1))</f>
        <v/>
      </c>
    </row>
    <row r="483" customFormat="false" ht="15" hidden="false" customHeight="false" outlineLevel="0" collapsed="false">
      <c r="B483" s="33"/>
      <c r="C483" s="30"/>
      <c r="D483" s="30"/>
      <c r="E483" s="31"/>
      <c r="F483" s="30"/>
      <c r="G483" s="30"/>
      <c r="H483" s="34" t="str">
        <f aca="false">IF(D483="","",IFERROR(INDEX(Categorias!$D$6:$D$45,MATCH(D483,Categorias!$B$6:$B$45,0))&amp;"",""))</f>
        <v/>
      </c>
      <c r="I483" s="35"/>
      <c r="J483" s="35"/>
      <c r="K483" s="35"/>
      <c r="L483" s="36" t="str">
        <f aca="false">IF(OR(H483="",COUNTIF(I483:K483,"S")+COUNTIF(I483:K483,"N")&lt;3),"",COUNTIF(I483:K483,"S")*IF(H483="S",5,IF(H483="M",4,IF(H483="E",3,2))))</f>
        <v/>
      </c>
      <c r="M483" s="37" t="str">
        <f aca="false">IF(L483="","",IF(L483&gt;=12,"Executar",IF(L483&gt;=8,"Executar com controle",IF(L483&gt;=5,"Postergar","Cancelar"))))</f>
        <v/>
      </c>
      <c r="O483" s="28" t="str">
        <f aca="false">IF(D483="","",IFERROR(INDEX(Categorias!$C$6:$C$45,MATCH(D483,Categorias!$B$6:$B$45,0)),"Sem grupo"))</f>
        <v/>
      </c>
      <c r="P483" s="38" t="str">
        <f aca="false">IF(B483="","",DATE(YEAR(B483),MONTH(B483),1))</f>
        <v/>
      </c>
    </row>
    <row r="484" customFormat="false" ht="15" hidden="false" customHeight="false" outlineLevel="0" collapsed="false">
      <c r="B484" s="33"/>
      <c r="C484" s="30"/>
      <c r="D484" s="30"/>
      <c r="E484" s="31"/>
      <c r="F484" s="30"/>
      <c r="G484" s="30"/>
      <c r="H484" s="34" t="str">
        <f aca="false">IF(D484="","",IFERROR(INDEX(Categorias!$D$6:$D$45,MATCH(D484,Categorias!$B$6:$B$45,0))&amp;"",""))</f>
        <v/>
      </c>
      <c r="I484" s="35"/>
      <c r="J484" s="35"/>
      <c r="K484" s="35"/>
      <c r="L484" s="36" t="str">
        <f aca="false">IF(OR(H484="",COUNTIF(I484:K484,"S")+COUNTIF(I484:K484,"N")&lt;3),"",COUNTIF(I484:K484,"S")*IF(H484="S",5,IF(H484="M",4,IF(H484="E",3,2))))</f>
        <v/>
      </c>
      <c r="M484" s="37" t="str">
        <f aca="false">IF(L484="","",IF(L484&gt;=12,"Executar",IF(L484&gt;=8,"Executar com controle",IF(L484&gt;=5,"Postergar","Cancelar"))))</f>
        <v/>
      </c>
      <c r="O484" s="28" t="str">
        <f aca="false">IF(D484="","",IFERROR(INDEX(Categorias!$C$6:$C$45,MATCH(D484,Categorias!$B$6:$B$45,0)),"Sem grupo"))</f>
        <v/>
      </c>
      <c r="P484" s="38" t="str">
        <f aca="false">IF(B484="","",DATE(YEAR(B484),MONTH(B484),1))</f>
        <v/>
      </c>
    </row>
    <row r="485" customFormat="false" ht="15" hidden="false" customHeight="false" outlineLevel="0" collapsed="false">
      <c r="B485" s="33"/>
      <c r="C485" s="30"/>
      <c r="D485" s="30"/>
      <c r="E485" s="31"/>
      <c r="F485" s="30"/>
      <c r="G485" s="30"/>
      <c r="H485" s="34" t="str">
        <f aca="false">IF(D485="","",IFERROR(INDEX(Categorias!$D$6:$D$45,MATCH(D485,Categorias!$B$6:$B$45,0))&amp;"",""))</f>
        <v/>
      </c>
      <c r="I485" s="35"/>
      <c r="J485" s="35"/>
      <c r="K485" s="35"/>
      <c r="L485" s="36" t="str">
        <f aca="false">IF(OR(H485="",COUNTIF(I485:K485,"S")+COUNTIF(I485:K485,"N")&lt;3),"",COUNTIF(I485:K485,"S")*IF(H485="S",5,IF(H485="M",4,IF(H485="E",3,2))))</f>
        <v/>
      </c>
      <c r="M485" s="37" t="str">
        <f aca="false">IF(L485="","",IF(L485&gt;=12,"Executar",IF(L485&gt;=8,"Executar com controle",IF(L485&gt;=5,"Postergar","Cancelar"))))</f>
        <v/>
      </c>
      <c r="O485" s="28" t="str">
        <f aca="false">IF(D485="","",IFERROR(INDEX(Categorias!$C$6:$C$45,MATCH(D485,Categorias!$B$6:$B$45,0)),"Sem grupo"))</f>
        <v/>
      </c>
      <c r="P485" s="38" t="str">
        <f aca="false">IF(B485="","",DATE(YEAR(B485),MONTH(B485),1))</f>
        <v/>
      </c>
    </row>
    <row r="486" customFormat="false" ht="15" hidden="false" customHeight="false" outlineLevel="0" collapsed="false">
      <c r="B486" s="33"/>
      <c r="C486" s="30"/>
      <c r="D486" s="30"/>
      <c r="E486" s="31"/>
      <c r="F486" s="30"/>
      <c r="G486" s="30"/>
      <c r="H486" s="34" t="str">
        <f aca="false">IF(D486="","",IFERROR(INDEX(Categorias!$D$6:$D$45,MATCH(D486,Categorias!$B$6:$B$45,0))&amp;"",""))</f>
        <v/>
      </c>
      <c r="I486" s="35"/>
      <c r="J486" s="35"/>
      <c r="K486" s="35"/>
      <c r="L486" s="36" t="str">
        <f aca="false">IF(OR(H486="",COUNTIF(I486:K486,"S")+COUNTIF(I486:K486,"N")&lt;3),"",COUNTIF(I486:K486,"S")*IF(H486="S",5,IF(H486="M",4,IF(H486="E",3,2))))</f>
        <v/>
      </c>
      <c r="M486" s="37" t="str">
        <f aca="false">IF(L486="","",IF(L486&gt;=12,"Executar",IF(L486&gt;=8,"Executar com controle",IF(L486&gt;=5,"Postergar","Cancelar"))))</f>
        <v/>
      </c>
      <c r="O486" s="28" t="str">
        <f aca="false">IF(D486="","",IFERROR(INDEX(Categorias!$C$6:$C$45,MATCH(D486,Categorias!$B$6:$B$45,0)),"Sem grupo"))</f>
        <v/>
      </c>
      <c r="P486" s="38" t="str">
        <f aca="false">IF(B486="","",DATE(YEAR(B486),MONTH(B486),1))</f>
        <v/>
      </c>
    </row>
    <row r="487" customFormat="false" ht="15" hidden="false" customHeight="false" outlineLevel="0" collapsed="false">
      <c r="B487" s="33"/>
      <c r="C487" s="30"/>
      <c r="D487" s="30"/>
      <c r="E487" s="31"/>
      <c r="F487" s="30"/>
      <c r="G487" s="30"/>
      <c r="H487" s="34" t="str">
        <f aca="false">IF(D487="","",IFERROR(INDEX(Categorias!$D$6:$D$45,MATCH(D487,Categorias!$B$6:$B$45,0))&amp;"",""))</f>
        <v/>
      </c>
      <c r="I487" s="35"/>
      <c r="J487" s="35"/>
      <c r="K487" s="35"/>
      <c r="L487" s="36" t="str">
        <f aca="false">IF(OR(H487="",COUNTIF(I487:K487,"S")+COUNTIF(I487:K487,"N")&lt;3),"",COUNTIF(I487:K487,"S")*IF(H487="S",5,IF(H487="M",4,IF(H487="E",3,2))))</f>
        <v/>
      </c>
      <c r="M487" s="37" t="str">
        <f aca="false">IF(L487="","",IF(L487&gt;=12,"Executar",IF(L487&gt;=8,"Executar com controle",IF(L487&gt;=5,"Postergar","Cancelar"))))</f>
        <v/>
      </c>
      <c r="O487" s="28" t="str">
        <f aca="false">IF(D487="","",IFERROR(INDEX(Categorias!$C$6:$C$45,MATCH(D487,Categorias!$B$6:$B$45,0)),"Sem grupo"))</f>
        <v/>
      </c>
      <c r="P487" s="38" t="str">
        <f aca="false">IF(B487="","",DATE(YEAR(B487),MONTH(B487),1))</f>
        <v/>
      </c>
    </row>
    <row r="488" customFormat="false" ht="15" hidden="false" customHeight="false" outlineLevel="0" collapsed="false">
      <c r="B488" s="33"/>
      <c r="C488" s="30"/>
      <c r="D488" s="30"/>
      <c r="E488" s="31"/>
      <c r="F488" s="30"/>
      <c r="G488" s="30"/>
      <c r="H488" s="34" t="str">
        <f aca="false">IF(D488="","",IFERROR(INDEX(Categorias!$D$6:$D$45,MATCH(D488,Categorias!$B$6:$B$45,0))&amp;"",""))</f>
        <v/>
      </c>
      <c r="I488" s="35"/>
      <c r="J488" s="35"/>
      <c r="K488" s="35"/>
      <c r="L488" s="36" t="str">
        <f aca="false">IF(OR(H488="",COUNTIF(I488:K488,"S")+COUNTIF(I488:K488,"N")&lt;3),"",COUNTIF(I488:K488,"S")*IF(H488="S",5,IF(H488="M",4,IF(H488="E",3,2))))</f>
        <v/>
      </c>
      <c r="M488" s="37" t="str">
        <f aca="false">IF(L488="","",IF(L488&gt;=12,"Executar",IF(L488&gt;=8,"Executar com controle",IF(L488&gt;=5,"Postergar","Cancelar"))))</f>
        <v/>
      </c>
      <c r="O488" s="28" t="str">
        <f aca="false">IF(D488="","",IFERROR(INDEX(Categorias!$C$6:$C$45,MATCH(D488,Categorias!$B$6:$B$45,0)),"Sem grupo"))</f>
        <v/>
      </c>
      <c r="P488" s="38" t="str">
        <f aca="false">IF(B488="","",DATE(YEAR(B488),MONTH(B488),1))</f>
        <v/>
      </c>
    </row>
    <row r="489" customFormat="false" ht="15" hidden="false" customHeight="false" outlineLevel="0" collapsed="false">
      <c r="B489" s="33"/>
      <c r="C489" s="30"/>
      <c r="D489" s="30"/>
      <c r="E489" s="31"/>
      <c r="F489" s="30"/>
      <c r="G489" s="30"/>
      <c r="H489" s="34" t="str">
        <f aca="false">IF(D489="","",IFERROR(INDEX(Categorias!$D$6:$D$45,MATCH(D489,Categorias!$B$6:$B$45,0))&amp;"",""))</f>
        <v/>
      </c>
      <c r="I489" s="35"/>
      <c r="J489" s="35"/>
      <c r="K489" s="35"/>
      <c r="L489" s="36" t="str">
        <f aca="false">IF(OR(H489="",COUNTIF(I489:K489,"S")+COUNTIF(I489:K489,"N")&lt;3),"",COUNTIF(I489:K489,"S")*IF(H489="S",5,IF(H489="M",4,IF(H489="E",3,2))))</f>
        <v/>
      </c>
      <c r="M489" s="37" t="str">
        <f aca="false">IF(L489="","",IF(L489&gt;=12,"Executar",IF(L489&gt;=8,"Executar com controle",IF(L489&gt;=5,"Postergar","Cancelar"))))</f>
        <v/>
      </c>
      <c r="O489" s="28" t="str">
        <f aca="false">IF(D489="","",IFERROR(INDEX(Categorias!$C$6:$C$45,MATCH(D489,Categorias!$B$6:$B$45,0)),"Sem grupo"))</f>
        <v/>
      </c>
      <c r="P489" s="38" t="str">
        <f aca="false">IF(B489="","",DATE(YEAR(B489),MONTH(B489),1))</f>
        <v/>
      </c>
    </row>
    <row r="490" customFormat="false" ht="15" hidden="false" customHeight="false" outlineLevel="0" collapsed="false">
      <c r="B490" s="33"/>
      <c r="C490" s="30"/>
      <c r="D490" s="30"/>
      <c r="E490" s="31"/>
      <c r="F490" s="30"/>
      <c r="G490" s="30"/>
      <c r="H490" s="34" t="str">
        <f aca="false">IF(D490="","",IFERROR(INDEX(Categorias!$D$6:$D$45,MATCH(D490,Categorias!$B$6:$B$45,0))&amp;"",""))</f>
        <v/>
      </c>
      <c r="I490" s="35"/>
      <c r="J490" s="35"/>
      <c r="K490" s="35"/>
      <c r="L490" s="36" t="str">
        <f aca="false">IF(OR(H490="",COUNTIF(I490:K490,"S")+COUNTIF(I490:K490,"N")&lt;3),"",COUNTIF(I490:K490,"S")*IF(H490="S",5,IF(H490="M",4,IF(H490="E",3,2))))</f>
        <v/>
      </c>
      <c r="M490" s="37" t="str">
        <f aca="false">IF(L490="","",IF(L490&gt;=12,"Executar",IF(L490&gt;=8,"Executar com controle",IF(L490&gt;=5,"Postergar","Cancelar"))))</f>
        <v/>
      </c>
      <c r="O490" s="28" t="str">
        <f aca="false">IF(D490="","",IFERROR(INDEX(Categorias!$C$6:$C$45,MATCH(D490,Categorias!$B$6:$B$45,0)),"Sem grupo"))</f>
        <v/>
      </c>
      <c r="P490" s="38" t="str">
        <f aca="false">IF(B490="","",DATE(YEAR(B490),MONTH(B490),1))</f>
        <v/>
      </c>
    </row>
    <row r="491" customFormat="false" ht="15" hidden="false" customHeight="false" outlineLevel="0" collapsed="false">
      <c r="B491" s="33"/>
      <c r="C491" s="30"/>
      <c r="D491" s="30"/>
      <c r="E491" s="31"/>
      <c r="F491" s="30"/>
      <c r="G491" s="30"/>
      <c r="H491" s="34" t="str">
        <f aca="false">IF(D491="","",IFERROR(INDEX(Categorias!$D$6:$D$45,MATCH(D491,Categorias!$B$6:$B$45,0))&amp;"",""))</f>
        <v/>
      </c>
      <c r="I491" s="35"/>
      <c r="J491" s="35"/>
      <c r="K491" s="35"/>
      <c r="L491" s="36" t="str">
        <f aca="false">IF(OR(H491="",COUNTIF(I491:K491,"S")+COUNTIF(I491:K491,"N")&lt;3),"",COUNTIF(I491:K491,"S")*IF(H491="S",5,IF(H491="M",4,IF(H491="E",3,2))))</f>
        <v/>
      </c>
      <c r="M491" s="37" t="str">
        <f aca="false">IF(L491="","",IF(L491&gt;=12,"Executar",IF(L491&gt;=8,"Executar com controle",IF(L491&gt;=5,"Postergar","Cancelar"))))</f>
        <v/>
      </c>
      <c r="O491" s="28" t="str">
        <f aca="false">IF(D491="","",IFERROR(INDEX(Categorias!$C$6:$C$45,MATCH(D491,Categorias!$B$6:$B$45,0)),"Sem grupo"))</f>
        <v/>
      </c>
      <c r="P491" s="38" t="str">
        <f aca="false">IF(B491="","",DATE(YEAR(B491),MONTH(B491),1))</f>
        <v/>
      </c>
    </row>
    <row r="492" customFormat="false" ht="15" hidden="false" customHeight="false" outlineLevel="0" collapsed="false">
      <c r="B492" s="33"/>
      <c r="C492" s="30"/>
      <c r="D492" s="30"/>
      <c r="E492" s="31"/>
      <c r="F492" s="30"/>
      <c r="G492" s="30"/>
      <c r="H492" s="34" t="str">
        <f aca="false">IF(D492="","",IFERROR(INDEX(Categorias!$D$6:$D$45,MATCH(D492,Categorias!$B$6:$B$45,0))&amp;"",""))</f>
        <v/>
      </c>
      <c r="I492" s="35"/>
      <c r="J492" s="35"/>
      <c r="K492" s="35"/>
      <c r="L492" s="36" t="str">
        <f aca="false">IF(OR(H492="",COUNTIF(I492:K492,"S")+COUNTIF(I492:K492,"N")&lt;3),"",COUNTIF(I492:K492,"S")*IF(H492="S",5,IF(H492="M",4,IF(H492="E",3,2))))</f>
        <v/>
      </c>
      <c r="M492" s="37" t="str">
        <f aca="false">IF(L492="","",IF(L492&gt;=12,"Executar",IF(L492&gt;=8,"Executar com controle",IF(L492&gt;=5,"Postergar","Cancelar"))))</f>
        <v/>
      </c>
      <c r="O492" s="28" t="str">
        <f aca="false">IF(D492="","",IFERROR(INDEX(Categorias!$C$6:$C$45,MATCH(D492,Categorias!$B$6:$B$45,0)),"Sem grupo"))</f>
        <v/>
      </c>
      <c r="P492" s="38" t="str">
        <f aca="false">IF(B492="","",DATE(YEAR(B492),MONTH(B492),1))</f>
        <v/>
      </c>
    </row>
    <row r="493" customFormat="false" ht="15" hidden="false" customHeight="false" outlineLevel="0" collapsed="false">
      <c r="B493" s="33"/>
      <c r="C493" s="30"/>
      <c r="D493" s="30"/>
      <c r="E493" s="31"/>
      <c r="F493" s="30"/>
      <c r="G493" s="30"/>
      <c r="H493" s="34" t="str">
        <f aca="false">IF(D493="","",IFERROR(INDEX(Categorias!$D$6:$D$45,MATCH(D493,Categorias!$B$6:$B$45,0))&amp;"",""))</f>
        <v/>
      </c>
      <c r="I493" s="35"/>
      <c r="J493" s="35"/>
      <c r="K493" s="35"/>
      <c r="L493" s="36" t="str">
        <f aca="false">IF(OR(H493="",COUNTIF(I493:K493,"S")+COUNTIF(I493:K493,"N")&lt;3),"",COUNTIF(I493:K493,"S")*IF(H493="S",5,IF(H493="M",4,IF(H493="E",3,2))))</f>
        <v/>
      </c>
      <c r="M493" s="37" t="str">
        <f aca="false">IF(L493="","",IF(L493&gt;=12,"Executar",IF(L493&gt;=8,"Executar com controle",IF(L493&gt;=5,"Postergar","Cancelar"))))</f>
        <v/>
      </c>
      <c r="O493" s="28" t="str">
        <f aca="false">IF(D493="","",IFERROR(INDEX(Categorias!$C$6:$C$45,MATCH(D493,Categorias!$B$6:$B$45,0)),"Sem grupo"))</f>
        <v/>
      </c>
      <c r="P493" s="38" t="str">
        <f aca="false">IF(B493="","",DATE(YEAR(B493),MONTH(B493),1))</f>
        <v/>
      </c>
    </row>
    <row r="494" customFormat="false" ht="15" hidden="false" customHeight="false" outlineLevel="0" collapsed="false">
      <c r="B494" s="33"/>
      <c r="C494" s="30"/>
      <c r="D494" s="30"/>
      <c r="E494" s="31"/>
      <c r="F494" s="30"/>
      <c r="G494" s="30"/>
      <c r="H494" s="34" t="str">
        <f aca="false">IF(D494="","",IFERROR(INDEX(Categorias!$D$6:$D$45,MATCH(D494,Categorias!$B$6:$B$45,0))&amp;"",""))</f>
        <v/>
      </c>
      <c r="I494" s="35"/>
      <c r="J494" s="35"/>
      <c r="K494" s="35"/>
      <c r="L494" s="36" t="str">
        <f aca="false">IF(OR(H494="",COUNTIF(I494:K494,"S")+COUNTIF(I494:K494,"N")&lt;3),"",COUNTIF(I494:K494,"S")*IF(H494="S",5,IF(H494="M",4,IF(H494="E",3,2))))</f>
        <v/>
      </c>
      <c r="M494" s="37" t="str">
        <f aca="false">IF(L494="","",IF(L494&gt;=12,"Executar",IF(L494&gt;=8,"Executar com controle",IF(L494&gt;=5,"Postergar","Cancelar"))))</f>
        <v/>
      </c>
      <c r="O494" s="28" t="str">
        <f aca="false">IF(D494="","",IFERROR(INDEX(Categorias!$C$6:$C$45,MATCH(D494,Categorias!$B$6:$B$45,0)),"Sem grupo"))</f>
        <v/>
      </c>
      <c r="P494" s="38" t="str">
        <f aca="false">IF(B494="","",DATE(YEAR(B494),MONTH(B494),1))</f>
        <v/>
      </c>
    </row>
    <row r="495" customFormat="false" ht="15" hidden="false" customHeight="false" outlineLevel="0" collapsed="false">
      <c r="B495" s="33"/>
      <c r="C495" s="30"/>
      <c r="D495" s="30"/>
      <c r="E495" s="31"/>
      <c r="F495" s="30"/>
      <c r="G495" s="30"/>
      <c r="H495" s="34" t="str">
        <f aca="false">IF(D495="","",IFERROR(INDEX(Categorias!$D$6:$D$45,MATCH(D495,Categorias!$B$6:$B$45,0))&amp;"",""))</f>
        <v/>
      </c>
      <c r="I495" s="35"/>
      <c r="J495" s="35"/>
      <c r="K495" s="35"/>
      <c r="L495" s="36" t="str">
        <f aca="false">IF(OR(H495="",COUNTIF(I495:K495,"S")+COUNTIF(I495:K495,"N")&lt;3),"",COUNTIF(I495:K495,"S")*IF(H495="S",5,IF(H495="M",4,IF(H495="E",3,2))))</f>
        <v/>
      </c>
      <c r="M495" s="37" t="str">
        <f aca="false">IF(L495="","",IF(L495&gt;=12,"Executar",IF(L495&gt;=8,"Executar com controle",IF(L495&gt;=5,"Postergar","Cancelar"))))</f>
        <v/>
      </c>
      <c r="O495" s="28" t="str">
        <f aca="false">IF(D495="","",IFERROR(INDEX(Categorias!$C$6:$C$45,MATCH(D495,Categorias!$B$6:$B$45,0)),"Sem grupo"))</f>
        <v/>
      </c>
      <c r="P495" s="38" t="str">
        <f aca="false">IF(B495="","",DATE(YEAR(B495),MONTH(B495),1))</f>
        <v/>
      </c>
    </row>
    <row r="496" customFormat="false" ht="15" hidden="false" customHeight="false" outlineLevel="0" collapsed="false">
      <c r="B496" s="33"/>
      <c r="C496" s="30"/>
      <c r="D496" s="30"/>
      <c r="E496" s="31"/>
      <c r="F496" s="30"/>
      <c r="G496" s="30"/>
      <c r="H496" s="34" t="str">
        <f aca="false">IF(D496="","",IFERROR(INDEX(Categorias!$D$6:$D$45,MATCH(D496,Categorias!$B$6:$B$45,0))&amp;"",""))</f>
        <v/>
      </c>
      <c r="I496" s="35"/>
      <c r="J496" s="35"/>
      <c r="K496" s="35"/>
      <c r="L496" s="36" t="str">
        <f aca="false">IF(OR(H496="",COUNTIF(I496:K496,"S")+COUNTIF(I496:K496,"N")&lt;3),"",COUNTIF(I496:K496,"S")*IF(H496="S",5,IF(H496="M",4,IF(H496="E",3,2))))</f>
        <v/>
      </c>
      <c r="M496" s="37" t="str">
        <f aca="false">IF(L496="","",IF(L496&gt;=12,"Executar",IF(L496&gt;=8,"Executar com controle",IF(L496&gt;=5,"Postergar","Cancelar"))))</f>
        <v/>
      </c>
      <c r="O496" s="28" t="str">
        <f aca="false">IF(D496="","",IFERROR(INDEX(Categorias!$C$6:$C$45,MATCH(D496,Categorias!$B$6:$B$45,0)),"Sem grupo"))</f>
        <v/>
      </c>
      <c r="P496" s="38" t="str">
        <f aca="false">IF(B496="","",DATE(YEAR(B496),MONTH(B496),1))</f>
        <v/>
      </c>
    </row>
    <row r="497" customFormat="false" ht="15" hidden="false" customHeight="false" outlineLevel="0" collapsed="false">
      <c r="B497" s="33"/>
      <c r="C497" s="30"/>
      <c r="D497" s="30"/>
      <c r="E497" s="31"/>
      <c r="F497" s="30"/>
      <c r="G497" s="30"/>
      <c r="H497" s="34" t="str">
        <f aca="false">IF(D497="","",IFERROR(INDEX(Categorias!$D$6:$D$45,MATCH(D497,Categorias!$B$6:$B$45,0))&amp;"",""))</f>
        <v/>
      </c>
      <c r="I497" s="35"/>
      <c r="J497" s="35"/>
      <c r="K497" s="35"/>
      <c r="L497" s="36" t="str">
        <f aca="false">IF(OR(H497="",COUNTIF(I497:K497,"S")+COUNTIF(I497:K497,"N")&lt;3),"",COUNTIF(I497:K497,"S")*IF(H497="S",5,IF(H497="M",4,IF(H497="E",3,2))))</f>
        <v/>
      </c>
      <c r="M497" s="37" t="str">
        <f aca="false">IF(L497="","",IF(L497&gt;=12,"Executar",IF(L497&gt;=8,"Executar com controle",IF(L497&gt;=5,"Postergar","Cancelar"))))</f>
        <v/>
      </c>
      <c r="O497" s="28" t="str">
        <f aca="false">IF(D497="","",IFERROR(INDEX(Categorias!$C$6:$C$45,MATCH(D497,Categorias!$B$6:$B$45,0)),"Sem grupo"))</f>
        <v/>
      </c>
      <c r="P497" s="38" t="str">
        <f aca="false">IF(B497="","",DATE(YEAR(B497),MONTH(B497),1))</f>
        <v/>
      </c>
    </row>
    <row r="498" customFormat="false" ht="15" hidden="false" customHeight="false" outlineLevel="0" collapsed="false">
      <c r="B498" s="33"/>
      <c r="C498" s="30"/>
      <c r="D498" s="30"/>
      <c r="E498" s="31"/>
      <c r="F498" s="30"/>
      <c r="G498" s="30"/>
      <c r="H498" s="34" t="str">
        <f aca="false">IF(D498="","",IFERROR(INDEX(Categorias!$D$6:$D$45,MATCH(D498,Categorias!$B$6:$B$45,0))&amp;"",""))</f>
        <v/>
      </c>
      <c r="I498" s="35"/>
      <c r="J498" s="35"/>
      <c r="K498" s="35"/>
      <c r="L498" s="36" t="str">
        <f aca="false">IF(OR(H498="",COUNTIF(I498:K498,"S")+COUNTIF(I498:K498,"N")&lt;3),"",COUNTIF(I498:K498,"S")*IF(H498="S",5,IF(H498="M",4,IF(H498="E",3,2))))</f>
        <v/>
      </c>
      <c r="M498" s="37" t="str">
        <f aca="false">IF(L498="","",IF(L498&gt;=12,"Executar",IF(L498&gt;=8,"Executar com controle",IF(L498&gt;=5,"Postergar","Cancelar"))))</f>
        <v/>
      </c>
      <c r="O498" s="28" t="str">
        <f aca="false">IF(D498="","",IFERROR(INDEX(Categorias!$C$6:$C$45,MATCH(D498,Categorias!$B$6:$B$45,0)),"Sem grupo"))</f>
        <v/>
      </c>
      <c r="P498" s="38" t="str">
        <f aca="false">IF(B498="","",DATE(YEAR(B498),MONTH(B498),1))</f>
        <v/>
      </c>
    </row>
    <row r="499" customFormat="false" ht="15" hidden="false" customHeight="false" outlineLevel="0" collapsed="false">
      <c r="B499" s="33"/>
      <c r="C499" s="30"/>
      <c r="D499" s="30"/>
      <c r="E499" s="31"/>
      <c r="F499" s="30"/>
      <c r="G499" s="30"/>
      <c r="H499" s="34" t="str">
        <f aca="false">IF(D499="","",IFERROR(INDEX(Categorias!$D$6:$D$45,MATCH(D499,Categorias!$B$6:$B$45,0))&amp;"",""))</f>
        <v/>
      </c>
      <c r="I499" s="35"/>
      <c r="J499" s="35"/>
      <c r="K499" s="35"/>
      <c r="L499" s="36" t="str">
        <f aca="false">IF(OR(H499="",COUNTIF(I499:K499,"S")+COUNTIF(I499:K499,"N")&lt;3),"",COUNTIF(I499:K499,"S")*IF(H499="S",5,IF(H499="M",4,IF(H499="E",3,2))))</f>
        <v/>
      </c>
      <c r="M499" s="37" t="str">
        <f aca="false">IF(L499="","",IF(L499&gt;=12,"Executar",IF(L499&gt;=8,"Executar com controle",IF(L499&gt;=5,"Postergar","Cancelar"))))</f>
        <v/>
      </c>
      <c r="O499" s="28" t="str">
        <f aca="false">IF(D499="","",IFERROR(INDEX(Categorias!$C$6:$C$45,MATCH(D499,Categorias!$B$6:$B$45,0)),"Sem grupo"))</f>
        <v/>
      </c>
      <c r="P499" s="38" t="str">
        <f aca="false">IF(B499="","",DATE(YEAR(B499),MONTH(B499),1))</f>
        <v/>
      </c>
    </row>
    <row r="500" customFormat="false" ht="15" hidden="false" customHeight="false" outlineLevel="0" collapsed="false">
      <c r="B500" s="33"/>
      <c r="C500" s="30"/>
      <c r="D500" s="30"/>
      <c r="E500" s="31"/>
      <c r="F500" s="30"/>
      <c r="G500" s="30"/>
      <c r="H500" s="34" t="str">
        <f aca="false">IF(D500="","",IFERROR(INDEX(Categorias!$D$6:$D$45,MATCH(D500,Categorias!$B$6:$B$45,0))&amp;"",""))</f>
        <v/>
      </c>
      <c r="I500" s="35"/>
      <c r="J500" s="35"/>
      <c r="K500" s="35"/>
      <c r="L500" s="36" t="str">
        <f aca="false">IF(OR(H500="",COUNTIF(I500:K500,"S")+COUNTIF(I500:K500,"N")&lt;3),"",COUNTIF(I500:K500,"S")*IF(H500="S",5,IF(H500="M",4,IF(H500="E",3,2))))</f>
        <v/>
      </c>
      <c r="M500" s="37" t="str">
        <f aca="false">IF(L500="","",IF(L500&gt;=12,"Executar",IF(L500&gt;=8,"Executar com controle",IF(L500&gt;=5,"Postergar","Cancelar"))))</f>
        <v/>
      </c>
      <c r="O500" s="28" t="str">
        <f aca="false">IF(D500="","",IFERROR(INDEX(Categorias!$C$6:$C$45,MATCH(D500,Categorias!$B$6:$B$45,0)),"Sem grupo"))</f>
        <v/>
      </c>
      <c r="P500" s="38" t="str">
        <f aca="false">IF(B500="","",DATE(YEAR(B500),MONTH(B500),1))</f>
        <v/>
      </c>
    </row>
    <row r="501" customFormat="false" ht="15" hidden="false" customHeight="false" outlineLevel="0" collapsed="false">
      <c r="B501" s="33"/>
      <c r="C501" s="30"/>
      <c r="D501" s="30"/>
      <c r="E501" s="31"/>
      <c r="F501" s="30"/>
      <c r="G501" s="30"/>
      <c r="H501" s="34" t="str">
        <f aca="false">IF(D501="","",IFERROR(INDEX(Categorias!$D$6:$D$45,MATCH(D501,Categorias!$B$6:$B$45,0))&amp;"",""))</f>
        <v/>
      </c>
      <c r="I501" s="35"/>
      <c r="J501" s="35"/>
      <c r="K501" s="35"/>
      <c r="L501" s="36" t="str">
        <f aca="false">IF(OR(H501="",COUNTIF(I501:K501,"S")+COUNTIF(I501:K501,"N")&lt;3),"",COUNTIF(I501:K501,"S")*IF(H501="S",5,IF(H501="M",4,IF(H501="E",3,2))))</f>
        <v/>
      </c>
      <c r="M501" s="37" t="str">
        <f aca="false">IF(L501="","",IF(L501&gt;=12,"Executar",IF(L501&gt;=8,"Executar com controle",IF(L501&gt;=5,"Postergar","Cancelar"))))</f>
        <v/>
      </c>
      <c r="O501" s="28" t="str">
        <f aca="false">IF(D501="","",IFERROR(INDEX(Categorias!$C$6:$C$45,MATCH(D501,Categorias!$B$6:$B$45,0)),"Sem grupo"))</f>
        <v/>
      </c>
      <c r="P501" s="38" t="str">
        <f aca="false">IF(B501="","",DATE(YEAR(B501),MONTH(B501),1))</f>
        <v/>
      </c>
    </row>
    <row r="502" customFormat="false" ht="15" hidden="false" customHeight="false" outlineLevel="0" collapsed="false">
      <c r="B502" s="33"/>
      <c r="C502" s="30"/>
      <c r="D502" s="30"/>
      <c r="E502" s="31"/>
      <c r="F502" s="30"/>
      <c r="G502" s="30"/>
      <c r="H502" s="34" t="str">
        <f aca="false">IF(D502="","",IFERROR(INDEX(Categorias!$D$6:$D$45,MATCH(D502,Categorias!$B$6:$B$45,0))&amp;"",""))</f>
        <v/>
      </c>
      <c r="I502" s="35"/>
      <c r="J502" s="35"/>
      <c r="K502" s="35"/>
      <c r="L502" s="36" t="str">
        <f aca="false">IF(OR(H502="",COUNTIF(I502:K502,"S")+COUNTIF(I502:K502,"N")&lt;3),"",COUNTIF(I502:K502,"S")*IF(H502="S",5,IF(H502="M",4,IF(H502="E",3,2))))</f>
        <v/>
      </c>
      <c r="M502" s="37" t="str">
        <f aca="false">IF(L502="","",IF(L502&gt;=12,"Executar",IF(L502&gt;=8,"Executar com controle",IF(L502&gt;=5,"Postergar","Cancelar"))))</f>
        <v/>
      </c>
      <c r="O502" s="28" t="str">
        <f aca="false">IF(D502="","",IFERROR(INDEX(Categorias!$C$6:$C$45,MATCH(D502,Categorias!$B$6:$B$45,0)),"Sem grupo"))</f>
        <v/>
      </c>
      <c r="P502" s="38" t="str">
        <f aca="false">IF(B502="","",DATE(YEAR(B502),MONTH(B502),1))</f>
        <v/>
      </c>
    </row>
    <row r="503" customFormat="false" ht="15" hidden="false" customHeight="false" outlineLevel="0" collapsed="false">
      <c r="B503" s="33"/>
      <c r="C503" s="30"/>
      <c r="D503" s="30"/>
      <c r="E503" s="31"/>
      <c r="F503" s="30"/>
      <c r="G503" s="30"/>
      <c r="H503" s="34" t="str">
        <f aca="false">IF(D503="","",IFERROR(INDEX(Categorias!$D$6:$D$45,MATCH(D503,Categorias!$B$6:$B$45,0))&amp;"",""))</f>
        <v/>
      </c>
      <c r="I503" s="35"/>
      <c r="J503" s="35"/>
      <c r="K503" s="35"/>
      <c r="L503" s="36" t="str">
        <f aca="false">IF(OR(H503="",COUNTIF(I503:K503,"S")+COUNTIF(I503:K503,"N")&lt;3),"",COUNTIF(I503:K503,"S")*IF(H503="S",5,IF(H503="M",4,IF(H503="E",3,2))))</f>
        <v/>
      </c>
      <c r="M503" s="37" t="str">
        <f aca="false">IF(L503="","",IF(L503&gt;=12,"Executar",IF(L503&gt;=8,"Executar com controle",IF(L503&gt;=5,"Postergar","Cancelar"))))</f>
        <v/>
      </c>
      <c r="O503" s="28" t="str">
        <f aca="false">IF(D503="","",IFERROR(INDEX(Categorias!$C$6:$C$45,MATCH(D503,Categorias!$B$6:$B$45,0)),"Sem grupo"))</f>
        <v/>
      </c>
      <c r="P503" s="38" t="str">
        <f aca="false">IF(B503="","",DATE(YEAR(B503),MONTH(B503),1))</f>
        <v/>
      </c>
    </row>
    <row r="504" customFormat="false" ht="15" hidden="false" customHeight="false" outlineLevel="0" collapsed="false">
      <c r="B504" s="33"/>
      <c r="C504" s="30"/>
      <c r="D504" s="30"/>
      <c r="E504" s="31"/>
      <c r="F504" s="30"/>
      <c r="G504" s="30"/>
      <c r="H504" s="34" t="str">
        <f aca="false">IF(D504="","",IFERROR(INDEX(Categorias!$D$6:$D$45,MATCH(D504,Categorias!$B$6:$B$45,0))&amp;"",""))</f>
        <v/>
      </c>
      <c r="I504" s="35"/>
      <c r="J504" s="35"/>
      <c r="K504" s="35"/>
      <c r="L504" s="36" t="str">
        <f aca="false">IF(OR(H504="",COUNTIF(I504:K504,"S")+COUNTIF(I504:K504,"N")&lt;3),"",COUNTIF(I504:K504,"S")*IF(H504="S",5,IF(H504="M",4,IF(H504="E",3,2))))</f>
        <v/>
      </c>
      <c r="M504" s="37" t="str">
        <f aca="false">IF(L504="","",IF(L504&gt;=12,"Executar",IF(L504&gt;=8,"Executar com controle",IF(L504&gt;=5,"Postergar","Cancelar"))))</f>
        <v/>
      </c>
      <c r="O504" s="28" t="str">
        <f aca="false">IF(D504="","",IFERROR(INDEX(Categorias!$C$6:$C$45,MATCH(D504,Categorias!$B$6:$B$45,0)),"Sem grupo"))</f>
        <v/>
      </c>
      <c r="P504" s="38" t="str">
        <f aca="false">IF(B504="","",DATE(YEAR(B504),MONTH(B504),1))</f>
        <v/>
      </c>
    </row>
    <row r="505" customFormat="false" ht="15" hidden="false" customHeight="false" outlineLevel="0" collapsed="false">
      <c r="B505" s="33"/>
      <c r="C505" s="30"/>
      <c r="D505" s="30"/>
      <c r="E505" s="31"/>
      <c r="F505" s="30"/>
      <c r="G505" s="30"/>
      <c r="H505" s="34" t="str">
        <f aca="false">IF(D505="","",IFERROR(INDEX(Categorias!$D$6:$D$45,MATCH(D505,Categorias!$B$6:$B$45,0))&amp;"",""))</f>
        <v/>
      </c>
      <c r="I505" s="35"/>
      <c r="J505" s="35"/>
      <c r="K505" s="35"/>
      <c r="L505" s="36" t="str">
        <f aca="false">IF(OR(H505="",COUNTIF(I505:K505,"S")+COUNTIF(I505:K505,"N")&lt;3),"",COUNTIF(I505:K505,"S")*IF(H505="S",5,IF(H505="M",4,IF(H505="E",3,2))))</f>
        <v/>
      </c>
      <c r="M505" s="37" t="str">
        <f aca="false">IF(L505="","",IF(L505&gt;=12,"Executar",IF(L505&gt;=8,"Executar com controle",IF(L505&gt;=5,"Postergar","Cancelar"))))</f>
        <v/>
      </c>
      <c r="O505" s="28" t="str">
        <f aca="false">IF(D505="","",IFERROR(INDEX(Categorias!$C$6:$C$45,MATCH(D505,Categorias!$B$6:$B$45,0)),"Sem grupo"))</f>
        <v/>
      </c>
      <c r="P505" s="38" t="str">
        <f aca="false">IF(B505="","",DATE(YEAR(B505),MONTH(B505),1))</f>
        <v/>
      </c>
    </row>
    <row r="506" customFormat="false" ht="15" hidden="false" customHeight="false" outlineLevel="0" collapsed="false">
      <c r="B506" s="33"/>
      <c r="C506" s="30"/>
      <c r="D506" s="30"/>
      <c r="E506" s="31"/>
      <c r="F506" s="30"/>
      <c r="G506" s="30"/>
      <c r="H506" s="34" t="str">
        <f aca="false">IF(D506="","",IFERROR(INDEX(Categorias!$D$6:$D$45,MATCH(D506,Categorias!$B$6:$B$45,0))&amp;"",""))</f>
        <v/>
      </c>
      <c r="I506" s="35"/>
      <c r="J506" s="35"/>
      <c r="K506" s="35"/>
      <c r="L506" s="36" t="str">
        <f aca="false">IF(OR(H506="",COUNTIF(I506:K506,"S")+COUNTIF(I506:K506,"N")&lt;3),"",COUNTIF(I506:K506,"S")*IF(H506="S",5,IF(H506="M",4,IF(H506="E",3,2))))</f>
        <v/>
      </c>
      <c r="M506" s="37" t="str">
        <f aca="false">IF(L506="","",IF(L506&gt;=12,"Executar",IF(L506&gt;=8,"Executar com controle",IF(L506&gt;=5,"Postergar","Cancelar"))))</f>
        <v/>
      </c>
      <c r="O506" s="28" t="str">
        <f aca="false">IF(D506="","",IFERROR(INDEX(Categorias!$C$6:$C$45,MATCH(D506,Categorias!$B$6:$B$45,0)),"Sem grupo"))</f>
        <v/>
      </c>
      <c r="P506" s="38" t="str">
        <f aca="false">IF(B506="","",DATE(YEAR(B506),MONTH(B506),1))</f>
        <v/>
      </c>
    </row>
    <row r="507" customFormat="false" ht="15" hidden="false" customHeight="false" outlineLevel="0" collapsed="false">
      <c r="B507" s="33"/>
      <c r="C507" s="30"/>
      <c r="D507" s="30"/>
      <c r="E507" s="31"/>
      <c r="F507" s="30"/>
      <c r="G507" s="30"/>
      <c r="H507" s="34" t="str">
        <f aca="false">IF(D507="","",IFERROR(INDEX(Categorias!$D$6:$D$45,MATCH(D507,Categorias!$B$6:$B$45,0))&amp;"",""))</f>
        <v/>
      </c>
      <c r="I507" s="35"/>
      <c r="J507" s="35"/>
      <c r="K507" s="35"/>
      <c r="L507" s="36" t="str">
        <f aca="false">IF(OR(H507="",COUNTIF(I507:K507,"S")+COUNTIF(I507:K507,"N")&lt;3),"",COUNTIF(I507:K507,"S")*IF(H507="S",5,IF(H507="M",4,IF(H507="E",3,2))))</f>
        <v/>
      </c>
      <c r="M507" s="37" t="str">
        <f aca="false">IF(L507="","",IF(L507&gt;=12,"Executar",IF(L507&gt;=8,"Executar com controle",IF(L507&gt;=5,"Postergar","Cancelar"))))</f>
        <v/>
      </c>
      <c r="O507" s="28" t="str">
        <f aca="false">IF(D507="","",IFERROR(INDEX(Categorias!$C$6:$C$45,MATCH(D507,Categorias!$B$6:$B$45,0)),"Sem grupo"))</f>
        <v/>
      </c>
      <c r="P507" s="38" t="str">
        <f aca="false">IF(B507="","",DATE(YEAR(B507),MONTH(B507),1))</f>
        <v/>
      </c>
    </row>
    <row r="508" customFormat="false" ht="15" hidden="false" customHeight="false" outlineLevel="0" collapsed="false">
      <c r="B508" s="33"/>
      <c r="C508" s="30"/>
      <c r="D508" s="30"/>
      <c r="E508" s="31"/>
      <c r="F508" s="30"/>
      <c r="G508" s="30"/>
      <c r="H508" s="34" t="str">
        <f aca="false">IF(D508="","",IFERROR(INDEX(Categorias!$D$6:$D$45,MATCH(D508,Categorias!$B$6:$B$45,0))&amp;"",""))</f>
        <v/>
      </c>
      <c r="I508" s="35"/>
      <c r="J508" s="35"/>
      <c r="K508" s="35"/>
      <c r="L508" s="36" t="str">
        <f aca="false">IF(OR(H508="",COUNTIF(I508:K508,"S")+COUNTIF(I508:K508,"N")&lt;3),"",COUNTIF(I508:K508,"S")*IF(H508="S",5,IF(H508="M",4,IF(H508="E",3,2))))</f>
        <v/>
      </c>
      <c r="M508" s="37" t="str">
        <f aca="false">IF(L508="","",IF(L508&gt;=12,"Executar",IF(L508&gt;=8,"Executar com controle",IF(L508&gt;=5,"Postergar","Cancelar"))))</f>
        <v/>
      </c>
      <c r="O508" s="28" t="str">
        <f aca="false">IF(D508="","",IFERROR(INDEX(Categorias!$C$6:$C$45,MATCH(D508,Categorias!$B$6:$B$45,0)),"Sem grupo"))</f>
        <v/>
      </c>
      <c r="P508" s="38" t="str">
        <f aca="false">IF(B508="","",DATE(YEAR(B508),MONTH(B508),1))</f>
        <v/>
      </c>
    </row>
    <row r="509" customFormat="false" ht="15" hidden="false" customHeight="false" outlineLevel="0" collapsed="false">
      <c r="B509" s="33"/>
      <c r="C509" s="30"/>
      <c r="D509" s="30"/>
      <c r="E509" s="31"/>
      <c r="F509" s="30"/>
      <c r="G509" s="30"/>
      <c r="H509" s="34" t="str">
        <f aca="false">IF(D509="","",IFERROR(INDEX(Categorias!$D$6:$D$45,MATCH(D509,Categorias!$B$6:$B$45,0))&amp;"",""))</f>
        <v/>
      </c>
      <c r="I509" s="35"/>
      <c r="J509" s="35"/>
      <c r="K509" s="35"/>
      <c r="L509" s="36" t="str">
        <f aca="false">IF(OR(H509="",COUNTIF(I509:K509,"S")+COUNTIF(I509:K509,"N")&lt;3),"",COUNTIF(I509:K509,"S")*IF(H509="S",5,IF(H509="M",4,IF(H509="E",3,2))))</f>
        <v/>
      </c>
      <c r="M509" s="37" t="str">
        <f aca="false">IF(L509="","",IF(L509&gt;=12,"Executar",IF(L509&gt;=8,"Executar com controle",IF(L509&gt;=5,"Postergar","Cancelar"))))</f>
        <v/>
      </c>
      <c r="O509" s="28" t="str">
        <f aca="false">IF(D509="","",IFERROR(INDEX(Categorias!$C$6:$C$45,MATCH(D509,Categorias!$B$6:$B$45,0)),"Sem grupo"))</f>
        <v/>
      </c>
      <c r="P509" s="38" t="str">
        <f aca="false">IF(B509="","",DATE(YEAR(B509),MONTH(B509),1))</f>
        <v/>
      </c>
    </row>
    <row r="510" customFormat="false" ht="15" hidden="false" customHeight="false" outlineLevel="0" collapsed="false">
      <c r="B510" s="33"/>
      <c r="C510" s="30"/>
      <c r="D510" s="30"/>
      <c r="E510" s="31"/>
      <c r="F510" s="30"/>
      <c r="G510" s="30"/>
      <c r="H510" s="34" t="str">
        <f aca="false">IF(D510="","",IFERROR(INDEX(Categorias!$D$6:$D$45,MATCH(D510,Categorias!$B$6:$B$45,0))&amp;"",""))</f>
        <v/>
      </c>
      <c r="I510" s="35"/>
      <c r="J510" s="35"/>
      <c r="K510" s="35"/>
      <c r="L510" s="36" t="str">
        <f aca="false">IF(OR(H510="",COUNTIF(I510:K510,"S")+COUNTIF(I510:K510,"N")&lt;3),"",COUNTIF(I510:K510,"S")*IF(H510="S",5,IF(H510="M",4,IF(H510="E",3,2))))</f>
        <v/>
      </c>
      <c r="M510" s="37" t="str">
        <f aca="false">IF(L510="","",IF(L510&gt;=12,"Executar",IF(L510&gt;=8,"Executar com controle",IF(L510&gt;=5,"Postergar","Cancelar"))))</f>
        <v/>
      </c>
      <c r="O510" s="28" t="str">
        <f aca="false">IF(D510="","",IFERROR(INDEX(Categorias!$C$6:$C$45,MATCH(D510,Categorias!$B$6:$B$45,0)),"Sem grupo"))</f>
        <v/>
      </c>
      <c r="P510" s="38" t="str">
        <f aca="false">IF(B510="","",DATE(YEAR(B510),MONTH(B510),1))</f>
        <v/>
      </c>
    </row>
    <row r="511" customFormat="false" ht="15" hidden="false" customHeight="false" outlineLevel="0" collapsed="false">
      <c r="B511" s="33"/>
      <c r="C511" s="30"/>
      <c r="D511" s="30"/>
      <c r="E511" s="31"/>
      <c r="F511" s="30"/>
      <c r="G511" s="30"/>
      <c r="H511" s="34" t="str">
        <f aca="false">IF(D511="","",IFERROR(INDEX(Categorias!$D$6:$D$45,MATCH(D511,Categorias!$B$6:$B$45,0))&amp;"",""))</f>
        <v/>
      </c>
      <c r="I511" s="35"/>
      <c r="J511" s="35"/>
      <c r="K511" s="35"/>
      <c r="L511" s="36" t="str">
        <f aca="false">IF(OR(H511="",COUNTIF(I511:K511,"S")+COUNTIF(I511:K511,"N")&lt;3),"",COUNTIF(I511:K511,"S")*IF(H511="S",5,IF(H511="M",4,IF(H511="E",3,2))))</f>
        <v/>
      </c>
      <c r="M511" s="37" t="str">
        <f aca="false">IF(L511="","",IF(L511&gt;=12,"Executar",IF(L511&gt;=8,"Executar com controle",IF(L511&gt;=5,"Postergar","Cancelar"))))</f>
        <v/>
      </c>
      <c r="O511" s="28" t="str">
        <f aca="false">IF(D511="","",IFERROR(INDEX(Categorias!$C$6:$C$45,MATCH(D511,Categorias!$B$6:$B$45,0)),"Sem grupo"))</f>
        <v/>
      </c>
      <c r="P511" s="38" t="str">
        <f aca="false">IF(B511="","",DATE(YEAR(B511),MONTH(B511),1))</f>
        <v/>
      </c>
    </row>
    <row r="512" customFormat="false" ht="15" hidden="false" customHeight="false" outlineLevel="0" collapsed="false">
      <c r="B512" s="33"/>
      <c r="C512" s="30"/>
      <c r="D512" s="30"/>
      <c r="E512" s="31"/>
      <c r="F512" s="30"/>
      <c r="G512" s="30"/>
      <c r="H512" s="34" t="str">
        <f aca="false">IF(D512="","",IFERROR(INDEX(Categorias!$D$6:$D$45,MATCH(D512,Categorias!$B$6:$B$45,0))&amp;"",""))</f>
        <v/>
      </c>
      <c r="I512" s="35"/>
      <c r="J512" s="35"/>
      <c r="K512" s="35"/>
      <c r="L512" s="36" t="str">
        <f aca="false">IF(OR(H512="",COUNTIF(I512:K512,"S")+COUNTIF(I512:K512,"N")&lt;3),"",COUNTIF(I512:K512,"S")*IF(H512="S",5,IF(H512="M",4,IF(H512="E",3,2))))</f>
        <v/>
      </c>
      <c r="M512" s="37" t="str">
        <f aca="false">IF(L512="","",IF(L512&gt;=12,"Executar",IF(L512&gt;=8,"Executar com controle",IF(L512&gt;=5,"Postergar","Cancelar"))))</f>
        <v/>
      </c>
      <c r="O512" s="28" t="str">
        <f aca="false">IF(D512="","",IFERROR(INDEX(Categorias!$C$6:$C$45,MATCH(D512,Categorias!$B$6:$B$45,0)),"Sem grupo"))</f>
        <v/>
      </c>
      <c r="P512" s="38" t="str">
        <f aca="false">IF(B512="","",DATE(YEAR(B512),MONTH(B512),1))</f>
        <v/>
      </c>
    </row>
    <row r="513" customFormat="false" ht="15" hidden="false" customHeight="false" outlineLevel="0" collapsed="false">
      <c r="B513" s="33"/>
      <c r="C513" s="30"/>
      <c r="D513" s="30"/>
      <c r="E513" s="31"/>
      <c r="F513" s="30"/>
      <c r="G513" s="30"/>
      <c r="H513" s="34" t="str">
        <f aca="false">IF(D513="","",IFERROR(INDEX(Categorias!$D$6:$D$45,MATCH(D513,Categorias!$B$6:$B$45,0))&amp;"",""))</f>
        <v/>
      </c>
      <c r="I513" s="35"/>
      <c r="J513" s="35"/>
      <c r="K513" s="35"/>
      <c r="L513" s="36" t="str">
        <f aca="false">IF(OR(H513="",COUNTIF(I513:K513,"S")+COUNTIF(I513:K513,"N")&lt;3),"",COUNTIF(I513:K513,"S")*IF(H513="S",5,IF(H513="M",4,IF(H513="E",3,2))))</f>
        <v/>
      </c>
      <c r="M513" s="37" t="str">
        <f aca="false">IF(L513="","",IF(L513&gt;=12,"Executar",IF(L513&gt;=8,"Executar com controle",IF(L513&gt;=5,"Postergar","Cancelar"))))</f>
        <v/>
      </c>
      <c r="O513" s="28" t="str">
        <f aca="false">IF(D513="","",IFERROR(INDEX(Categorias!$C$6:$C$45,MATCH(D513,Categorias!$B$6:$B$45,0)),"Sem grupo"))</f>
        <v/>
      </c>
      <c r="P513" s="38" t="str">
        <f aca="false">IF(B513="","",DATE(YEAR(B513),MONTH(B513),1))</f>
        <v/>
      </c>
    </row>
    <row r="514" customFormat="false" ht="15" hidden="false" customHeight="false" outlineLevel="0" collapsed="false">
      <c r="B514" s="33"/>
      <c r="C514" s="30"/>
      <c r="D514" s="30"/>
      <c r="E514" s="31"/>
      <c r="F514" s="30"/>
      <c r="G514" s="30"/>
      <c r="H514" s="34" t="str">
        <f aca="false">IF(D514="","",IFERROR(INDEX(Categorias!$D$6:$D$45,MATCH(D514,Categorias!$B$6:$B$45,0))&amp;"",""))</f>
        <v/>
      </c>
      <c r="I514" s="35"/>
      <c r="J514" s="35"/>
      <c r="K514" s="35"/>
      <c r="L514" s="36" t="str">
        <f aca="false">IF(OR(H514="",COUNTIF(I514:K514,"S")+COUNTIF(I514:K514,"N")&lt;3),"",COUNTIF(I514:K514,"S")*IF(H514="S",5,IF(H514="M",4,IF(H514="E",3,2))))</f>
        <v/>
      </c>
      <c r="M514" s="37" t="str">
        <f aca="false">IF(L514="","",IF(L514&gt;=12,"Executar",IF(L514&gt;=8,"Executar com controle",IF(L514&gt;=5,"Postergar","Cancelar"))))</f>
        <v/>
      </c>
      <c r="O514" s="28" t="str">
        <f aca="false">IF(D514="","",IFERROR(INDEX(Categorias!$C$6:$C$45,MATCH(D514,Categorias!$B$6:$B$45,0)),"Sem grupo"))</f>
        <v/>
      </c>
      <c r="P514" s="38" t="str">
        <f aca="false">IF(B514="","",DATE(YEAR(B514),MONTH(B514),1))</f>
        <v/>
      </c>
    </row>
    <row r="515" customFormat="false" ht="15" hidden="false" customHeight="false" outlineLevel="0" collapsed="false">
      <c r="B515" s="33"/>
      <c r="C515" s="30"/>
      <c r="D515" s="30"/>
      <c r="E515" s="31"/>
      <c r="F515" s="30"/>
      <c r="G515" s="30"/>
      <c r="H515" s="34" t="str">
        <f aca="false">IF(D515="","",IFERROR(INDEX(Categorias!$D$6:$D$45,MATCH(D515,Categorias!$B$6:$B$45,0))&amp;"",""))</f>
        <v/>
      </c>
      <c r="I515" s="35"/>
      <c r="J515" s="35"/>
      <c r="K515" s="35"/>
      <c r="L515" s="36" t="str">
        <f aca="false">IF(OR(H515="",COUNTIF(I515:K515,"S")+COUNTIF(I515:K515,"N")&lt;3),"",COUNTIF(I515:K515,"S")*IF(H515="S",5,IF(H515="M",4,IF(H515="E",3,2))))</f>
        <v/>
      </c>
      <c r="M515" s="37" t="str">
        <f aca="false">IF(L515="","",IF(L515&gt;=12,"Executar",IF(L515&gt;=8,"Executar com controle",IF(L515&gt;=5,"Postergar","Cancelar"))))</f>
        <v/>
      </c>
      <c r="O515" s="28" t="str">
        <f aca="false">IF(D515="","",IFERROR(INDEX(Categorias!$C$6:$C$45,MATCH(D515,Categorias!$B$6:$B$45,0)),"Sem grupo"))</f>
        <v/>
      </c>
      <c r="P515" s="38" t="str">
        <f aca="false">IF(B515="","",DATE(YEAR(B515),MONTH(B515),1))</f>
        <v/>
      </c>
    </row>
    <row r="516" customFormat="false" ht="15" hidden="false" customHeight="false" outlineLevel="0" collapsed="false">
      <c r="B516" s="33"/>
      <c r="C516" s="30"/>
      <c r="D516" s="30"/>
      <c r="E516" s="31"/>
      <c r="F516" s="30"/>
      <c r="G516" s="30"/>
      <c r="H516" s="34" t="str">
        <f aca="false">IF(D516="","",IFERROR(INDEX(Categorias!$D$6:$D$45,MATCH(D516,Categorias!$B$6:$B$45,0))&amp;"",""))</f>
        <v/>
      </c>
      <c r="I516" s="35"/>
      <c r="J516" s="35"/>
      <c r="K516" s="35"/>
      <c r="L516" s="36" t="str">
        <f aca="false">IF(OR(H516="",COUNTIF(I516:K516,"S")+COUNTIF(I516:K516,"N")&lt;3),"",COUNTIF(I516:K516,"S")*IF(H516="S",5,IF(H516="M",4,IF(H516="E",3,2))))</f>
        <v/>
      </c>
      <c r="M516" s="37" t="str">
        <f aca="false">IF(L516="","",IF(L516&gt;=12,"Executar",IF(L516&gt;=8,"Executar com controle",IF(L516&gt;=5,"Postergar","Cancelar"))))</f>
        <v/>
      </c>
      <c r="O516" s="28" t="str">
        <f aca="false">IF(D516="","",IFERROR(INDEX(Categorias!$C$6:$C$45,MATCH(D516,Categorias!$B$6:$B$45,0)),"Sem grupo"))</f>
        <v/>
      </c>
      <c r="P516" s="38" t="str">
        <f aca="false">IF(B516="","",DATE(YEAR(B516),MONTH(B516),1))</f>
        <v/>
      </c>
    </row>
    <row r="517" customFormat="false" ht="15" hidden="false" customHeight="false" outlineLevel="0" collapsed="false">
      <c r="B517" s="33"/>
      <c r="C517" s="30"/>
      <c r="D517" s="30"/>
      <c r="E517" s="31"/>
      <c r="F517" s="30"/>
      <c r="G517" s="30"/>
      <c r="H517" s="34" t="str">
        <f aca="false">IF(D517="","",IFERROR(INDEX(Categorias!$D$6:$D$45,MATCH(D517,Categorias!$B$6:$B$45,0))&amp;"",""))</f>
        <v/>
      </c>
      <c r="I517" s="35"/>
      <c r="J517" s="35"/>
      <c r="K517" s="35"/>
      <c r="L517" s="36" t="str">
        <f aca="false">IF(OR(H517="",COUNTIF(I517:K517,"S")+COUNTIF(I517:K517,"N")&lt;3),"",COUNTIF(I517:K517,"S")*IF(H517="S",5,IF(H517="M",4,IF(H517="E",3,2))))</f>
        <v/>
      </c>
      <c r="M517" s="37" t="str">
        <f aca="false">IF(L517="","",IF(L517&gt;=12,"Executar",IF(L517&gt;=8,"Executar com controle",IF(L517&gt;=5,"Postergar","Cancelar"))))</f>
        <v/>
      </c>
      <c r="O517" s="28" t="str">
        <f aca="false">IF(D517="","",IFERROR(INDEX(Categorias!$C$6:$C$45,MATCH(D517,Categorias!$B$6:$B$45,0)),"Sem grupo"))</f>
        <v/>
      </c>
      <c r="P517" s="38" t="str">
        <f aca="false">IF(B517="","",DATE(YEAR(B517),MONTH(B517),1))</f>
        <v/>
      </c>
    </row>
    <row r="518" customFormat="false" ht="15" hidden="false" customHeight="false" outlineLevel="0" collapsed="false">
      <c r="B518" s="33"/>
      <c r="C518" s="30"/>
      <c r="D518" s="30"/>
      <c r="E518" s="31"/>
      <c r="F518" s="30"/>
      <c r="G518" s="30"/>
      <c r="H518" s="34" t="str">
        <f aca="false">IF(D518="","",IFERROR(INDEX(Categorias!$D$6:$D$45,MATCH(D518,Categorias!$B$6:$B$45,0))&amp;"",""))</f>
        <v/>
      </c>
      <c r="I518" s="35"/>
      <c r="J518" s="35"/>
      <c r="K518" s="35"/>
      <c r="L518" s="36" t="str">
        <f aca="false">IF(OR(H518="",COUNTIF(I518:K518,"S")+COUNTIF(I518:K518,"N")&lt;3),"",COUNTIF(I518:K518,"S")*IF(H518="S",5,IF(H518="M",4,IF(H518="E",3,2))))</f>
        <v/>
      </c>
      <c r="M518" s="37" t="str">
        <f aca="false">IF(L518="","",IF(L518&gt;=12,"Executar",IF(L518&gt;=8,"Executar com controle",IF(L518&gt;=5,"Postergar","Cancelar"))))</f>
        <v/>
      </c>
      <c r="O518" s="28" t="str">
        <f aca="false">IF(D518="","",IFERROR(INDEX(Categorias!$C$6:$C$45,MATCH(D518,Categorias!$B$6:$B$45,0)),"Sem grupo"))</f>
        <v/>
      </c>
      <c r="P518" s="38" t="str">
        <f aca="false">IF(B518="","",DATE(YEAR(B518),MONTH(B518),1))</f>
        <v/>
      </c>
    </row>
    <row r="519" customFormat="false" ht="15" hidden="false" customHeight="false" outlineLevel="0" collapsed="false">
      <c r="B519" s="33"/>
      <c r="C519" s="30"/>
      <c r="D519" s="30"/>
      <c r="E519" s="31"/>
      <c r="F519" s="30"/>
      <c r="G519" s="30"/>
      <c r="H519" s="34" t="str">
        <f aca="false">IF(D519="","",IFERROR(INDEX(Categorias!$D$6:$D$45,MATCH(D519,Categorias!$B$6:$B$45,0))&amp;"",""))</f>
        <v/>
      </c>
      <c r="I519" s="35"/>
      <c r="J519" s="35"/>
      <c r="K519" s="35"/>
      <c r="L519" s="36" t="str">
        <f aca="false">IF(OR(H519="",COUNTIF(I519:K519,"S")+COUNTIF(I519:K519,"N")&lt;3),"",COUNTIF(I519:K519,"S")*IF(H519="S",5,IF(H519="M",4,IF(H519="E",3,2))))</f>
        <v/>
      </c>
      <c r="M519" s="37" t="str">
        <f aca="false">IF(L519="","",IF(L519&gt;=12,"Executar",IF(L519&gt;=8,"Executar com controle",IF(L519&gt;=5,"Postergar","Cancelar"))))</f>
        <v/>
      </c>
      <c r="O519" s="28" t="str">
        <f aca="false">IF(D519="","",IFERROR(INDEX(Categorias!$C$6:$C$45,MATCH(D519,Categorias!$B$6:$B$45,0)),"Sem grupo"))</f>
        <v/>
      </c>
      <c r="P519" s="38" t="str">
        <f aca="false">IF(B519="","",DATE(YEAR(B519),MONTH(B519),1))</f>
        <v/>
      </c>
    </row>
    <row r="520" customFormat="false" ht="15" hidden="false" customHeight="false" outlineLevel="0" collapsed="false">
      <c r="B520" s="33"/>
      <c r="C520" s="30"/>
      <c r="D520" s="30"/>
      <c r="E520" s="31"/>
      <c r="F520" s="30"/>
      <c r="G520" s="30"/>
      <c r="H520" s="34" t="str">
        <f aca="false">IF(D520="","",IFERROR(INDEX(Categorias!$D$6:$D$45,MATCH(D520,Categorias!$B$6:$B$45,0))&amp;"",""))</f>
        <v/>
      </c>
      <c r="I520" s="35"/>
      <c r="J520" s="35"/>
      <c r="K520" s="35"/>
      <c r="L520" s="36" t="str">
        <f aca="false">IF(OR(H520="",COUNTIF(I520:K520,"S")+COUNTIF(I520:K520,"N")&lt;3),"",COUNTIF(I520:K520,"S")*IF(H520="S",5,IF(H520="M",4,IF(H520="E",3,2))))</f>
        <v/>
      </c>
      <c r="M520" s="37" t="str">
        <f aca="false">IF(L520="","",IF(L520&gt;=12,"Executar",IF(L520&gt;=8,"Executar com controle",IF(L520&gt;=5,"Postergar","Cancelar"))))</f>
        <v/>
      </c>
      <c r="O520" s="28" t="str">
        <f aca="false">IF(D520="","",IFERROR(INDEX(Categorias!$C$6:$C$45,MATCH(D520,Categorias!$B$6:$B$45,0)),"Sem grupo"))</f>
        <v/>
      </c>
      <c r="P520" s="38" t="str">
        <f aca="false">IF(B520="","",DATE(YEAR(B520),MONTH(B520),1))</f>
        <v/>
      </c>
    </row>
    <row r="521" customFormat="false" ht="15" hidden="false" customHeight="false" outlineLevel="0" collapsed="false">
      <c r="B521" s="33"/>
      <c r="C521" s="30"/>
      <c r="D521" s="30"/>
      <c r="E521" s="31"/>
      <c r="F521" s="30"/>
      <c r="G521" s="30"/>
      <c r="H521" s="34" t="str">
        <f aca="false">IF(D521="","",IFERROR(INDEX(Categorias!$D$6:$D$45,MATCH(D521,Categorias!$B$6:$B$45,0))&amp;"",""))</f>
        <v/>
      </c>
      <c r="I521" s="35"/>
      <c r="J521" s="35"/>
      <c r="K521" s="35"/>
      <c r="L521" s="36" t="str">
        <f aca="false">IF(OR(H521="",COUNTIF(I521:K521,"S")+COUNTIF(I521:K521,"N")&lt;3),"",COUNTIF(I521:K521,"S")*IF(H521="S",5,IF(H521="M",4,IF(H521="E",3,2))))</f>
        <v/>
      </c>
      <c r="M521" s="37" t="str">
        <f aca="false">IF(L521="","",IF(L521&gt;=12,"Executar",IF(L521&gt;=8,"Executar com controle",IF(L521&gt;=5,"Postergar","Cancelar"))))</f>
        <v/>
      </c>
      <c r="O521" s="28" t="str">
        <f aca="false">IF(D521="","",IFERROR(INDEX(Categorias!$C$6:$C$45,MATCH(D521,Categorias!$B$6:$B$45,0)),"Sem grupo"))</f>
        <v/>
      </c>
      <c r="P521" s="38" t="str">
        <f aca="false">IF(B521="","",DATE(YEAR(B521),MONTH(B521),1))</f>
        <v/>
      </c>
    </row>
    <row r="522" customFormat="false" ht="15" hidden="false" customHeight="false" outlineLevel="0" collapsed="false">
      <c r="B522" s="33"/>
      <c r="C522" s="30"/>
      <c r="D522" s="30"/>
      <c r="E522" s="31"/>
      <c r="F522" s="30"/>
      <c r="G522" s="30"/>
      <c r="H522" s="34" t="str">
        <f aca="false">IF(D522="","",IFERROR(INDEX(Categorias!$D$6:$D$45,MATCH(D522,Categorias!$B$6:$B$45,0))&amp;"",""))</f>
        <v/>
      </c>
      <c r="I522" s="35"/>
      <c r="J522" s="35"/>
      <c r="K522" s="35"/>
      <c r="L522" s="36" t="str">
        <f aca="false">IF(OR(H522="",COUNTIF(I522:K522,"S")+COUNTIF(I522:K522,"N")&lt;3),"",COUNTIF(I522:K522,"S")*IF(H522="S",5,IF(H522="M",4,IF(H522="E",3,2))))</f>
        <v/>
      </c>
      <c r="M522" s="37" t="str">
        <f aca="false">IF(L522="","",IF(L522&gt;=12,"Executar",IF(L522&gt;=8,"Executar com controle",IF(L522&gt;=5,"Postergar","Cancelar"))))</f>
        <v/>
      </c>
      <c r="O522" s="28" t="str">
        <f aca="false">IF(D522="","",IFERROR(INDEX(Categorias!$C$6:$C$45,MATCH(D522,Categorias!$B$6:$B$45,0)),"Sem grupo"))</f>
        <v/>
      </c>
      <c r="P522" s="38" t="str">
        <f aca="false">IF(B522="","",DATE(YEAR(B522),MONTH(B522),1))</f>
        <v/>
      </c>
    </row>
    <row r="523" customFormat="false" ht="15" hidden="false" customHeight="false" outlineLevel="0" collapsed="false">
      <c r="B523" s="33"/>
      <c r="C523" s="30"/>
      <c r="D523" s="30"/>
      <c r="E523" s="31"/>
      <c r="F523" s="30"/>
      <c r="G523" s="30"/>
      <c r="H523" s="34" t="str">
        <f aca="false">IF(D523="","",IFERROR(INDEX(Categorias!$D$6:$D$45,MATCH(D523,Categorias!$B$6:$B$45,0))&amp;"",""))</f>
        <v/>
      </c>
      <c r="I523" s="35"/>
      <c r="J523" s="35"/>
      <c r="K523" s="35"/>
      <c r="L523" s="36" t="str">
        <f aca="false">IF(OR(H523="",COUNTIF(I523:K523,"S")+COUNTIF(I523:K523,"N")&lt;3),"",COUNTIF(I523:K523,"S")*IF(H523="S",5,IF(H523="M",4,IF(H523="E",3,2))))</f>
        <v/>
      </c>
      <c r="M523" s="37" t="str">
        <f aca="false">IF(L523="","",IF(L523&gt;=12,"Executar",IF(L523&gt;=8,"Executar com controle",IF(L523&gt;=5,"Postergar","Cancelar"))))</f>
        <v/>
      </c>
      <c r="O523" s="28" t="str">
        <f aca="false">IF(D523="","",IFERROR(INDEX(Categorias!$C$6:$C$45,MATCH(D523,Categorias!$B$6:$B$45,0)),"Sem grupo"))</f>
        <v/>
      </c>
      <c r="P523" s="38" t="str">
        <f aca="false">IF(B523="","",DATE(YEAR(B523),MONTH(B523),1))</f>
        <v/>
      </c>
    </row>
    <row r="524" customFormat="false" ht="15" hidden="false" customHeight="false" outlineLevel="0" collapsed="false">
      <c r="B524" s="33"/>
      <c r="C524" s="30"/>
      <c r="D524" s="30"/>
      <c r="E524" s="31"/>
      <c r="F524" s="30"/>
      <c r="G524" s="30"/>
      <c r="H524" s="34" t="str">
        <f aca="false">IF(D524="","",IFERROR(INDEX(Categorias!$D$6:$D$45,MATCH(D524,Categorias!$B$6:$B$45,0))&amp;"",""))</f>
        <v/>
      </c>
      <c r="I524" s="35"/>
      <c r="J524" s="35"/>
      <c r="K524" s="35"/>
      <c r="L524" s="36" t="str">
        <f aca="false">IF(OR(H524="",COUNTIF(I524:K524,"S")+COUNTIF(I524:K524,"N")&lt;3),"",COUNTIF(I524:K524,"S")*IF(H524="S",5,IF(H524="M",4,IF(H524="E",3,2))))</f>
        <v/>
      </c>
      <c r="M524" s="37" t="str">
        <f aca="false">IF(L524="","",IF(L524&gt;=12,"Executar",IF(L524&gt;=8,"Executar com controle",IF(L524&gt;=5,"Postergar","Cancelar"))))</f>
        <v/>
      </c>
      <c r="O524" s="28" t="str">
        <f aca="false">IF(D524="","",IFERROR(INDEX(Categorias!$C$6:$C$45,MATCH(D524,Categorias!$B$6:$B$45,0)),"Sem grupo"))</f>
        <v/>
      </c>
      <c r="P524" s="38" t="str">
        <f aca="false">IF(B524="","",DATE(YEAR(B524),MONTH(B524),1))</f>
        <v/>
      </c>
    </row>
    <row r="525" customFormat="false" ht="15" hidden="false" customHeight="false" outlineLevel="0" collapsed="false">
      <c r="B525" s="33"/>
      <c r="C525" s="30"/>
      <c r="D525" s="30"/>
      <c r="E525" s="31"/>
      <c r="F525" s="30"/>
      <c r="G525" s="30"/>
      <c r="H525" s="34" t="str">
        <f aca="false">IF(D525="","",IFERROR(INDEX(Categorias!$D$6:$D$45,MATCH(D525,Categorias!$B$6:$B$45,0))&amp;"",""))</f>
        <v/>
      </c>
      <c r="I525" s="35"/>
      <c r="J525" s="35"/>
      <c r="K525" s="35"/>
      <c r="L525" s="36" t="str">
        <f aca="false">IF(OR(H525="",COUNTIF(I525:K525,"S")+COUNTIF(I525:K525,"N")&lt;3),"",COUNTIF(I525:K525,"S")*IF(H525="S",5,IF(H525="M",4,IF(H525="E",3,2))))</f>
        <v/>
      </c>
      <c r="M525" s="37" t="str">
        <f aca="false">IF(L525="","",IF(L525&gt;=12,"Executar",IF(L525&gt;=8,"Executar com controle",IF(L525&gt;=5,"Postergar","Cancelar"))))</f>
        <v/>
      </c>
      <c r="O525" s="28" t="str">
        <f aca="false">IF(D525="","",IFERROR(INDEX(Categorias!$C$6:$C$45,MATCH(D525,Categorias!$B$6:$B$45,0)),"Sem grupo"))</f>
        <v/>
      </c>
      <c r="P525" s="38" t="str">
        <f aca="false">IF(B525="","",DATE(YEAR(B525),MONTH(B525),1))</f>
        <v/>
      </c>
    </row>
    <row r="526" customFormat="false" ht="15" hidden="false" customHeight="false" outlineLevel="0" collapsed="false">
      <c r="B526" s="33"/>
      <c r="C526" s="30"/>
      <c r="D526" s="30"/>
      <c r="E526" s="31"/>
      <c r="F526" s="30"/>
      <c r="G526" s="30"/>
      <c r="H526" s="34" t="str">
        <f aca="false">IF(D526="","",IFERROR(INDEX(Categorias!$D$6:$D$45,MATCH(D526,Categorias!$B$6:$B$45,0))&amp;"",""))</f>
        <v/>
      </c>
      <c r="I526" s="35"/>
      <c r="J526" s="35"/>
      <c r="K526" s="35"/>
      <c r="L526" s="36" t="str">
        <f aca="false">IF(OR(H526="",COUNTIF(I526:K526,"S")+COUNTIF(I526:K526,"N")&lt;3),"",COUNTIF(I526:K526,"S")*IF(H526="S",5,IF(H526="M",4,IF(H526="E",3,2))))</f>
        <v/>
      </c>
      <c r="M526" s="37" t="str">
        <f aca="false">IF(L526="","",IF(L526&gt;=12,"Executar",IF(L526&gt;=8,"Executar com controle",IF(L526&gt;=5,"Postergar","Cancelar"))))</f>
        <v/>
      </c>
      <c r="O526" s="28" t="str">
        <f aca="false">IF(D526="","",IFERROR(INDEX(Categorias!$C$6:$C$45,MATCH(D526,Categorias!$B$6:$B$45,0)),"Sem grupo"))</f>
        <v/>
      </c>
      <c r="P526" s="38" t="str">
        <f aca="false">IF(B526="","",DATE(YEAR(B526),MONTH(B526),1))</f>
        <v/>
      </c>
    </row>
    <row r="527" customFormat="false" ht="15" hidden="false" customHeight="false" outlineLevel="0" collapsed="false">
      <c r="B527" s="33"/>
      <c r="C527" s="30"/>
      <c r="D527" s="30"/>
      <c r="E527" s="31"/>
      <c r="F527" s="30"/>
      <c r="G527" s="30"/>
      <c r="H527" s="34" t="str">
        <f aca="false">IF(D527="","",IFERROR(INDEX(Categorias!$D$6:$D$45,MATCH(D527,Categorias!$B$6:$B$45,0))&amp;"",""))</f>
        <v/>
      </c>
      <c r="I527" s="35"/>
      <c r="J527" s="35"/>
      <c r="K527" s="35"/>
      <c r="L527" s="36" t="str">
        <f aca="false">IF(OR(H527="",COUNTIF(I527:K527,"S")+COUNTIF(I527:K527,"N")&lt;3),"",COUNTIF(I527:K527,"S")*IF(H527="S",5,IF(H527="M",4,IF(H527="E",3,2))))</f>
        <v/>
      </c>
      <c r="M527" s="37" t="str">
        <f aca="false">IF(L527="","",IF(L527&gt;=12,"Executar",IF(L527&gt;=8,"Executar com controle",IF(L527&gt;=5,"Postergar","Cancelar"))))</f>
        <v/>
      </c>
      <c r="O527" s="28" t="str">
        <f aca="false">IF(D527="","",IFERROR(INDEX(Categorias!$C$6:$C$45,MATCH(D527,Categorias!$B$6:$B$45,0)),"Sem grupo"))</f>
        <v/>
      </c>
      <c r="P527" s="38" t="str">
        <f aca="false">IF(B527="","",DATE(YEAR(B527),MONTH(B527),1))</f>
        <v/>
      </c>
    </row>
    <row r="528" customFormat="false" ht="15" hidden="false" customHeight="false" outlineLevel="0" collapsed="false">
      <c r="B528" s="33"/>
      <c r="C528" s="30"/>
      <c r="D528" s="30"/>
      <c r="E528" s="31"/>
      <c r="F528" s="30"/>
      <c r="G528" s="30"/>
      <c r="H528" s="34" t="str">
        <f aca="false">IF(D528="","",IFERROR(INDEX(Categorias!$D$6:$D$45,MATCH(D528,Categorias!$B$6:$B$45,0))&amp;"",""))</f>
        <v/>
      </c>
      <c r="I528" s="35"/>
      <c r="J528" s="35"/>
      <c r="K528" s="35"/>
      <c r="L528" s="36" t="str">
        <f aca="false">IF(OR(H528="",COUNTIF(I528:K528,"S")+COUNTIF(I528:K528,"N")&lt;3),"",COUNTIF(I528:K528,"S")*IF(H528="S",5,IF(H528="M",4,IF(H528="E",3,2))))</f>
        <v/>
      </c>
      <c r="M528" s="37" t="str">
        <f aca="false">IF(L528="","",IF(L528&gt;=12,"Executar",IF(L528&gt;=8,"Executar com controle",IF(L528&gt;=5,"Postergar","Cancelar"))))</f>
        <v/>
      </c>
      <c r="O528" s="28" t="str">
        <f aca="false">IF(D528="","",IFERROR(INDEX(Categorias!$C$6:$C$45,MATCH(D528,Categorias!$B$6:$B$45,0)),"Sem grupo"))</f>
        <v/>
      </c>
      <c r="P528" s="38" t="str">
        <f aca="false">IF(B528="","",DATE(YEAR(B528),MONTH(B528),1))</f>
        <v/>
      </c>
    </row>
    <row r="529" customFormat="false" ht="15" hidden="false" customHeight="false" outlineLevel="0" collapsed="false">
      <c r="B529" s="33"/>
      <c r="C529" s="30"/>
      <c r="D529" s="30"/>
      <c r="E529" s="31"/>
      <c r="F529" s="30"/>
      <c r="G529" s="30"/>
      <c r="H529" s="34" t="str">
        <f aca="false">IF(D529="","",IFERROR(INDEX(Categorias!$D$6:$D$45,MATCH(D529,Categorias!$B$6:$B$45,0))&amp;"",""))</f>
        <v/>
      </c>
      <c r="I529" s="35"/>
      <c r="J529" s="35"/>
      <c r="K529" s="35"/>
      <c r="L529" s="36" t="str">
        <f aca="false">IF(OR(H529="",COUNTIF(I529:K529,"S")+COUNTIF(I529:K529,"N")&lt;3),"",COUNTIF(I529:K529,"S")*IF(H529="S",5,IF(H529="M",4,IF(H529="E",3,2))))</f>
        <v/>
      </c>
      <c r="M529" s="37" t="str">
        <f aca="false">IF(L529="","",IF(L529&gt;=12,"Executar",IF(L529&gt;=8,"Executar com controle",IF(L529&gt;=5,"Postergar","Cancelar"))))</f>
        <v/>
      </c>
      <c r="O529" s="28" t="str">
        <f aca="false">IF(D529="","",IFERROR(INDEX(Categorias!$C$6:$C$45,MATCH(D529,Categorias!$B$6:$B$45,0)),"Sem grupo"))</f>
        <v/>
      </c>
      <c r="P529" s="38" t="str">
        <f aca="false">IF(B529="","",DATE(YEAR(B529),MONTH(B529),1))</f>
        <v/>
      </c>
    </row>
    <row r="530" customFormat="false" ht="15" hidden="false" customHeight="false" outlineLevel="0" collapsed="false">
      <c r="B530" s="33"/>
      <c r="C530" s="30"/>
      <c r="D530" s="30"/>
      <c r="E530" s="31"/>
      <c r="F530" s="30"/>
      <c r="G530" s="30"/>
      <c r="H530" s="34" t="str">
        <f aca="false">IF(D530="","",IFERROR(INDEX(Categorias!$D$6:$D$45,MATCH(D530,Categorias!$B$6:$B$45,0))&amp;"",""))</f>
        <v/>
      </c>
      <c r="I530" s="35"/>
      <c r="J530" s="35"/>
      <c r="K530" s="35"/>
      <c r="L530" s="36" t="str">
        <f aca="false">IF(OR(H530="",COUNTIF(I530:K530,"S")+COUNTIF(I530:K530,"N")&lt;3),"",COUNTIF(I530:K530,"S")*IF(H530="S",5,IF(H530="M",4,IF(H530="E",3,2))))</f>
        <v/>
      </c>
      <c r="M530" s="37" t="str">
        <f aca="false">IF(L530="","",IF(L530&gt;=12,"Executar",IF(L530&gt;=8,"Executar com controle",IF(L530&gt;=5,"Postergar","Cancelar"))))</f>
        <v/>
      </c>
      <c r="O530" s="28" t="str">
        <f aca="false">IF(D530="","",IFERROR(INDEX(Categorias!$C$6:$C$45,MATCH(D530,Categorias!$B$6:$B$45,0)),"Sem grupo"))</f>
        <v/>
      </c>
      <c r="P530" s="38" t="str">
        <f aca="false">IF(B530="","",DATE(YEAR(B530),MONTH(B530),1))</f>
        <v/>
      </c>
    </row>
    <row r="531" customFormat="false" ht="15" hidden="false" customHeight="false" outlineLevel="0" collapsed="false">
      <c r="B531" s="33"/>
      <c r="C531" s="30"/>
      <c r="D531" s="30"/>
      <c r="E531" s="31"/>
      <c r="F531" s="30"/>
      <c r="G531" s="30"/>
      <c r="H531" s="34" t="str">
        <f aca="false">IF(D531="","",IFERROR(INDEX(Categorias!$D$6:$D$45,MATCH(D531,Categorias!$B$6:$B$45,0))&amp;"",""))</f>
        <v/>
      </c>
      <c r="I531" s="35"/>
      <c r="J531" s="35"/>
      <c r="K531" s="35"/>
      <c r="L531" s="36" t="str">
        <f aca="false">IF(OR(H531="",COUNTIF(I531:K531,"S")+COUNTIF(I531:K531,"N")&lt;3),"",COUNTIF(I531:K531,"S")*IF(H531="S",5,IF(H531="M",4,IF(H531="E",3,2))))</f>
        <v/>
      </c>
      <c r="M531" s="37" t="str">
        <f aca="false">IF(L531="","",IF(L531&gt;=12,"Executar",IF(L531&gt;=8,"Executar com controle",IF(L531&gt;=5,"Postergar","Cancelar"))))</f>
        <v/>
      </c>
      <c r="O531" s="28" t="str">
        <f aca="false">IF(D531="","",IFERROR(INDEX(Categorias!$C$6:$C$45,MATCH(D531,Categorias!$B$6:$B$45,0)),"Sem grupo"))</f>
        <v/>
      </c>
      <c r="P531" s="38" t="str">
        <f aca="false">IF(B531="","",DATE(YEAR(B531),MONTH(B531),1))</f>
        <v/>
      </c>
    </row>
    <row r="532" customFormat="false" ht="15" hidden="false" customHeight="false" outlineLevel="0" collapsed="false">
      <c r="B532" s="33"/>
      <c r="C532" s="30"/>
      <c r="D532" s="30"/>
      <c r="E532" s="31"/>
      <c r="F532" s="30"/>
      <c r="G532" s="30"/>
      <c r="H532" s="34" t="str">
        <f aca="false">IF(D532="","",IFERROR(INDEX(Categorias!$D$6:$D$45,MATCH(D532,Categorias!$B$6:$B$45,0))&amp;"",""))</f>
        <v/>
      </c>
      <c r="I532" s="35"/>
      <c r="J532" s="35"/>
      <c r="K532" s="35"/>
      <c r="L532" s="36" t="str">
        <f aca="false">IF(OR(H532="",COUNTIF(I532:K532,"S")+COUNTIF(I532:K532,"N")&lt;3),"",COUNTIF(I532:K532,"S")*IF(H532="S",5,IF(H532="M",4,IF(H532="E",3,2))))</f>
        <v/>
      </c>
      <c r="M532" s="37" t="str">
        <f aca="false">IF(L532="","",IF(L532&gt;=12,"Executar",IF(L532&gt;=8,"Executar com controle",IF(L532&gt;=5,"Postergar","Cancelar"))))</f>
        <v/>
      </c>
      <c r="O532" s="28" t="str">
        <f aca="false">IF(D532="","",IFERROR(INDEX(Categorias!$C$6:$C$45,MATCH(D532,Categorias!$B$6:$B$45,0)),"Sem grupo"))</f>
        <v/>
      </c>
      <c r="P532" s="38" t="str">
        <f aca="false">IF(B532="","",DATE(YEAR(B532),MONTH(B532),1))</f>
        <v/>
      </c>
    </row>
    <row r="533" customFormat="false" ht="15" hidden="false" customHeight="false" outlineLevel="0" collapsed="false">
      <c r="B533" s="33"/>
      <c r="C533" s="30"/>
      <c r="D533" s="30"/>
      <c r="E533" s="31"/>
      <c r="F533" s="30"/>
      <c r="G533" s="30"/>
      <c r="H533" s="34" t="str">
        <f aca="false">IF(D533="","",IFERROR(INDEX(Categorias!$D$6:$D$45,MATCH(D533,Categorias!$B$6:$B$45,0))&amp;"",""))</f>
        <v/>
      </c>
      <c r="I533" s="35"/>
      <c r="J533" s="35"/>
      <c r="K533" s="35"/>
      <c r="L533" s="36" t="str">
        <f aca="false">IF(OR(H533="",COUNTIF(I533:K533,"S")+COUNTIF(I533:K533,"N")&lt;3),"",COUNTIF(I533:K533,"S")*IF(H533="S",5,IF(H533="M",4,IF(H533="E",3,2))))</f>
        <v/>
      </c>
      <c r="M533" s="37" t="str">
        <f aca="false">IF(L533="","",IF(L533&gt;=12,"Executar",IF(L533&gt;=8,"Executar com controle",IF(L533&gt;=5,"Postergar","Cancelar"))))</f>
        <v/>
      </c>
      <c r="O533" s="28" t="str">
        <f aca="false">IF(D533="","",IFERROR(INDEX(Categorias!$C$6:$C$45,MATCH(D533,Categorias!$B$6:$B$45,0)),"Sem grupo"))</f>
        <v/>
      </c>
      <c r="P533" s="38" t="str">
        <f aca="false">IF(B533="","",DATE(YEAR(B533),MONTH(B533),1))</f>
        <v/>
      </c>
    </row>
    <row r="534" customFormat="false" ht="15" hidden="false" customHeight="false" outlineLevel="0" collapsed="false">
      <c r="B534" s="33"/>
      <c r="C534" s="30"/>
      <c r="D534" s="30"/>
      <c r="E534" s="31"/>
      <c r="F534" s="30"/>
      <c r="G534" s="30"/>
      <c r="H534" s="34" t="str">
        <f aca="false">IF(D534="","",IFERROR(INDEX(Categorias!$D$6:$D$45,MATCH(D534,Categorias!$B$6:$B$45,0))&amp;"",""))</f>
        <v/>
      </c>
      <c r="I534" s="35"/>
      <c r="J534" s="35"/>
      <c r="K534" s="35"/>
      <c r="L534" s="36" t="str">
        <f aca="false">IF(OR(H534="",COUNTIF(I534:K534,"S")+COUNTIF(I534:K534,"N")&lt;3),"",COUNTIF(I534:K534,"S")*IF(H534="S",5,IF(H534="M",4,IF(H534="E",3,2))))</f>
        <v/>
      </c>
      <c r="M534" s="37" t="str">
        <f aca="false">IF(L534="","",IF(L534&gt;=12,"Executar",IF(L534&gt;=8,"Executar com controle",IF(L534&gt;=5,"Postergar","Cancelar"))))</f>
        <v/>
      </c>
      <c r="O534" s="28" t="str">
        <f aca="false">IF(D534="","",IFERROR(INDEX(Categorias!$C$6:$C$45,MATCH(D534,Categorias!$B$6:$B$45,0)),"Sem grupo"))</f>
        <v/>
      </c>
      <c r="P534" s="38" t="str">
        <f aca="false">IF(B534="","",DATE(YEAR(B534),MONTH(B534),1))</f>
        <v/>
      </c>
    </row>
    <row r="535" customFormat="false" ht="15" hidden="false" customHeight="false" outlineLevel="0" collapsed="false">
      <c r="B535" s="33"/>
      <c r="C535" s="30"/>
      <c r="D535" s="30"/>
      <c r="E535" s="31"/>
      <c r="F535" s="30"/>
      <c r="G535" s="30"/>
      <c r="H535" s="34" t="str">
        <f aca="false">IF(D535="","",IFERROR(INDEX(Categorias!$D$6:$D$45,MATCH(D535,Categorias!$B$6:$B$45,0))&amp;"",""))</f>
        <v/>
      </c>
      <c r="I535" s="35"/>
      <c r="J535" s="35"/>
      <c r="K535" s="35"/>
      <c r="L535" s="36" t="str">
        <f aca="false">IF(OR(H535="",COUNTIF(I535:K535,"S")+COUNTIF(I535:K535,"N")&lt;3),"",COUNTIF(I535:K535,"S")*IF(H535="S",5,IF(H535="M",4,IF(H535="E",3,2))))</f>
        <v/>
      </c>
      <c r="M535" s="37" t="str">
        <f aca="false">IF(L535="","",IF(L535&gt;=12,"Executar",IF(L535&gt;=8,"Executar com controle",IF(L535&gt;=5,"Postergar","Cancelar"))))</f>
        <v/>
      </c>
      <c r="O535" s="28" t="str">
        <f aca="false">IF(D535="","",IFERROR(INDEX(Categorias!$C$6:$C$45,MATCH(D535,Categorias!$B$6:$B$45,0)),"Sem grupo"))</f>
        <v/>
      </c>
      <c r="P535" s="38" t="str">
        <f aca="false">IF(B535="","",DATE(YEAR(B535),MONTH(B535),1))</f>
        <v/>
      </c>
    </row>
    <row r="536" customFormat="false" ht="15" hidden="false" customHeight="false" outlineLevel="0" collapsed="false">
      <c r="B536" s="33"/>
      <c r="C536" s="30"/>
      <c r="D536" s="30"/>
      <c r="E536" s="31"/>
      <c r="F536" s="30"/>
      <c r="G536" s="30"/>
      <c r="H536" s="34" t="str">
        <f aca="false">IF(D536="","",IFERROR(INDEX(Categorias!$D$6:$D$45,MATCH(D536,Categorias!$B$6:$B$45,0))&amp;"",""))</f>
        <v/>
      </c>
      <c r="I536" s="35"/>
      <c r="J536" s="35"/>
      <c r="K536" s="35"/>
      <c r="L536" s="36" t="str">
        <f aca="false">IF(OR(H536="",COUNTIF(I536:K536,"S")+COUNTIF(I536:K536,"N")&lt;3),"",COUNTIF(I536:K536,"S")*IF(H536="S",5,IF(H536="M",4,IF(H536="E",3,2))))</f>
        <v/>
      </c>
      <c r="M536" s="37" t="str">
        <f aca="false">IF(L536="","",IF(L536&gt;=12,"Executar",IF(L536&gt;=8,"Executar com controle",IF(L536&gt;=5,"Postergar","Cancelar"))))</f>
        <v/>
      </c>
      <c r="O536" s="28" t="str">
        <f aca="false">IF(D536="","",IFERROR(INDEX(Categorias!$C$6:$C$45,MATCH(D536,Categorias!$B$6:$B$45,0)),"Sem grupo"))</f>
        <v/>
      </c>
      <c r="P536" s="38" t="str">
        <f aca="false">IF(B536="","",DATE(YEAR(B536),MONTH(B536),1))</f>
        <v/>
      </c>
    </row>
    <row r="537" customFormat="false" ht="15" hidden="false" customHeight="false" outlineLevel="0" collapsed="false">
      <c r="B537" s="33"/>
      <c r="C537" s="30"/>
      <c r="D537" s="30"/>
      <c r="E537" s="31"/>
      <c r="F537" s="30"/>
      <c r="G537" s="30"/>
      <c r="H537" s="34" t="str">
        <f aca="false">IF(D537="","",IFERROR(INDEX(Categorias!$D$6:$D$45,MATCH(D537,Categorias!$B$6:$B$45,0))&amp;"",""))</f>
        <v/>
      </c>
      <c r="I537" s="35"/>
      <c r="J537" s="35"/>
      <c r="K537" s="35"/>
      <c r="L537" s="36" t="str">
        <f aca="false">IF(OR(H537="",COUNTIF(I537:K537,"S")+COUNTIF(I537:K537,"N")&lt;3),"",COUNTIF(I537:K537,"S")*IF(H537="S",5,IF(H537="M",4,IF(H537="E",3,2))))</f>
        <v/>
      </c>
      <c r="M537" s="37" t="str">
        <f aca="false">IF(L537="","",IF(L537&gt;=12,"Executar",IF(L537&gt;=8,"Executar com controle",IF(L537&gt;=5,"Postergar","Cancelar"))))</f>
        <v/>
      </c>
      <c r="O537" s="28" t="str">
        <f aca="false">IF(D537="","",IFERROR(INDEX(Categorias!$C$6:$C$45,MATCH(D537,Categorias!$B$6:$B$45,0)),"Sem grupo"))</f>
        <v/>
      </c>
      <c r="P537" s="38" t="str">
        <f aca="false">IF(B537="","",DATE(YEAR(B537),MONTH(B537),1))</f>
        <v/>
      </c>
    </row>
    <row r="538" customFormat="false" ht="15" hidden="false" customHeight="false" outlineLevel="0" collapsed="false">
      <c r="B538" s="33"/>
      <c r="C538" s="30"/>
      <c r="D538" s="30"/>
      <c r="E538" s="31"/>
      <c r="F538" s="30"/>
      <c r="G538" s="30"/>
      <c r="H538" s="34" t="str">
        <f aca="false">IF(D538="","",IFERROR(INDEX(Categorias!$D$6:$D$45,MATCH(D538,Categorias!$B$6:$B$45,0))&amp;"",""))</f>
        <v/>
      </c>
      <c r="I538" s="35"/>
      <c r="J538" s="35"/>
      <c r="K538" s="35"/>
      <c r="L538" s="36" t="str">
        <f aca="false">IF(OR(H538="",COUNTIF(I538:K538,"S")+COUNTIF(I538:K538,"N")&lt;3),"",COUNTIF(I538:K538,"S")*IF(H538="S",5,IF(H538="M",4,IF(H538="E",3,2))))</f>
        <v/>
      </c>
      <c r="M538" s="37" t="str">
        <f aca="false">IF(L538="","",IF(L538&gt;=12,"Executar",IF(L538&gt;=8,"Executar com controle",IF(L538&gt;=5,"Postergar","Cancelar"))))</f>
        <v/>
      </c>
      <c r="O538" s="28" t="str">
        <f aca="false">IF(D538="","",IFERROR(INDEX(Categorias!$C$6:$C$45,MATCH(D538,Categorias!$B$6:$B$45,0)),"Sem grupo"))</f>
        <v/>
      </c>
      <c r="P538" s="38" t="str">
        <f aca="false">IF(B538="","",DATE(YEAR(B538),MONTH(B538),1))</f>
        <v/>
      </c>
    </row>
    <row r="539" customFormat="false" ht="15" hidden="false" customHeight="false" outlineLevel="0" collapsed="false">
      <c r="B539" s="33"/>
      <c r="C539" s="30"/>
      <c r="D539" s="30"/>
      <c r="E539" s="31"/>
      <c r="F539" s="30"/>
      <c r="G539" s="30"/>
      <c r="H539" s="34" t="str">
        <f aca="false">IF(D539="","",IFERROR(INDEX(Categorias!$D$6:$D$45,MATCH(D539,Categorias!$B$6:$B$45,0))&amp;"",""))</f>
        <v/>
      </c>
      <c r="I539" s="35"/>
      <c r="J539" s="35"/>
      <c r="K539" s="35"/>
      <c r="L539" s="36" t="str">
        <f aca="false">IF(OR(H539="",COUNTIF(I539:K539,"S")+COUNTIF(I539:K539,"N")&lt;3),"",COUNTIF(I539:K539,"S")*IF(H539="S",5,IF(H539="M",4,IF(H539="E",3,2))))</f>
        <v/>
      </c>
      <c r="M539" s="37" t="str">
        <f aca="false">IF(L539="","",IF(L539&gt;=12,"Executar",IF(L539&gt;=8,"Executar com controle",IF(L539&gt;=5,"Postergar","Cancelar"))))</f>
        <v/>
      </c>
      <c r="O539" s="28" t="str">
        <f aca="false">IF(D539="","",IFERROR(INDEX(Categorias!$C$6:$C$45,MATCH(D539,Categorias!$B$6:$B$45,0)),"Sem grupo"))</f>
        <v/>
      </c>
      <c r="P539" s="38" t="str">
        <f aca="false">IF(B539="","",DATE(YEAR(B539),MONTH(B539),1))</f>
        <v/>
      </c>
    </row>
    <row r="540" customFormat="false" ht="15" hidden="false" customHeight="false" outlineLevel="0" collapsed="false">
      <c r="B540" s="33"/>
      <c r="C540" s="30"/>
      <c r="D540" s="30"/>
      <c r="E540" s="31"/>
      <c r="F540" s="30"/>
      <c r="G540" s="30"/>
      <c r="H540" s="34" t="str">
        <f aca="false">IF(D540="","",IFERROR(INDEX(Categorias!$D$6:$D$45,MATCH(D540,Categorias!$B$6:$B$45,0))&amp;"",""))</f>
        <v/>
      </c>
      <c r="I540" s="35"/>
      <c r="J540" s="35"/>
      <c r="K540" s="35"/>
      <c r="L540" s="36" t="str">
        <f aca="false">IF(OR(H540="",COUNTIF(I540:K540,"S")+COUNTIF(I540:K540,"N")&lt;3),"",COUNTIF(I540:K540,"S")*IF(H540="S",5,IF(H540="M",4,IF(H540="E",3,2))))</f>
        <v/>
      </c>
      <c r="M540" s="37" t="str">
        <f aca="false">IF(L540="","",IF(L540&gt;=12,"Executar",IF(L540&gt;=8,"Executar com controle",IF(L540&gt;=5,"Postergar","Cancelar"))))</f>
        <v/>
      </c>
      <c r="O540" s="28" t="str">
        <f aca="false">IF(D540="","",IFERROR(INDEX(Categorias!$C$6:$C$45,MATCH(D540,Categorias!$B$6:$B$45,0)),"Sem grupo"))</f>
        <v/>
      </c>
      <c r="P540" s="38" t="str">
        <f aca="false">IF(B540="","",DATE(YEAR(B540),MONTH(B540),1))</f>
        <v/>
      </c>
    </row>
    <row r="541" customFormat="false" ht="15" hidden="false" customHeight="false" outlineLevel="0" collapsed="false">
      <c r="B541" s="33"/>
      <c r="C541" s="30"/>
      <c r="D541" s="30"/>
      <c r="E541" s="31"/>
      <c r="F541" s="30"/>
      <c r="G541" s="30"/>
      <c r="H541" s="34" t="str">
        <f aca="false">IF(D541="","",IFERROR(INDEX(Categorias!$D$6:$D$45,MATCH(D541,Categorias!$B$6:$B$45,0))&amp;"",""))</f>
        <v/>
      </c>
      <c r="I541" s="35"/>
      <c r="J541" s="35"/>
      <c r="K541" s="35"/>
      <c r="L541" s="36" t="str">
        <f aca="false">IF(OR(H541="",COUNTIF(I541:K541,"S")+COUNTIF(I541:K541,"N")&lt;3),"",COUNTIF(I541:K541,"S")*IF(H541="S",5,IF(H541="M",4,IF(H541="E",3,2))))</f>
        <v/>
      </c>
      <c r="M541" s="37" t="str">
        <f aca="false">IF(L541="","",IF(L541&gt;=12,"Executar",IF(L541&gt;=8,"Executar com controle",IF(L541&gt;=5,"Postergar","Cancelar"))))</f>
        <v/>
      </c>
      <c r="O541" s="28" t="str">
        <f aca="false">IF(D541="","",IFERROR(INDEX(Categorias!$C$6:$C$45,MATCH(D541,Categorias!$B$6:$B$45,0)),"Sem grupo"))</f>
        <v/>
      </c>
      <c r="P541" s="38" t="str">
        <f aca="false">IF(B541="","",DATE(YEAR(B541),MONTH(B541),1))</f>
        <v/>
      </c>
    </row>
    <row r="542" customFormat="false" ht="15" hidden="false" customHeight="false" outlineLevel="0" collapsed="false">
      <c r="B542" s="33"/>
      <c r="C542" s="30"/>
      <c r="D542" s="30"/>
      <c r="E542" s="31"/>
      <c r="F542" s="30"/>
      <c r="G542" s="30"/>
      <c r="H542" s="34" t="str">
        <f aca="false">IF(D542="","",IFERROR(INDEX(Categorias!$D$6:$D$45,MATCH(D542,Categorias!$B$6:$B$45,0))&amp;"",""))</f>
        <v/>
      </c>
      <c r="I542" s="35"/>
      <c r="J542" s="35"/>
      <c r="K542" s="35"/>
      <c r="L542" s="36" t="str">
        <f aca="false">IF(OR(H542="",COUNTIF(I542:K542,"S")+COUNTIF(I542:K542,"N")&lt;3),"",COUNTIF(I542:K542,"S")*IF(H542="S",5,IF(H542="M",4,IF(H542="E",3,2))))</f>
        <v/>
      </c>
      <c r="M542" s="37" t="str">
        <f aca="false">IF(L542="","",IF(L542&gt;=12,"Executar",IF(L542&gt;=8,"Executar com controle",IF(L542&gt;=5,"Postergar","Cancelar"))))</f>
        <v/>
      </c>
      <c r="O542" s="28" t="str">
        <f aca="false">IF(D542="","",IFERROR(INDEX(Categorias!$C$6:$C$45,MATCH(D542,Categorias!$B$6:$B$45,0)),"Sem grupo"))</f>
        <v/>
      </c>
      <c r="P542" s="38" t="str">
        <f aca="false">IF(B542="","",DATE(YEAR(B542),MONTH(B542),1))</f>
        <v/>
      </c>
    </row>
    <row r="543" customFormat="false" ht="15" hidden="false" customHeight="false" outlineLevel="0" collapsed="false">
      <c r="B543" s="33"/>
      <c r="C543" s="30"/>
      <c r="D543" s="30"/>
      <c r="E543" s="31"/>
      <c r="F543" s="30"/>
      <c r="G543" s="30"/>
      <c r="H543" s="34" t="str">
        <f aca="false">IF(D543="","",IFERROR(INDEX(Categorias!$D$6:$D$45,MATCH(D543,Categorias!$B$6:$B$45,0))&amp;"",""))</f>
        <v/>
      </c>
      <c r="I543" s="35"/>
      <c r="J543" s="35"/>
      <c r="K543" s="35"/>
      <c r="L543" s="36" t="str">
        <f aca="false">IF(OR(H543="",COUNTIF(I543:K543,"S")+COUNTIF(I543:K543,"N")&lt;3),"",COUNTIF(I543:K543,"S")*IF(H543="S",5,IF(H543="M",4,IF(H543="E",3,2))))</f>
        <v/>
      </c>
      <c r="M543" s="37" t="str">
        <f aca="false">IF(L543="","",IF(L543&gt;=12,"Executar",IF(L543&gt;=8,"Executar com controle",IF(L543&gt;=5,"Postergar","Cancelar"))))</f>
        <v/>
      </c>
      <c r="O543" s="28" t="str">
        <f aca="false">IF(D543="","",IFERROR(INDEX(Categorias!$C$6:$C$45,MATCH(D543,Categorias!$B$6:$B$45,0)),"Sem grupo"))</f>
        <v/>
      </c>
      <c r="P543" s="38" t="str">
        <f aca="false">IF(B543="","",DATE(YEAR(B543),MONTH(B543),1))</f>
        <v/>
      </c>
    </row>
    <row r="544" customFormat="false" ht="15" hidden="false" customHeight="false" outlineLevel="0" collapsed="false">
      <c r="B544" s="33"/>
      <c r="C544" s="30"/>
      <c r="D544" s="30"/>
      <c r="E544" s="31"/>
      <c r="F544" s="30"/>
      <c r="G544" s="30"/>
      <c r="H544" s="34" t="str">
        <f aca="false">IF(D544="","",IFERROR(INDEX(Categorias!$D$6:$D$45,MATCH(D544,Categorias!$B$6:$B$45,0))&amp;"",""))</f>
        <v/>
      </c>
      <c r="I544" s="35"/>
      <c r="J544" s="35"/>
      <c r="K544" s="35"/>
      <c r="L544" s="36" t="str">
        <f aca="false">IF(OR(H544="",COUNTIF(I544:K544,"S")+COUNTIF(I544:K544,"N")&lt;3),"",COUNTIF(I544:K544,"S")*IF(H544="S",5,IF(H544="M",4,IF(H544="E",3,2))))</f>
        <v/>
      </c>
      <c r="M544" s="37" t="str">
        <f aca="false">IF(L544="","",IF(L544&gt;=12,"Executar",IF(L544&gt;=8,"Executar com controle",IF(L544&gt;=5,"Postergar","Cancelar"))))</f>
        <v/>
      </c>
      <c r="O544" s="28" t="str">
        <f aca="false">IF(D544="","",IFERROR(INDEX(Categorias!$C$6:$C$45,MATCH(D544,Categorias!$B$6:$B$45,0)),"Sem grupo"))</f>
        <v/>
      </c>
      <c r="P544" s="38" t="str">
        <f aca="false">IF(B544="","",DATE(YEAR(B544),MONTH(B544),1))</f>
        <v/>
      </c>
    </row>
    <row r="545" customFormat="false" ht="15" hidden="false" customHeight="false" outlineLevel="0" collapsed="false">
      <c r="B545" s="33"/>
      <c r="C545" s="30"/>
      <c r="D545" s="30"/>
      <c r="E545" s="31"/>
      <c r="F545" s="30"/>
      <c r="G545" s="30"/>
      <c r="H545" s="34" t="str">
        <f aca="false">IF(D545="","",IFERROR(INDEX(Categorias!$D$6:$D$45,MATCH(D545,Categorias!$B$6:$B$45,0))&amp;"",""))</f>
        <v/>
      </c>
      <c r="I545" s="35"/>
      <c r="J545" s="35"/>
      <c r="K545" s="35"/>
      <c r="L545" s="36" t="str">
        <f aca="false">IF(OR(H545="",COUNTIF(I545:K545,"S")+COUNTIF(I545:K545,"N")&lt;3),"",COUNTIF(I545:K545,"S")*IF(H545="S",5,IF(H545="M",4,IF(H545="E",3,2))))</f>
        <v/>
      </c>
      <c r="M545" s="37" t="str">
        <f aca="false">IF(L545="","",IF(L545&gt;=12,"Executar",IF(L545&gt;=8,"Executar com controle",IF(L545&gt;=5,"Postergar","Cancelar"))))</f>
        <v/>
      </c>
      <c r="O545" s="28" t="str">
        <f aca="false">IF(D545="","",IFERROR(INDEX(Categorias!$C$6:$C$45,MATCH(D545,Categorias!$B$6:$B$45,0)),"Sem grupo"))</f>
        <v/>
      </c>
      <c r="P545" s="38" t="str">
        <f aca="false">IF(B545="","",DATE(YEAR(B545),MONTH(B545),1))</f>
        <v/>
      </c>
    </row>
    <row r="546" customFormat="false" ht="15" hidden="false" customHeight="false" outlineLevel="0" collapsed="false">
      <c r="B546" s="33"/>
      <c r="C546" s="30"/>
      <c r="D546" s="30"/>
      <c r="E546" s="31"/>
      <c r="F546" s="30"/>
      <c r="G546" s="30"/>
      <c r="H546" s="34" t="str">
        <f aca="false">IF(D546="","",IFERROR(INDEX(Categorias!$D$6:$D$45,MATCH(D546,Categorias!$B$6:$B$45,0))&amp;"",""))</f>
        <v/>
      </c>
      <c r="I546" s="35"/>
      <c r="J546" s="35"/>
      <c r="K546" s="35"/>
      <c r="L546" s="36" t="str">
        <f aca="false">IF(OR(H546="",COUNTIF(I546:K546,"S")+COUNTIF(I546:K546,"N")&lt;3),"",COUNTIF(I546:K546,"S")*IF(H546="S",5,IF(H546="M",4,IF(H546="E",3,2))))</f>
        <v/>
      </c>
      <c r="M546" s="37" t="str">
        <f aca="false">IF(L546="","",IF(L546&gt;=12,"Executar",IF(L546&gt;=8,"Executar com controle",IF(L546&gt;=5,"Postergar","Cancelar"))))</f>
        <v/>
      </c>
      <c r="O546" s="28" t="str">
        <f aca="false">IF(D546="","",IFERROR(INDEX(Categorias!$C$6:$C$45,MATCH(D546,Categorias!$B$6:$B$45,0)),"Sem grupo"))</f>
        <v/>
      </c>
      <c r="P546" s="38" t="str">
        <f aca="false">IF(B546="","",DATE(YEAR(B546),MONTH(B546),1))</f>
        <v/>
      </c>
    </row>
    <row r="547" customFormat="false" ht="15" hidden="false" customHeight="false" outlineLevel="0" collapsed="false">
      <c r="B547" s="33"/>
      <c r="C547" s="30"/>
      <c r="D547" s="30"/>
      <c r="E547" s="31"/>
      <c r="F547" s="30"/>
      <c r="G547" s="30"/>
      <c r="H547" s="34" t="str">
        <f aca="false">IF(D547="","",IFERROR(INDEX(Categorias!$D$6:$D$45,MATCH(D547,Categorias!$B$6:$B$45,0))&amp;"",""))</f>
        <v/>
      </c>
      <c r="I547" s="35"/>
      <c r="J547" s="35"/>
      <c r="K547" s="35"/>
      <c r="L547" s="36" t="str">
        <f aca="false">IF(OR(H547="",COUNTIF(I547:K547,"S")+COUNTIF(I547:K547,"N")&lt;3),"",COUNTIF(I547:K547,"S")*IF(H547="S",5,IF(H547="M",4,IF(H547="E",3,2))))</f>
        <v/>
      </c>
      <c r="M547" s="37" t="str">
        <f aca="false">IF(L547="","",IF(L547&gt;=12,"Executar",IF(L547&gt;=8,"Executar com controle",IF(L547&gt;=5,"Postergar","Cancelar"))))</f>
        <v/>
      </c>
      <c r="O547" s="28" t="str">
        <f aca="false">IF(D547="","",IFERROR(INDEX(Categorias!$C$6:$C$45,MATCH(D547,Categorias!$B$6:$B$45,0)),"Sem grupo"))</f>
        <v/>
      </c>
      <c r="P547" s="38" t="str">
        <f aca="false">IF(B547="","",DATE(YEAR(B547),MONTH(B547),1))</f>
        <v/>
      </c>
    </row>
    <row r="548" customFormat="false" ht="15" hidden="false" customHeight="false" outlineLevel="0" collapsed="false">
      <c r="B548" s="33"/>
      <c r="C548" s="30"/>
      <c r="D548" s="30"/>
      <c r="E548" s="31"/>
      <c r="F548" s="30"/>
      <c r="G548" s="30"/>
      <c r="H548" s="34" t="str">
        <f aca="false">IF(D548="","",IFERROR(INDEX(Categorias!$D$6:$D$45,MATCH(D548,Categorias!$B$6:$B$45,0))&amp;"",""))</f>
        <v/>
      </c>
      <c r="I548" s="35"/>
      <c r="J548" s="35"/>
      <c r="K548" s="35"/>
      <c r="L548" s="36" t="str">
        <f aca="false">IF(OR(H548="",COUNTIF(I548:K548,"S")+COUNTIF(I548:K548,"N")&lt;3),"",COUNTIF(I548:K548,"S")*IF(H548="S",5,IF(H548="M",4,IF(H548="E",3,2))))</f>
        <v/>
      </c>
      <c r="M548" s="37" t="str">
        <f aca="false">IF(L548="","",IF(L548&gt;=12,"Executar",IF(L548&gt;=8,"Executar com controle",IF(L548&gt;=5,"Postergar","Cancelar"))))</f>
        <v/>
      </c>
      <c r="O548" s="28" t="str">
        <f aca="false">IF(D548="","",IFERROR(INDEX(Categorias!$C$6:$C$45,MATCH(D548,Categorias!$B$6:$B$45,0)),"Sem grupo"))</f>
        <v/>
      </c>
      <c r="P548" s="38" t="str">
        <f aca="false">IF(B548="","",DATE(YEAR(B548),MONTH(B548),1))</f>
        <v/>
      </c>
    </row>
    <row r="549" customFormat="false" ht="15" hidden="false" customHeight="false" outlineLevel="0" collapsed="false">
      <c r="B549" s="33"/>
      <c r="C549" s="30"/>
      <c r="D549" s="30"/>
      <c r="E549" s="31"/>
      <c r="F549" s="30"/>
      <c r="G549" s="30"/>
      <c r="H549" s="34" t="str">
        <f aca="false">IF(D549="","",IFERROR(INDEX(Categorias!$D$6:$D$45,MATCH(D549,Categorias!$B$6:$B$45,0))&amp;"",""))</f>
        <v/>
      </c>
      <c r="I549" s="35"/>
      <c r="J549" s="35"/>
      <c r="K549" s="35"/>
      <c r="L549" s="36" t="str">
        <f aca="false">IF(OR(H549="",COUNTIF(I549:K549,"S")+COUNTIF(I549:K549,"N")&lt;3),"",COUNTIF(I549:K549,"S")*IF(H549="S",5,IF(H549="M",4,IF(H549="E",3,2))))</f>
        <v/>
      </c>
      <c r="M549" s="37" t="str">
        <f aca="false">IF(L549="","",IF(L549&gt;=12,"Executar",IF(L549&gt;=8,"Executar com controle",IF(L549&gt;=5,"Postergar","Cancelar"))))</f>
        <v/>
      </c>
      <c r="O549" s="28" t="str">
        <f aca="false">IF(D549="","",IFERROR(INDEX(Categorias!$C$6:$C$45,MATCH(D549,Categorias!$B$6:$B$45,0)),"Sem grupo"))</f>
        <v/>
      </c>
      <c r="P549" s="38" t="str">
        <f aca="false">IF(B549="","",DATE(YEAR(B549),MONTH(B549),1))</f>
        <v/>
      </c>
    </row>
    <row r="550" customFormat="false" ht="15" hidden="false" customHeight="false" outlineLevel="0" collapsed="false">
      <c r="B550" s="33"/>
      <c r="C550" s="30"/>
      <c r="D550" s="30"/>
      <c r="E550" s="31"/>
      <c r="F550" s="30"/>
      <c r="G550" s="30"/>
      <c r="H550" s="34" t="str">
        <f aca="false">IF(D550="","",IFERROR(INDEX(Categorias!$D$6:$D$45,MATCH(D550,Categorias!$B$6:$B$45,0))&amp;"",""))</f>
        <v/>
      </c>
      <c r="I550" s="35"/>
      <c r="J550" s="35"/>
      <c r="K550" s="35"/>
      <c r="L550" s="36" t="str">
        <f aca="false">IF(OR(H550="",COUNTIF(I550:K550,"S")+COUNTIF(I550:K550,"N")&lt;3),"",COUNTIF(I550:K550,"S")*IF(H550="S",5,IF(H550="M",4,IF(H550="E",3,2))))</f>
        <v/>
      </c>
      <c r="M550" s="37" t="str">
        <f aca="false">IF(L550="","",IF(L550&gt;=12,"Executar",IF(L550&gt;=8,"Executar com controle",IF(L550&gt;=5,"Postergar","Cancelar"))))</f>
        <v/>
      </c>
      <c r="O550" s="28" t="str">
        <f aca="false">IF(D550="","",IFERROR(INDEX(Categorias!$C$6:$C$45,MATCH(D550,Categorias!$B$6:$B$45,0)),"Sem grupo"))</f>
        <v/>
      </c>
      <c r="P550" s="38" t="str">
        <f aca="false">IF(B550="","",DATE(YEAR(B550),MONTH(B550),1))</f>
        <v/>
      </c>
    </row>
    <row r="551" customFormat="false" ht="15" hidden="false" customHeight="false" outlineLevel="0" collapsed="false">
      <c r="B551" s="33"/>
      <c r="C551" s="30"/>
      <c r="D551" s="30"/>
      <c r="E551" s="31"/>
      <c r="F551" s="30"/>
      <c r="G551" s="30"/>
      <c r="H551" s="34" t="str">
        <f aca="false">IF(D551="","",IFERROR(INDEX(Categorias!$D$6:$D$45,MATCH(D551,Categorias!$B$6:$B$45,0))&amp;"",""))</f>
        <v/>
      </c>
      <c r="I551" s="35"/>
      <c r="J551" s="35"/>
      <c r="K551" s="35"/>
      <c r="L551" s="36" t="str">
        <f aca="false">IF(OR(H551="",COUNTIF(I551:K551,"S")+COUNTIF(I551:K551,"N")&lt;3),"",COUNTIF(I551:K551,"S")*IF(H551="S",5,IF(H551="M",4,IF(H551="E",3,2))))</f>
        <v/>
      </c>
      <c r="M551" s="37" t="str">
        <f aca="false">IF(L551="","",IF(L551&gt;=12,"Executar",IF(L551&gt;=8,"Executar com controle",IF(L551&gt;=5,"Postergar","Cancelar"))))</f>
        <v/>
      </c>
      <c r="O551" s="28" t="str">
        <f aca="false">IF(D551="","",IFERROR(INDEX(Categorias!$C$6:$C$45,MATCH(D551,Categorias!$B$6:$B$45,0)),"Sem grupo"))</f>
        <v/>
      </c>
      <c r="P551" s="38" t="str">
        <f aca="false">IF(B551="","",DATE(YEAR(B551),MONTH(B551),1))</f>
        <v/>
      </c>
    </row>
    <row r="552" customFormat="false" ht="15" hidden="false" customHeight="false" outlineLevel="0" collapsed="false">
      <c r="B552" s="33"/>
      <c r="C552" s="30"/>
      <c r="D552" s="30"/>
      <c r="E552" s="31"/>
      <c r="F552" s="30"/>
      <c r="G552" s="30"/>
      <c r="H552" s="34" t="str">
        <f aca="false">IF(D552="","",IFERROR(INDEX(Categorias!$D$6:$D$45,MATCH(D552,Categorias!$B$6:$B$45,0))&amp;"",""))</f>
        <v/>
      </c>
      <c r="I552" s="35"/>
      <c r="J552" s="35"/>
      <c r="K552" s="35"/>
      <c r="L552" s="36" t="str">
        <f aca="false">IF(OR(H552="",COUNTIF(I552:K552,"S")+COUNTIF(I552:K552,"N")&lt;3),"",COUNTIF(I552:K552,"S")*IF(H552="S",5,IF(H552="M",4,IF(H552="E",3,2))))</f>
        <v/>
      </c>
      <c r="M552" s="37" t="str">
        <f aca="false">IF(L552="","",IF(L552&gt;=12,"Executar",IF(L552&gt;=8,"Executar com controle",IF(L552&gt;=5,"Postergar","Cancelar"))))</f>
        <v/>
      </c>
      <c r="O552" s="28" t="str">
        <f aca="false">IF(D552="","",IFERROR(INDEX(Categorias!$C$6:$C$45,MATCH(D552,Categorias!$B$6:$B$45,0)),"Sem grupo"))</f>
        <v/>
      </c>
      <c r="P552" s="38" t="str">
        <f aca="false">IF(B552="","",DATE(YEAR(B552),MONTH(B552),1))</f>
        <v/>
      </c>
    </row>
    <row r="553" customFormat="false" ht="15" hidden="false" customHeight="false" outlineLevel="0" collapsed="false">
      <c r="B553" s="33"/>
      <c r="C553" s="30"/>
      <c r="D553" s="30"/>
      <c r="E553" s="31"/>
      <c r="F553" s="30"/>
      <c r="G553" s="30"/>
      <c r="H553" s="34" t="str">
        <f aca="false">IF(D553="","",IFERROR(INDEX(Categorias!$D$6:$D$45,MATCH(D553,Categorias!$B$6:$B$45,0))&amp;"",""))</f>
        <v/>
      </c>
      <c r="I553" s="35"/>
      <c r="J553" s="35"/>
      <c r="K553" s="35"/>
      <c r="L553" s="36" t="str">
        <f aca="false">IF(OR(H553="",COUNTIF(I553:K553,"S")+COUNTIF(I553:K553,"N")&lt;3),"",COUNTIF(I553:K553,"S")*IF(H553="S",5,IF(H553="M",4,IF(H553="E",3,2))))</f>
        <v/>
      </c>
      <c r="M553" s="37" t="str">
        <f aca="false">IF(L553="","",IF(L553&gt;=12,"Executar",IF(L553&gt;=8,"Executar com controle",IF(L553&gt;=5,"Postergar","Cancelar"))))</f>
        <v/>
      </c>
      <c r="O553" s="28" t="str">
        <f aca="false">IF(D553="","",IFERROR(INDEX(Categorias!$C$6:$C$45,MATCH(D553,Categorias!$B$6:$B$45,0)),"Sem grupo"))</f>
        <v/>
      </c>
      <c r="P553" s="38" t="str">
        <f aca="false">IF(B553="","",DATE(YEAR(B553),MONTH(B553),1))</f>
        <v/>
      </c>
    </row>
    <row r="554" customFormat="false" ht="15" hidden="false" customHeight="false" outlineLevel="0" collapsed="false">
      <c r="B554" s="33"/>
      <c r="C554" s="30"/>
      <c r="D554" s="30"/>
      <c r="E554" s="31"/>
      <c r="F554" s="30"/>
      <c r="G554" s="30"/>
      <c r="H554" s="34" t="str">
        <f aca="false">IF(D554="","",IFERROR(INDEX(Categorias!$D$6:$D$45,MATCH(D554,Categorias!$B$6:$B$45,0))&amp;"",""))</f>
        <v/>
      </c>
      <c r="I554" s="35"/>
      <c r="J554" s="35"/>
      <c r="K554" s="35"/>
      <c r="L554" s="36" t="str">
        <f aca="false">IF(OR(H554="",COUNTIF(I554:K554,"S")+COUNTIF(I554:K554,"N")&lt;3),"",COUNTIF(I554:K554,"S")*IF(H554="S",5,IF(H554="M",4,IF(H554="E",3,2))))</f>
        <v/>
      </c>
      <c r="M554" s="37" t="str">
        <f aca="false">IF(L554="","",IF(L554&gt;=12,"Executar",IF(L554&gt;=8,"Executar com controle",IF(L554&gt;=5,"Postergar","Cancelar"))))</f>
        <v/>
      </c>
      <c r="O554" s="28" t="str">
        <f aca="false">IF(D554="","",IFERROR(INDEX(Categorias!$C$6:$C$45,MATCH(D554,Categorias!$B$6:$B$45,0)),"Sem grupo"))</f>
        <v/>
      </c>
      <c r="P554" s="38" t="str">
        <f aca="false">IF(B554="","",DATE(YEAR(B554),MONTH(B554),1))</f>
        <v/>
      </c>
    </row>
    <row r="555" customFormat="false" ht="15" hidden="false" customHeight="false" outlineLevel="0" collapsed="false">
      <c r="B555" s="33"/>
      <c r="C555" s="30"/>
      <c r="D555" s="30"/>
      <c r="E555" s="31"/>
      <c r="F555" s="30"/>
      <c r="G555" s="30"/>
      <c r="H555" s="34" t="str">
        <f aca="false">IF(D555="","",IFERROR(INDEX(Categorias!$D$6:$D$45,MATCH(D555,Categorias!$B$6:$B$45,0))&amp;"",""))</f>
        <v/>
      </c>
      <c r="I555" s="35"/>
      <c r="J555" s="35"/>
      <c r="K555" s="35"/>
      <c r="L555" s="36" t="str">
        <f aca="false">IF(OR(H555="",COUNTIF(I555:K555,"S")+COUNTIF(I555:K555,"N")&lt;3),"",COUNTIF(I555:K555,"S")*IF(H555="S",5,IF(H555="M",4,IF(H555="E",3,2))))</f>
        <v/>
      </c>
      <c r="M555" s="37" t="str">
        <f aca="false">IF(L555="","",IF(L555&gt;=12,"Executar",IF(L555&gt;=8,"Executar com controle",IF(L555&gt;=5,"Postergar","Cancelar"))))</f>
        <v/>
      </c>
      <c r="O555" s="28" t="str">
        <f aca="false">IF(D555="","",IFERROR(INDEX(Categorias!$C$6:$C$45,MATCH(D555,Categorias!$B$6:$B$45,0)),"Sem grupo"))</f>
        <v/>
      </c>
      <c r="P555" s="38" t="str">
        <f aca="false">IF(B555="","",DATE(YEAR(B555),MONTH(B555),1))</f>
        <v/>
      </c>
    </row>
    <row r="556" customFormat="false" ht="15" hidden="false" customHeight="false" outlineLevel="0" collapsed="false">
      <c r="B556" s="33"/>
      <c r="C556" s="30"/>
      <c r="D556" s="30"/>
      <c r="E556" s="31"/>
      <c r="F556" s="30"/>
      <c r="G556" s="30"/>
      <c r="H556" s="34" t="str">
        <f aca="false">IF(D556="","",IFERROR(INDEX(Categorias!$D$6:$D$45,MATCH(D556,Categorias!$B$6:$B$45,0))&amp;"",""))</f>
        <v/>
      </c>
      <c r="I556" s="35"/>
      <c r="J556" s="35"/>
      <c r="K556" s="35"/>
      <c r="L556" s="36" t="str">
        <f aca="false">IF(OR(H556="",COUNTIF(I556:K556,"S")+COUNTIF(I556:K556,"N")&lt;3),"",COUNTIF(I556:K556,"S")*IF(H556="S",5,IF(H556="M",4,IF(H556="E",3,2))))</f>
        <v/>
      </c>
      <c r="M556" s="37" t="str">
        <f aca="false">IF(L556="","",IF(L556&gt;=12,"Executar",IF(L556&gt;=8,"Executar com controle",IF(L556&gt;=5,"Postergar","Cancelar"))))</f>
        <v/>
      </c>
      <c r="O556" s="28" t="str">
        <f aca="false">IF(D556="","",IFERROR(INDEX(Categorias!$C$6:$C$45,MATCH(D556,Categorias!$B$6:$B$45,0)),"Sem grupo"))</f>
        <v/>
      </c>
      <c r="P556" s="38" t="str">
        <f aca="false">IF(B556="","",DATE(YEAR(B556),MONTH(B556),1))</f>
        <v/>
      </c>
    </row>
    <row r="557" customFormat="false" ht="15" hidden="false" customHeight="false" outlineLevel="0" collapsed="false">
      <c r="B557" s="33"/>
      <c r="C557" s="30"/>
      <c r="D557" s="30"/>
      <c r="E557" s="31"/>
      <c r="F557" s="30"/>
      <c r="G557" s="30"/>
      <c r="H557" s="34" t="str">
        <f aca="false">IF(D557="","",IFERROR(INDEX(Categorias!$D$6:$D$45,MATCH(D557,Categorias!$B$6:$B$45,0))&amp;"",""))</f>
        <v/>
      </c>
      <c r="I557" s="35"/>
      <c r="J557" s="35"/>
      <c r="K557" s="35"/>
      <c r="L557" s="36" t="str">
        <f aca="false">IF(OR(H557="",COUNTIF(I557:K557,"S")+COUNTIF(I557:K557,"N")&lt;3),"",COUNTIF(I557:K557,"S")*IF(H557="S",5,IF(H557="M",4,IF(H557="E",3,2))))</f>
        <v/>
      </c>
      <c r="M557" s="37" t="str">
        <f aca="false">IF(L557="","",IF(L557&gt;=12,"Executar",IF(L557&gt;=8,"Executar com controle",IF(L557&gt;=5,"Postergar","Cancelar"))))</f>
        <v/>
      </c>
      <c r="O557" s="28" t="str">
        <f aca="false">IF(D557="","",IFERROR(INDEX(Categorias!$C$6:$C$45,MATCH(D557,Categorias!$B$6:$B$45,0)),"Sem grupo"))</f>
        <v/>
      </c>
      <c r="P557" s="38" t="str">
        <f aca="false">IF(B557="","",DATE(YEAR(B557),MONTH(B557),1))</f>
        <v/>
      </c>
    </row>
    <row r="558" customFormat="false" ht="15" hidden="false" customHeight="false" outlineLevel="0" collapsed="false">
      <c r="B558" s="33"/>
      <c r="C558" s="30"/>
      <c r="D558" s="30"/>
      <c r="E558" s="31"/>
      <c r="F558" s="30"/>
      <c r="G558" s="30"/>
      <c r="H558" s="34" t="str">
        <f aca="false">IF(D558="","",IFERROR(INDEX(Categorias!$D$6:$D$45,MATCH(D558,Categorias!$B$6:$B$45,0))&amp;"",""))</f>
        <v/>
      </c>
      <c r="I558" s="35"/>
      <c r="J558" s="35"/>
      <c r="K558" s="35"/>
      <c r="L558" s="36" t="str">
        <f aca="false">IF(OR(H558="",COUNTIF(I558:K558,"S")+COUNTIF(I558:K558,"N")&lt;3),"",COUNTIF(I558:K558,"S")*IF(H558="S",5,IF(H558="M",4,IF(H558="E",3,2))))</f>
        <v/>
      </c>
      <c r="M558" s="37" t="str">
        <f aca="false">IF(L558="","",IF(L558&gt;=12,"Executar",IF(L558&gt;=8,"Executar com controle",IF(L558&gt;=5,"Postergar","Cancelar"))))</f>
        <v/>
      </c>
      <c r="O558" s="28" t="str">
        <f aca="false">IF(D558="","",IFERROR(INDEX(Categorias!$C$6:$C$45,MATCH(D558,Categorias!$B$6:$B$45,0)),"Sem grupo"))</f>
        <v/>
      </c>
      <c r="P558" s="38" t="str">
        <f aca="false">IF(B558="","",DATE(YEAR(B558),MONTH(B558),1))</f>
        <v/>
      </c>
    </row>
    <row r="559" customFormat="false" ht="15" hidden="false" customHeight="false" outlineLevel="0" collapsed="false">
      <c r="B559" s="33"/>
      <c r="C559" s="30"/>
      <c r="D559" s="30"/>
      <c r="E559" s="31"/>
      <c r="F559" s="30"/>
      <c r="G559" s="30"/>
      <c r="H559" s="34" t="str">
        <f aca="false">IF(D559="","",IFERROR(INDEX(Categorias!$D$6:$D$45,MATCH(D559,Categorias!$B$6:$B$45,0))&amp;"",""))</f>
        <v/>
      </c>
      <c r="I559" s="35"/>
      <c r="J559" s="35"/>
      <c r="K559" s="35"/>
      <c r="L559" s="36" t="str">
        <f aca="false">IF(OR(H559="",COUNTIF(I559:K559,"S")+COUNTIF(I559:K559,"N")&lt;3),"",COUNTIF(I559:K559,"S")*IF(H559="S",5,IF(H559="M",4,IF(H559="E",3,2))))</f>
        <v/>
      </c>
      <c r="M559" s="37" t="str">
        <f aca="false">IF(L559="","",IF(L559&gt;=12,"Executar",IF(L559&gt;=8,"Executar com controle",IF(L559&gt;=5,"Postergar","Cancelar"))))</f>
        <v/>
      </c>
      <c r="O559" s="28" t="str">
        <f aca="false">IF(D559="","",IFERROR(INDEX(Categorias!$C$6:$C$45,MATCH(D559,Categorias!$B$6:$B$45,0)),"Sem grupo"))</f>
        <v/>
      </c>
      <c r="P559" s="38" t="str">
        <f aca="false">IF(B559="","",DATE(YEAR(B559),MONTH(B559),1))</f>
        <v/>
      </c>
    </row>
    <row r="560" customFormat="false" ht="15" hidden="false" customHeight="false" outlineLevel="0" collapsed="false">
      <c r="B560" s="33"/>
      <c r="C560" s="30"/>
      <c r="D560" s="30"/>
      <c r="E560" s="31"/>
      <c r="F560" s="30"/>
      <c r="G560" s="30"/>
      <c r="H560" s="34" t="str">
        <f aca="false">IF(D560="","",IFERROR(INDEX(Categorias!$D$6:$D$45,MATCH(D560,Categorias!$B$6:$B$45,0))&amp;"",""))</f>
        <v/>
      </c>
      <c r="I560" s="35"/>
      <c r="J560" s="35"/>
      <c r="K560" s="35"/>
      <c r="L560" s="36" t="str">
        <f aca="false">IF(OR(H560="",COUNTIF(I560:K560,"S")+COUNTIF(I560:K560,"N")&lt;3),"",COUNTIF(I560:K560,"S")*IF(H560="S",5,IF(H560="M",4,IF(H560="E",3,2))))</f>
        <v/>
      </c>
      <c r="M560" s="37" t="str">
        <f aca="false">IF(L560="","",IF(L560&gt;=12,"Executar",IF(L560&gt;=8,"Executar com controle",IF(L560&gt;=5,"Postergar","Cancelar"))))</f>
        <v/>
      </c>
      <c r="O560" s="28" t="str">
        <f aca="false">IF(D560="","",IFERROR(INDEX(Categorias!$C$6:$C$45,MATCH(D560,Categorias!$B$6:$B$45,0)),"Sem grupo"))</f>
        <v/>
      </c>
      <c r="P560" s="38" t="str">
        <f aca="false">IF(B560="","",DATE(YEAR(B560),MONTH(B560),1))</f>
        <v/>
      </c>
    </row>
    <row r="561" customFormat="false" ht="15" hidden="false" customHeight="false" outlineLevel="0" collapsed="false">
      <c r="B561" s="33"/>
      <c r="C561" s="30"/>
      <c r="D561" s="30"/>
      <c r="E561" s="31"/>
      <c r="F561" s="30"/>
      <c r="G561" s="30"/>
      <c r="H561" s="34" t="str">
        <f aca="false">IF(D561="","",IFERROR(INDEX(Categorias!$D$6:$D$45,MATCH(D561,Categorias!$B$6:$B$45,0))&amp;"",""))</f>
        <v/>
      </c>
      <c r="I561" s="35"/>
      <c r="J561" s="35"/>
      <c r="K561" s="35"/>
      <c r="L561" s="36" t="str">
        <f aca="false">IF(OR(H561="",COUNTIF(I561:K561,"S")+COUNTIF(I561:K561,"N")&lt;3),"",COUNTIF(I561:K561,"S")*IF(H561="S",5,IF(H561="M",4,IF(H561="E",3,2))))</f>
        <v/>
      </c>
      <c r="M561" s="37" t="str">
        <f aca="false">IF(L561="","",IF(L561&gt;=12,"Executar",IF(L561&gt;=8,"Executar com controle",IF(L561&gt;=5,"Postergar","Cancelar"))))</f>
        <v/>
      </c>
      <c r="O561" s="28" t="str">
        <f aca="false">IF(D561="","",IFERROR(INDEX(Categorias!$C$6:$C$45,MATCH(D561,Categorias!$B$6:$B$45,0)),"Sem grupo"))</f>
        <v/>
      </c>
      <c r="P561" s="38" t="str">
        <f aca="false">IF(B561="","",DATE(YEAR(B561),MONTH(B561),1))</f>
        <v/>
      </c>
    </row>
    <row r="562" customFormat="false" ht="15" hidden="false" customHeight="false" outlineLevel="0" collapsed="false">
      <c r="B562" s="33"/>
      <c r="C562" s="30"/>
      <c r="D562" s="30"/>
      <c r="E562" s="31"/>
      <c r="F562" s="30"/>
      <c r="G562" s="30"/>
      <c r="H562" s="34" t="str">
        <f aca="false">IF(D562="","",IFERROR(INDEX(Categorias!$D$6:$D$45,MATCH(D562,Categorias!$B$6:$B$45,0))&amp;"",""))</f>
        <v/>
      </c>
      <c r="I562" s="35"/>
      <c r="J562" s="35"/>
      <c r="K562" s="35"/>
      <c r="L562" s="36" t="str">
        <f aca="false">IF(OR(H562="",COUNTIF(I562:K562,"S")+COUNTIF(I562:K562,"N")&lt;3),"",COUNTIF(I562:K562,"S")*IF(H562="S",5,IF(H562="M",4,IF(H562="E",3,2))))</f>
        <v/>
      </c>
      <c r="M562" s="37" t="str">
        <f aca="false">IF(L562="","",IF(L562&gt;=12,"Executar",IF(L562&gt;=8,"Executar com controle",IF(L562&gt;=5,"Postergar","Cancelar"))))</f>
        <v/>
      </c>
      <c r="O562" s="28" t="str">
        <f aca="false">IF(D562="","",IFERROR(INDEX(Categorias!$C$6:$C$45,MATCH(D562,Categorias!$B$6:$B$45,0)),"Sem grupo"))</f>
        <v/>
      </c>
      <c r="P562" s="38" t="str">
        <f aca="false">IF(B562="","",DATE(YEAR(B562),MONTH(B562),1))</f>
        <v/>
      </c>
    </row>
    <row r="563" customFormat="false" ht="15" hidden="false" customHeight="false" outlineLevel="0" collapsed="false">
      <c r="B563" s="33"/>
      <c r="C563" s="30"/>
      <c r="D563" s="30"/>
      <c r="E563" s="31"/>
      <c r="F563" s="30"/>
      <c r="G563" s="30"/>
      <c r="H563" s="34" t="str">
        <f aca="false">IF(D563="","",IFERROR(INDEX(Categorias!$D$6:$D$45,MATCH(D563,Categorias!$B$6:$B$45,0))&amp;"",""))</f>
        <v/>
      </c>
      <c r="I563" s="35"/>
      <c r="J563" s="35"/>
      <c r="K563" s="35"/>
      <c r="L563" s="36" t="str">
        <f aca="false">IF(OR(H563="",COUNTIF(I563:K563,"S")+COUNTIF(I563:K563,"N")&lt;3),"",COUNTIF(I563:K563,"S")*IF(H563="S",5,IF(H563="M",4,IF(H563="E",3,2))))</f>
        <v/>
      </c>
      <c r="M563" s="37" t="str">
        <f aca="false">IF(L563="","",IF(L563&gt;=12,"Executar",IF(L563&gt;=8,"Executar com controle",IF(L563&gt;=5,"Postergar","Cancelar"))))</f>
        <v/>
      </c>
      <c r="O563" s="28" t="str">
        <f aca="false">IF(D563="","",IFERROR(INDEX(Categorias!$C$6:$C$45,MATCH(D563,Categorias!$B$6:$B$45,0)),"Sem grupo"))</f>
        <v/>
      </c>
      <c r="P563" s="38" t="str">
        <f aca="false">IF(B563="","",DATE(YEAR(B563),MONTH(B563),1))</f>
        <v/>
      </c>
    </row>
    <row r="564" customFormat="false" ht="15" hidden="false" customHeight="false" outlineLevel="0" collapsed="false">
      <c r="B564" s="33"/>
      <c r="C564" s="30"/>
      <c r="D564" s="30"/>
      <c r="E564" s="31"/>
      <c r="F564" s="30"/>
      <c r="G564" s="30"/>
      <c r="H564" s="34" t="str">
        <f aca="false">IF(D564="","",IFERROR(INDEX(Categorias!$D$6:$D$45,MATCH(D564,Categorias!$B$6:$B$45,0))&amp;"",""))</f>
        <v/>
      </c>
      <c r="I564" s="35"/>
      <c r="J564" s="35"/>
      <c r="K564" s="35"/>
      <c r="L564" s="36" t="str">
        <f aca="false">IF(OR(H564="",COUNTIF(I564:K564,"S")+COUNTIF(I564:K564,"N")&lt;3),"",COUNTIF(I564:K564,"S")*IF(H564="S",5,IF(H564="M",4,IF(H564="E",3,2))))</f>
        <v/>
      </c>
      <c r="M564" s="37" t="str">
        <f aca="false">IF(L564="","",IF(L564&gt;=12,"Executar",IF(L564&gt;=8,"Executar com controle",IF(L564&gt;=5,"Postergar","Cancelar"))))</f>
        <v/>
      </c>
      <c r="O564" s="28" t="str">
        <f aca="false">IF(D564="","",IFERROR(INDEX(Categorias!$C$6:$C$45,MATCH(D564,Categorias!$B$6:$B$45,0)),"Sem grupo"))</f>
        <v/>
      </c>
      <c r="P564" s="38" t="str">
        <f aca="false">IF(B564="","",DATE(YEAR(B564),MONTH(B564),1))</f>
        <v/>
      </c>
    </row>
    <row r="565" customFormat="false" ht="15" hidden="false" customHeight="false" outlineLevel="0" collapsed="false">
      <c r="B565" s="33"/>
      <c r="C565" s="30"/>
      <c r="D565" s="30"/>
      <c r="E565" s="31"/>
      <c r="F565" s="30"/>
      <c r="G565" s="30"/>
      <c r="H565" s="34" t="str">
        <f aca="false">IF(D565="","",IFERROR(INDEX(Categorias!$D$6:$D$45,MATCH(D565,Categorias!$B$6:$B$45,0))&amp;"",""))</f>
        <v/>
      </c>
      <c r="I565" s="35"/>
      <c r="J565" s="35"/>
      <c r="K565" s="35"/>
      <c r="L565" s="36" t="str">
        <f aca="false">IF(OR(H565="",COUNTIF(I565:K565,"S")+COUNTIF(I565:K565,"N")&lt;3),"",COUNTIF(I565:K565,"S")*IF(H565="S",5,IF(H565="M",4,IF(H565="E",3,2))))</f>
        <v/>
      </c>
      <c r="M565" s="37" t="str">
        <f aca="false">IF(L565="","",IF(L565&gt;=12,"Executar",IF(L565&gt;=8,"Executar com controle",IF(L565&gt;=5,"Postergar","Cancelar"))))</f>
        <v/>
      </c>
      <c r="O565" s="28" t="str">
        <f aca="false">IF(D565="","",IFERROR(INDEX(Categorias!$C$6:$C$45,MATCH(D565,Categorias!$B$6:$B$45,0)),"Sem grupo"))</f>
        <v/>
      </c>
      <c r="P565" s="38" t="str">
        <f aca="false">IF(B565="","",DATE(YEAR(B565),MONTH(B565),1))</f>
        <v/>
      </c>
    </row>
    <row r="566" customFormat="false" ht="15" hidden="false" customHeight="false" outlineLevel="0" collapsed="false">
      <c r="B566" s="33"/>
      <c r="C566" s="30"/>
      <c r="D566" s="30"/>
      <c r="E566" s="31"/>
      <c r="F566" s="30"/>
      <c r="G566" s="30"/>
      <c r="H566" s="34" t="str">
        <f aca="false">IF(D566="","",IFERROR(INDEX(Categorias!$D$6:$D$45,MATCH(D566,Categorias!$B$6:$B$45,0))&amp;"",""))</f>
        <v/>
      </c>
      <c r="I566" s="35"/>
      <c r="J566" s="35"/>
      <c r="K566" s="35"/>
      <c r="L566" s="36" t="str">
        <f aca="false">IF(OR(H566="",COUNTIF(I566:K566,"S")+COUNTIF(I566:K566,"N")&lt;3),"",COUNTIF(I566:K566,"S")*IF(H566="S",5,IF(H566="M",4,IF(H566="E",3,2))))</f>
        <v/>
      </c>
      <c r="M566" s="37" t="str">
        <f aca="false">IF(L566="","",IF(L566&gt;=12,"Executar",IF(L566&gt;=8,"Executar com controle",IF(L566&gt;=5,"Postergar","Cancelar"))))</f>
        <v/>
      </c>
      <c r="O566" s="28" t="str">
        <f aca="false">IF(D566="","",IFERROR(INDEX(Categorias!$C$6:$C$45,MATCH(D566,Categorias!$B$6:$B$45,0)),"Sem grupo"))</f>
        <v/>
      </c>
      <c r="P566" s="38" t="str">
        <f aca="false">IF(B566="","",DATE(YEAR(B566),MONTH(B566),1))</f>
        <v/>
      </c>
    </row>
    <row r="567" customFormat="false" ht="15" hidden="false" customHeight="false" outlineLevel="0" collapsed="false">
      <c r="B567" s="33"/>
      <c r="C567" s="30"/>
      <c r="D567" s="30"/>
      <c r="E567" s="31"/>
      <c r="F567" s="30"/>
      <c r="G567" s="30"/>
      <c r="H567" s="34" t="str">
        <f aca="false">IF(D567="","",IFERROR(INDEX(Categorias!$D$6:$D$45,MATCH(D567,Categorias!$B$6:$B$45,0))&amp;"",""))</f>
        <v/>
      </c>
      <c r="I567" s="35"/>
      <c r="J567" s="35"/>
      <c r="K567" s="35"/>
      <c r="L567" s="36" t="str">
        <f aca="false">IF(OR(H567="",COUNTIF(I567:K567,"S")+COUNTIF(I567:K567,"N")&lt;3),"",COUNTIF(I567:K567,"S")*IF(H567="S",5,IF(H567="M",4,IF(H567="E",3,2))))</f>
        <v/>
      </c>
      <c r="M567" s="37" t="str">
        <f aca="false">IF(L567="","",IF(L567&gt;=12,"Executar",IF(L567&gt;=8,"Executar com controle",IF(L567&gt;=5,"Postergar","Cancelar"))))</f>
        <v/>
      </c>
      <c r="O567" s="28" t="str">
        <f aca="false">IF(D567="","",IFERROR(INDEX(Categorias!$C$6:$C$45,MATCH(D567,Categorias!$B$6:$B$45,0)),"Sem grupo"))</f>
        <v/>
      </c>
      <c r="P567" s="38" t="str">
        <f aca="false">IF(B567="","",DATE(YEAR(B567),MONTH(B567),1))</f>
        <v/>
      </c>
    </row>
    <row r="568" customFormat="false" ht="15" hidden="false" customHeight="false" outlineLevel="0" collapsed="false">
      <c r="B568" s="33"/>
      <c r="C568" s="30"/>
      <c r="D568" s="30"/>
      <c r="E568" s="31"/>
      <c r="F568" s="30"/>
      <c r="G568" s="30"/>
      <c r="H568" s="34" t="str">
        <f aca="false">IF(D568="","",IFERROR(INDEX(Categorias!$D$6:$D$45,MATCH(D568,Categorias!$B$6:$B$45,0))&amp;"",""))</f>
        <v/>
      </c>
      <c r="I568" s="35"/>
      <c r="J568" s="35"/>
      <c r="K568" s="35"/>
      <c r="L568" s="36" t="str">
        <f aca="false">IF(OR(H568="",COUNTIF(I568:K568,"S")+COUNTIF(I568:K568,"N")&lt;3),"",COUNTIF(I568:K568,"S")*IF(H568="S",5,IF(H568="M",4,IF(H568="E",3,2))))</f>
        <v/>
      </c>
      <c r="M568" s="37" t="str">
        <f aca="false">IF(L568="","",IF(L568&gt;=12,"Executar",IF(L568&gt;=8,"Executar com controle",IF(L568&gt;=5,"Postergar","Cancelar"))))</f>
        <v/>
      </c>
      <c r="O568" s="28" t="str">
        <f aca="false">IF(D568="","",IFERROR(INDEX(Categorias!$C$6:$C$45,MATCH(D568,Categorias!$B$6:$B$45,0)),"Sem grupo"))</f>
        <v/>
      </c>
      <c r="P568" s="38" t="str">
        <f aca="false">IF(B568="","",DATE(YEAR(B568),MONTH(B568),1))</f>
        <v/>
      </c>
    </row>
    <row r="569" customFormat="false" ht="15" hidden="false" customHeight="false" outlineLevel="0" collapsed="false">
      <c r="B569" s="33"/>
      <c r="C569" s="30"/>
      <c r="D569" s="30"/>
      <c r="E569" s="31"/>
      <c r="F569" s="30"/>
      <c r="G569" s="30"/>
      <c r="H569" s="34" t="str">
        <f aca="false">IF(D569="","",IFERROR(INDEX(Categorias!$D$6:$D$45,MATCH(D569,Categorias!$B$6:$B$45,0))&amp;"",""))</f>
        <v/>
      </c>
      <c r="I569" s="35"/>
      <c r="J569" s="35"/>
      <c r="K569" s="35"/>
      <c r="L569" s="36" t="str">
        <f aca="false">IF(OR(H569="",COUNTIF(I569:K569,"S")+COUNTIF(I569:K569,"N")&lt;3),"",COUNTIF(I569:K569,"S")*IF(H569="S",5,IF(H569="M",4,IF(H569="E",3,2))))</f>
        <v/>
      </c>
      <c r="M569" s="37" t="str">
        <f aca="false">IF(L569="","",IF(L569&gt;=12,"Executar",IF(L569&gt;=8,"Executar com controle",IF(L569&gt;=5,"Postergar","Cancelar"))))</f>
        <v/>
      </c>
      <c r="O569" s="28" t="str">
        <f aca="false">IF(D569="","",IFERROR(INDEX(Categorias!$C$6:$C$45,MATCH(D569,Categorias!$B$6:$B$45,0)),"Sem grupo"))</f>
        <v/>
      </c>
      <c r="P569" s="38" t="str">
        <f aca="false">IF(B569="","",DATE(YEAR(B569),MONTH(B569),1))</f>
        <v/>
      </c>
    </row>
    <row r="570" customFormat="false" ht="15" hidden="false" customHeight="false" outlineLevel="0" collapsed="false">
      <c r="B570" s="33"/>
      <c r="C570" s="30"/>
      <c r="D570" s="30"/>
      <c r="E570" s="31"/>
      <c r="F570" s="30"/>
      <c r="G570" s="30"/>
      <c r="H570" s="34" t="str">
        <f aca="false">IF(D570="","",IFERROR(INDEX(Categorias!$D$6:$D$45,MATCH(D570,Categorias!$B$6:$B$45,0))&amp;"",""))</f>
        <v/>
      </c>
      <c r="I570" s="35"/>
      <c r="J570" s="35"/>
      <c r="K570" s="35"/>
      <c r="L570" s="36" t="str">
        <f aca="false">IF(OR(H570="",COUNTIF(I570:K570,"S")+COUNTIF(I570:K570,"N")&lt;3),"",COUNTIF(I570:K570,"S")*IF(H570="S",5,IF(H570="M",4,IF(H570="E",3,2))))</f>
        <v/>
      </c>
      <c r="M570" s="37" t="str">
        <f aca="false">IF(L570="","",IF(L570&gt;=12,"Executar",IF(L570&gt;=8,"Executar com controle",IF(L570&gt;=5,"Postergar","Cancelar"))))</f>
        <v/>
      </c>
      <c r="O570" s="28" t="str">
        <f aca="false">IF(D570="","",IFERROR(INDEX(Categorias!$C$6:$C$45,MATCH(D570,Categorias!$B$6:$B$45,0)),"Sem grupo"))</f>
        <v/>
      </c>
      <c r="P570" s="38" t="str">
        <f aca="false">IF(B570="","",DATE(YEAR(B570),MONTH(B570),1))</f>
        <v/>
      </c>
    </row>
    <row r="571" customFormat="false" ht="15" hidden="false" customHeight="false" outlineLevel="0" collapsed="false">
      <c r="B571" s="33"/>
      <c r="C571" s="30"/>
      <c r="D571" s="30"/>
      <c r="E571" s="31"/>
      <c r="F571" s="30"/>
      <c r="G571" s="30"/>
      <c r="H571" s="34" t="str">
        <f aca="false">IF(D571="","",IFERROR(INDEX(Categorias!$D$6:$D$45,MATCH(D571,Categorias!$B$6:$B$45,0))&amp;"",""))</f>
        <v/>
      </c>
      <c r="I571" s="35"/>
      <c r="J571" s="35"/>
      <c r="K571" s="35"/>
      <c r="L571" s="36" t="str">
        <f aca="false">IF(OR(H571="",COUNTIF(I571:K571,"S")+COUNTIF(I571:K571,"N")&lt;3),"",COUNTIF(I571:K571,"S")*IF(H571="S",5,IF(H571="M",4,IF(H571="E",3,2))))</f>
        <v/>
      </c>
      <c r="M571" s="37" t="str">
        <f aca="false">IF(L571="","",IF(L571&gt;=12,"Executar",IF(L571&gt;=8,"Executar com controle",IF(L571&gt;=5,"Postergar","Cancelar"))))</f>
        <v/>
      </c>
      <c r="O571" s="28" t="str">
        <f aca="false">IF(D571="","",IFERROR(INDEX(Categorias!$C$6:$C$45,MATCH(D571,Categorias!$B$6:$B$45,0)),"Sem grupo"))</f>
        <v/>
      </c>
      <c r="P571" s="38" t="str">
        <f aca="false">IF(B571="","",DATE(YEAR(B571),MONTH(B571),1))</f>
        <v/>
      </c>
    </row>
    <row r="572" customFormat="false" ht="15" hidden="false" customHeight="false" outlineLevel="0" collapsed="false">
      <c r="B572" s="33"/>
      <c r="C572" s="30"/>
      <c r="D572" s="30"/>
      <c r="E572" s="31"/>
      <c r="F572" s="30"/>
      <c r="G572" s="30"/>
      <c r="H572" s="34" t="str">
        <f aca="false">IF(D572="","",IFERROR(INDEX(Categorias!$D$6:$D$45,MATCH(D572,Categorias!$B$6:$B$45,0))&amp;"",""))</f>
        <v/>
      </c>
      <c r="I572" s="35"/>
      <c r="J572" s="35"/>
      <c r="K572" s="35"/>
      <c r="L572" s="36" t="str">
        <f aca="false">IF(OR(H572="",COUNTIF(I572:K572,"S")+COUNTIF(I572:K572,"N")&lt;3),"",COUNTIF(I572:K572,"S")*IF(H572="S",5,IF(H572="M",4,IF(H572="E",3,2))))</f>
        <v/>
      </c>
      <c r="M572" s="37" t="str">
        <f aca="false">IF(L572="","",IF(L572&gt;=12,"Executar",IF(L572&gt;=8,"Executar com controle",IF(L572&gt;=5,"Postergar","Cancelar"))))</f>
        <v/>
      </c>
      <c r="O572" s="28" t="str">
        <f aca="false">IF(D572="","",IFERROR(INDEX(Categorias!$C$6:$C$45,MATCH(D572,Categorias!$B$6:$B$45,0)),"Sem grupo"))</f>
        <v/>
      </c>
      <c r="P572" s="38" t="str">
        <f aca="false">IF(B572="","",DATE(YEAR(B572),MONTH(B572),1))</f>
        <v/>
      </c>
    </row>
    <row r="573" customFormat="false" ht="15" hidden="false" customHeight="false" outlineLevel="0" collapsed="false">
      <c r="B573" s="33"/>
      <c r="C573" s="30"/>
      <c r="D573" s="30"/>
      <c r="E573" s="31"/>
      <c r="F573" s="30"/>
      <c r="G573" s="30"/>
      <c r="H573" s="34" t="str">
        <f aca="false">IF(D573="","",IFERROR(INDEX(Categorias!$D$6:$D$45,MATCH(D573,Categorias!$B$6:$B$45,0))&amp;"",""))</f>
        <v/>
      </c>
      <c r="I573" s="35"/>
      <c r="J573" s="35"/>
      <c r="K573" s="35"/>
      <c r="L573" s="36" t="str">
        <f aca="false">IF(OR(H573="",COUNTIF(I573:K573,"S")+COUNTIF(I573:K573,"N")&lt;3),"",COUNTIF(I573:K573,"S")*IF(H573="S",5,IF(H573="M",4,IF(H573="E",3,2))))</f>
        <v/>
      </c>
      <c r="M573" s="37" t="str">
        <f aca="false">IF(L573="","",IF(L573&gt;=12,"Executar",IF(L573&gt;=8,"Executar com controle",IF(L573&gt;=5,"Postergar","Cancelar"))))</f>
        <v/>
      </c>
      <c r="O573" s="28" t="str">
        <f aca="false">IF(D573="","",IFERROR(INDEX(Categorias!$C$6:$C$45,MATCH(D573,Categorias!$B$6:$B$45,0)),"Sem grupo"))</f>
        <v/>
      </c>
      <c r="P573" s="38" t="str">
        <f aca="false">IF(B573="","",DATE(YEAR(B573),MONTH(B573),1))</f>
        <v/>
      </c>
    </row>
    <row r="574" customFormat="false" ht="15" hidden="false" customHeight="false" outlineLevel="0" collapsed="false">
      <c r="B574" s="33"/>
      <c r="C574" s="30"/>
      <c r="D574" s="30"/>
      <c r="E574" s="31"/>
      <c r="F574" s="30"/>
      <c r="G574" s="30"/>
      <c r="H574" s="34" t="str">
        <f aca="false">IF(D574="","",IFERROR(INDEX(Categorias!$D$6:$D$45,MATCH(D574,Categorias!$B$6:$B$45,0))&amp;"",""))</f>
        <v/>
      </c>
      <c r="I574" s="35"/>
      <c r="J574" s="35"/>
      <c r="K574" s="35"/>
      <c r="L574" s="36" t="str">
        <f aca="false">IF(OR(H574="",COUNTIF(I574:K574,"S")+COUNTIF(I574:K574,"N")&lt;3),"",COUNTIF(I574:K574,"S")*IF(H574="S",5,IF(H574="M",4,IF(H574="E",3,2))))</f>
        <v/>
      </c>
      <c r="M574" s="37" t="str">
        <f aca="false">IF(L574="","",IF(L574&gt;=12,"Executar",IF(L574&gt;=8,"Executar com controle",IF(L574&gt;=5,"Postergar","Cancelar"))))</f>
        <v/>
      </c>
      <c r="O574" s="28" t="str">
        <f aca="false">IF(D574="","",IFERROR(INDEX(Categorias!$C$6:$C$45,MATCH(D574,Categorias!$B$6:$B$45,0)),"Sem grupo"))</f>
        <v/>
      </c>
      <c r="P574" s="38" t="str">
        <f aca="false">IF(B574="","",DATE(YEAR(B574),MONTH(B574),1))</f>
        <v/>
      </c>
    </row>
    <row r="575" customFormat="false" ht="15" hidden="false" customHeight="false" outlineLevel="0" collapsed="false">
      <c r="B575" s="33"/>
      <c r="C575" s="30"/>
      <c r="D575" s="30"/>
      <c r="E575" s="31"/>
      <c r="F575" s="30"/>
      <c r="G575" s="30"/>
      <c r="H575" s="34" t="str">
        <f aca="false">IF(D575="","",IFERROR(INDEX(Categorias!$D$6:$D$45,MATCH(D575,Categorias!$B$6:$B$45,0))&amp;"",""))</f>
        <v/>
      </c>
      <c r="I575" s="35"/>
      <c r="J575" s="35"/>
      <c r="K575" s="35"/>
      <c r="L575" s="36" t="str">
        <f aca="false">IF(OR(H575="",COUNTIF(I575:K575,"S")+COUNTIF(I575:K575,"N")&lt;3),"",COUNTIF(I575:K575,"S")*IF(H575="S",5,IF(H575="M",4,IF(H575="E",3,2))))</f>
        <v/>
      </c>
      <c r="M575" s="37" t="str">
        <f aca="false">IF(L575="","",IF(L575&gt;=12,"Executar",IF(L575&gt;=8,"Executar com controle",IF(L575&gt;=5,"Postergar","Cancelar"))))</f>
        <v/>
      </c>
      <c r="O575" s="28" t="str">
        <f aca="false">IF(D575="","",IFERROR(INDEX(Categorias!$C$6:$C$45,MATCH(D575,Categorias!$B$6:$B$45,0)),"Sem grupo"))</f>
        <v/>
      </c>
      <c r="P575" s="38" t="str">
        <f aca="false">IF(B575="","",DATE(YEAR(B575),MONTH(B575),1))</f>
        <v/>
      </c>
    </row>
    <row r="576" customFormat="false" ht="15" hidden="false" customHeight="false" outlineLevel="0" collapsed="false">
      <c r="B576" s="33"/>
      <c r="C576" s="30"/>
      <c r="D576" s="30"/>
      <c r="E576" s="31"/>
      <c r="F576" s="30"/>
      <c r="G576" s="30"/>
      <c r="H576" s="34" t="str">
        <f aca="false">IF(D576="","",IFERROR(INDEX(Categorias!$D$6:$D$45,MATCH(D576,Categorias!$B$6:$B$45,0))&amp;"",""))</f>
        <v/>
      </c>
      <c r="I576" s="35"/>
      <c r="J576" s="35"/>
      <c r="K576" s="35"/>
      <c r="L576" s="36" t="str">
        <f aca="false">IF(OR(H576="",COUNTIF(I576:K576,"S")+COUNTIF(I576:K576,"N")&lt;3),"",COUNTIF(I576:K576,"S")*IF(H576="S",5,IF(H576="M",4,IF(H576="E",3,2))))</f>
        <v/>
      </c>
      <c r="M576" s="37" t="str">
        <f aca="false">IF(L576="","",IF(L576&gt;=12,"Executar",IF(L576&gt;=8,"Executar com controle",IF(L576&gt;=5,"Postergar","Cancelar"))))</f>
        <v/>
      </c>
      <c r="O576" s="28" t="str">
        <f aca="false">IF(D576="","",IFERROR(INDEX(Categorias!$C$6:$C$45,MATCH(D576,Categorias!$B$6:$B$45,0)),"Sem grupo"))</f>
        <v/>
      </c>
      <c r="P576" s="38" t="str">
        <f aca="false">IF(B576="","",DATE(YEAR(B576),MONTH(B576),1))</f>
        <v/>
      </c>
    </row>
    <row r="577" customFormat="false" ht="15" hidden="false" customHeight="false" outlineLevel="0" collapsed="false">
      <c r="B577" s="33"/>
      <c r="C577" s="30"/>
      <c r="D577" s="30"/>
      <c r="E577" s="31"/>
      <c r="F577" s="30"/>
      <c r="G577" s="30"/>
      <c r="H577" s="34" t="str">
        <f aca="false">IF(D577="","",IFERROR(INDEX(Categorias!$D$6:$D$45,MATCH(D577,Categorias!$B$6:$B$45,0))&amp;"",""))</f>
        <v/>
      </c>
      <c r="I577" s="35"/>
      <c r="J577" s="35"/>
      <c r="K577" s="35"/>
      <c r="L577" s="36" t="str">
        <f aca="false">IF(OR(H577="",COUNTIF(I577:K577,"S")+COUNTIF(I577:K577,"N")&lt;3),"",COUNTIF(I577:K577,"S")*IF(H577="S",5,IF(H577="M",4,IF(H577="E",3,2))))</f>
        <v/>
      </c>
      <c r="M577" s="37" t="str">
        <f aca="false">IF(L577="","",IF(L577&gt;=12,"Executar",IF(L577&gt;=8,"Executar com controle",IF(L577&gt;=5,"Postergar","Cancelar"))))</f>
        <v/>
      </c>
      <c r="O577" s="28" t="str">
        <f aca="false">IF(D577="","",IFERROR(INDEX(Categorias!$C$6:$C$45,MATCH(D577,Categorias!$B$6:$B$45,0)),"Sem grupo"))</f>
        <v/>
      </c>
      <c r="P577" s="38" t="str">
        <f aca="false">IF(B577="","",DATE(YEAR(B577),MONTH(B577),1))</f>
        <v/>
      </c>
    </row>
    <row r="578" customFormat="false" ht="15" hidden="false" customHeight="false" outlineLevel="0" collapsed="false">
      <c r="B578" s="33"/>
      <c r="C578" s="30"/>
      <c r="D578" s="30"/>
      <c r="E578" s="31"/>
      <c r="F578" s="30"/>
      <c r="G578" s="30"/>
      <c r="H578" s="34" t="str">
        <f aca="false">IF(D578="","",IFERROR(INDEX(Categorias!$D$6:$D$45,MATCH(D578,Categorias!$B$6:$B$45,0))&amp;"",""))</f>
        <v/>
      </c>
      <c r="I578" s="35"/>
      <c r="J578" s="35"/>
      <c r="K578" s="35"/>
      <c r="L578" s="36" t="str">
        <f aca="false">IF(OR(H578="",COUNTIF(I578:K578,"S")+COUNTIF(I578:K578,"N")&lt;3),"",COUNTIF(I578:K578,"S")*IF(H578="S",5,IF(H578="M",4,IF(H578="E",3,2))))</f>
        <v/>
      </c>
      <c r="M578" s="37" t="str">
        <f aca="false">IF(L578="","",IF(L578&gt;=12,"Executar",IF(L578&gt;=8,"Executar com controle",IF(L578&gt;=5,"Postergar","Cancelar"))))</f>
        <v/>
      </c>
      <c r="O578" s="28" t="str">
        <f aca="false">IF(D578="","",IFERROR(INDEX(Categorias!$C$6:$C$45,MATCH(D578,Categorias!$B$6:$B$45,0)),"Sem grupo"))</f>
        <v/>
      </c>
      <c r="P578" s="38" t="str">
        <f aca="false">IF(B578="","",DATE(YEAR(B578),MONTH(B578),1))</f>
        <v/>
      </c>
    </row>
    <row r="579" customFormat="false" ht="15" hidden="false" customHeight="false" outlineLevel="0" collapsed="false">
      <c r="B579" s="33"/>
      <c r="C579" s="30"/>
      <c r="D579" s="30"/>
      <c r="E579" s="31"/>
      <c r="F579" s="30"/>
      <c r="G579" s="30"/>
      <c r="H579" s="34" t="str">
        <f aca="false">IF(D579="","",IFERROR(INDEX(Categorias!$D$6:$D$45,MATCH(D579,Categorias!$B$6:$B$45,0))&amp;"",""))</f>
        <v/>
      </c>
      <c r="I579" s="35"/>
      <c r="J579" s="35"/>
      <c r="K579" s="35"/>
      <c r="L579" s="36" t="str">
        <f aca="false">IF(OR(H579="",COUNTIF(I579:K579,"S")+COUNTIF(I579:K579,"N")&lt;3),"",COUNTIF(I579:K579,"S")*IF(H579="S",5,IF(H579="M",4,IF(H579="E",3,2))))</f>
        <v/>
      </c>
      <c r="M579" s="37" t="str">
        <f aca="false">IF(L579="","",IF(L579&gt;=12,"Executar",IF(L579&gt;=8,"Executar com controle",IF(L579&gt;=5,"Postergar","Cancelar"))))</f>
        <v/>
      </c>
      <c r="O579" s="28" t="str">
        <f aca="false">IF(D579="","",IFERROR(INDEX(Categorias!$C$6:$C$45,MATCH(D579,Categorias!$B$6:$B$45,0)),"Sem grupo"))</f>
        <v/>
      </c>
      <c r="P579" s="38" t="str">
        <f aca="false">IF(B579="","",DATE(YEAR(B579),MONTH(B579),1))</f>
        <v/>
      </c>
    </row>
    <row r="580" customFormat="false" ht="15" hidden="false" customHeight="false" outlineLevel="0" collapsed="false">
      <c r="B580" s="33"/>
      <c r="C580" s="30"/>
      <c r="D580" s="30"/>
      <c r="E580" s="31"/>
      <c r="F580" s="30"/>
      <c r="G580" s="30"/>
      <c r="H580" s="34" t="str">
        <f aca="false">IF(D580="","",IFERROR(INDEX(Categorias!$D$6:$D$45,MATCH(D580,Categorias!$B$6:$B$45,0))&amp;"",""))</f>
        <v/>
      </c>
      <c r="I580" s="35"/>
      <c r="J580" s="35"/>
      <c r="K580" s="35"/>
      <c r="L580" s="36" t="str">
        <f aca="false">IF(OR(H580="",COUNTIF(I580:K580,"S")+COUNTIF(I580:K580,"N")&lt;3),"",COUNTIF(I580:K580,"S")*IF(H580="S",5,IF(H580="M",4,IF(H580="E",3,2))))</f>
        <v/>
      </c>
      <c r="M580" s="37" t="str">
        <f aca="false">IF(L580="","",IF(L580&gt;=12,"Executar",IF(L580&gt;=8,"Executar com controle",IF(L580&gt;=5,"Postergar","Cancelar"))))</f>
        <v/>
      </c>
      <c r="O580" s="28" t="str">
        <f aca="false">IF(D580="","",IFERROR(INDEX(Categorias!$C$6:$C$45,MATCH(D580,Categorias!$B$6:$B$45,0)),"Sem grupo"))</f>
        <v/>
      </c>
      <c r="P580" s="38" t="str">
        <f aca="false">IF(B580="","",DATE(YEAR(B580),MONTH(B580),1))</f>
        <v/>
      </c>
    </row>
    <row r="581" customFormat="false" ht="15" hidden="false" customHeight="false" outlineLevel="0" collapsed="false">
      <c r="B581" s="33"/>
      <c r="C581" s="30"/>
      <c r="D581" s="30"/>
      <c r="E581" s="31"/>
      <c r="F581" s="30"/>
      <c r="G581" s="30"/>
      <c r="H581" s="34" t="str">
        <f aca="false">IF(D581="","",IFERROR(INDEX(Categorias!$D$6:$D$45,MATCH(D581,Categorias!$B$6:$B$45,0))&amp;"",""))</f>
        <v/>
      </c>
      <c r="I581" s="35"/>
      <c r="J581" s="35"/>
      <c r="K581" s="35"/>
      <c r="L581" s="36" t="str">
        <f aca="false">IF(OR(H581="",COUNTIF(I581:K581,"S")+COUNTIF(I581:K581,"N")&lt;3),"",COUNTIF(I581:K581,"S")*IF(H581="S",5,IF(H581="M",4,IF(H581="E",3,2))))</f>
        <v/>
      </c>
      <c r="M581" s="37" t="str">
        <f aca="false">IF(L581="","",IF(L581&gt;=12,"Executar",IF(L581&gt;=8,"Executar com controle",IF(L581&gt;=5,"Postergar","Cancelar"))))</f>
        <v/>
      </c>
      <c r="O581" s="28" t="str">
        <f aca="false">IF(D581="","",IFERROR(INDEX(Categorias!$C$6:$C$45,MATCH(D581,Categorias!$B$6:$B$45,0)),"Sem grupo"))</f>
        <v/>
      </c>
      <c r="P581" s="38" t="str">
        <f aca="false">IF(B581="","",DATE(YEAR(B581),MONTH(B581),1))</f>
        <v/>
      </c>
    </row>
    <row r="582" customFormat="false" ht="15" hidden="false" customHeight="false" outlineLevel="0" collapsed="false">
      <c r="B582" s="33"/>
      <c r="C582" s="30"/>
      <c r="D582" s="30"/>
      <c r="E582" s="31"/>
      <c r="F582" s="30"/>
      <c r="G582" s="30"/>
      <c r="H582" s="34" t="str">
        <f aca="false">IF(D582="","",IFERROR(INDEX(Categorias!$D$6:$D$45,MATCH(D582,Categorias!$B$6:$B$45,0))&amp;"",""))</f>
        <v/>
      </c>
      <c r="I582" s="35"/>
      <c r="J582" s="35"/>
      <c r="K582" s="35"/>
      <c r="L582" s="36" t="str">
        <f aca="false">IF(OR(H582="",COUNTIF(I582:K582,"S")+COUNTIF(I582:K582,"N")&lt;3),"",COUNTIF(I582:K582,"S")*IF(H582="S",5,IF(H582="M",4,IF(H582="E",3,2))))</f>
        <v/>
      </c>
      <c r="M582" s="37" t="str">
        <f aca="false">IF(L582="","",IF(L582&gt;=12,"Executar",IF(L582&gt;=8,"Executar com controle",IF(L582&gt;=5,"Postergar","Cancelar"))))</f>
        <v/>
      </c>
      <c r="O582" s="28" t="str">
        <f aca="false">IF(D582="","",IFERROR(INDEX(Categorias!$C$6:$C$45,MATCH(D582,Categorias!$B$6:$B$45,0)),"Sem grupo"))</f>
        <v/>
      </c>
      <c r="P582" s="38" t="str">
        <f aca="false">IF(B582="","",DATE(YEAR(B582),MONTH(B582),1))</f>
        <v/>
      </c>
    </row>
    <row r="583" customFormat="false" ht="15" hidden="false" customHeight="false" outlineLevel="0" collapsed="false">
      <c r="B583" s="33"/>
      <c r="C583" s="30"/>
      <c r="D583" s="30"/>
      <c r="E583" s="31"/>
      <c r="F583" s="30"/>
      <c r="G583" s="30"/>
      <c r="H583" s="34" t="str">
        <f aca="false">IF(D583="","",IFERROR(INDEX(Categorias!$D$6:$D$45,MATCH(D583,Categorias!$B$6:$B$45,0))&amp;"",""))</f>
        <v/>
      </c>
      <c r="I583" s="35"/>
      <c r="J583" s="35"/>
      <c r="K583" s="35"/>
      <c r="L583" s="36" t="str">
        <f aca="false">IF(OR(H583="",COUNTIF(I583:K583,"S")+COUNTIF(I583:K583,"N")&lt;3),"",COUNTIF(I583:K583,"S")*IF(H583="S",5,IF(H583="M",4,IF(H583="E",3,2))))</f>
        <v/>
      </c>
      <c r="M583" s="37" t="str">
        <f aca="false">IF(L583="","",IF(L583&gt;=12,"Executar",IF(L583&gt;=8,"Executar com controle",IF(L583&gt;=5,"Postergar","Cancelar"))))</f>
        <v/>
      </c>
      <c r="O583" s="28" t="str">
        <f aca="false">IF(D583="","",IFERROR(INDEX(Categorias!$C$6:$C$45,MATCH(D583,Categorias!$B$6:$B$45,0)),"Sem grupo"))</f>
        <v/>
      </c>
      <c r="P583" s="38" t="str">
        <f aca="false">IF(B583="","",DATE(YEAR(B583),MONTH(B583),1))</f>
        <v/>
      </c>
    </row>
    <row r="584" customFormat="false" ht="15" hidden="false" customHeight="false" outlineLevel="0" collapsed="false">
      <c r="B584" s="33"/>
      <c r="C584" s="30"/>
      <c r="D584" s="30"/>
      <c r="E584" s="31"/>
      <c r="F584" s="30"/>
      <c r="G584" s="30"/>
      <c r="H584" s="34" t="str">
        <f aca="false">IF(D584="","",IFERROR(INDEX(Categorias!$D$6:$D$45,MATCH(D584,Categorias!$B$6:$B$45,0))&amp;"",""))</f>
        <v/>
      </c>
      <c r="I584" s="35"/>
      <c r="J584" s="35"/>
      <c r="K584" s="35"/>
      <c r="L584" s="36" t="str">
        <f aca="false">IF(OR(H584="",COUNTIF(I584:K584,"S")+COUNTIF(I584:K584,"N")&lt;3),"",COUNTIF(I584:K584,"S")*IF(H584="S",5,IF(H584="M",4,IF(H584="E",3,2))))</f>
        <v/>
      </c>
      <c r="M584" s="37" t="str">
        <f aca="false">IF(L584="","",IF(L584&gt;=12,"Executar",IF(L584&gt;=8,"Executar com controle",IF(L584&gt;=5,"Postergar","Cancelar"))))</f>
        <v/>
      </c>
      <c r="O584" s="28" t="str">
        <f aca="false">IF(D584="","",IFERROR(INDEX(Categorias!$C$6:$C$45,MATCH(D584,Categorias!$B$6:$B$45,0)),"Sem grupo"))</f>
        <v/>
      </c>
      <c r="P584" s="38" t="str">
        <f aca="false">IF(B584="","",DATE(YEAR(B584),MONTH(B584),1))</f>
        <v/>
      </c>
    </row>
    <row r="585" customFormat="false" ht="15" hidden="false" customHeight="false" outlineLevel="0" collapsed="false">
      <c r="B585" s="33"/>
      <c r="C585" s="30"/>
      <c r="D585" s="30"/>
      <c r="E585" s="31"/>
      <c r="F585" s="30"/>
      <c r="G585" s="30"/>
      <c r="H585" s="34" t="str">
        <f aca="false">IF(D585="","",IFERROR(INDEX(Categorias!$D$6:$D$45,MATCH(D585,Categorias!$B$6:$B$45,0))&amp;"",""))</f>
        <v/>
      </c>
      <c r="I585" s="35"/>
      <c r="J585" s="35"/>
      <c r="K585" s="35"/>
      <c r="L585" s="36" t="str">
        <f aca="false">IF(OR(H585="",COUNTIF(I585:K585,"S")+COUNTIF(I585:K585,"N")&lt;3),"",COUNTIF(I585:K585,"S")*IF(H585="S",5,IF(H585="M",4,IF(H585="E",3,2))))</f>
        <v/>
      </c>
      <c r="M585" s="37" t="str">
        <f aca="false">IF(L585="","",IF(L585&gt;=12,"Executar",IF(L585&gt;=8,"Executar com controle",IF(L585&gt;=5,"Postergar","Cancelar"))))</f>
        <v/>
      </c>
      <c r="O585" s="28" t="str">
        <f aca="false">IF(D585="","",IFERROR(INDEX(Categorias!$C$6:$C$45,MATCH(D585,Categorias!$B$6:$B$45,0)),"Sem grupo"))</f>
        <v/>
      </c>
      <c r="P585" s="38" t="str">
        <f aca="false">IF(B585="","",DATE(YEAR(B585),MONTH(B585),1))</f>
        <v/>
      </c>
    </row>
    <row r="586" customFormat="false" ht="15" hidden="false" customHeight="false" outlineLevel="0" collapsed="false">
      <c r="B586" s="33"/>
      <c r="C586" s="30"/>
      <c r="D586" s="30"/>
      <c r="E586" s="31"/>
      <c r="F586" s="30"/>
      <c r="G586" s="30"/>
      <c r="H586" s="34" t="str">
        <f aca="false">IF(D586="","",IFERROR(INDEX(Categorias!$D$6:$D$45,MATCH(D586,Categorias!$B$6:$B$45,0))&amp;"",""))</f>
        <v/>
      </c>
      <c r="I586" s="35"/>
      <c r="J586" s="35"/>
      <c r="K586" s="35"/>
      <c r="L586" s="36" t="str">
        <f aca="false">IF(OR(H586="",COUNTIF(I586:K586,"S")+COUNTIF(I586:K586,"N")&lt;3),"",COUNTIF(I586:K586,"S")*IF(H586="S",5,IF(H586="M",4,IF(H586="E",3,2))))</f>
        <v/>
      </c>
      <c r="M586" s="37" t="str">
        <f aca="false">IF(L586="","",IF(L586&gt;=12,"Executar",IF(L586&gt;=8,"Executar com controle",IF(L586&gt;=5,"Postergar","Cancelar"))))</f>
        <v/>
      </c>
      <c r="O586" s="28" t="str">
        <f aca="false">IF(D586="","",IFERROR(INDEX(Categorias!$C$6:$C$45,MATCH(D586,Categorias!$B$6:$B$45,0)),"Sem grupo"))</f>
        <v/>
      </c>
      <c r="P586" s="38" t="str">
        <f aca="false">IF(B586="","",DATE(YEAR(B586),MONTH(B586),1))</f>
        <v/>
      </c>
    </row>
    <row r="587" customFormat="false" ht="15" hidden="false" customHeight="false" outlineLevel="0" collapsed="false">
      <c r="B587" s="33"/>
      <c r="C587" s="30"/>
      <c r="D587" s="30"/>
      <c r="E587" s="31"/>
      <c r="F587" s="30"/>
      <c r="G587" s="30"/>
      <c r="H587" s="34" t="str">
        <f aca="false">IF(D587="","",IFERROR(INDEX(Categorias!$D$6:$D$45,MATCH(D587,Categorias!$B$6:$B$45,0))&amp;"",""))</f>
        <v/>
      </c>
      <c r="I587" s="35"/>
      <c r="J587" s="35"/>
      <c r="K587" s="35"/>
      <c r="L587" s="36" t="str">
        <f aca="false">IF(OR(H587="",COUNTIF(I587:K587,"S")+COUNTIF(I587:K587,"N")&lt;3),"",COUNTIF(I587:K587,"S")*IF(H587="S",5,IF(H587="M",4,IF(H587="E",3,2))))</f>
        <v/>
      </c>
      <c r="M587" s="37" t="str">
        <f aca="false">IF(L587="","",IF(L587&gt;=12,"Executar",IF(L587&gt;=8,"Executar com controle",IF(L587&gt;=5,"Postergar","Cancelar"))))</f>
        <v/>
      </c>
      <c r="O587" s="28" t="str">
        <f aca="false">IF(D587="","",IFERROR(INDEX(Categorias!$C$6:$C$45,MATCH(D587,Categorias!$B$6:$B$45,0)),"Sem grupo"))</f>
        <v/>
      </c>
      <c r="P587" s="38" t="str">
        <f aca="false">IF(B587="","",DATE(YEAR(B587),MONTH(B587),1))</f>
        <v/>
      </c>
    </row>
    <row r="588" customFormat="false" ht="15" hidden="false" customHeight="false" outlineLevel="0" collapsed="false">
      <c r="B588" s="33"/>
      <c r="C588" s="30"/>
      <c r="D588" s="30"/>
      <c r="E588" s="31"/>
      <c r="F588" s="30"/>
      <c r="G588" s="30"/>
      <c r="H588" s="34" t="str">
        <f aca="false">IF(D588="","",IFERROR(INDEX(Categorias!$D$6:$D$45,MATCH(D588,Categorias!$B$6:$B$45,0))&amp;"",""))</f>
        <v/>
      </c>
      <c r="I588" s="35"/>
      <c r="J588" s="35"/>
      <c r="K588" s="35"/>
      <c r="L588" s="36" t="str">
        <f aca="false">IF(OR(H588="",COUNTIF(I588:K588,"S")+COUNTIF(I588:K588,"N")&lt;3),"",COUNTIF(I588:K588,"S")*IF(H588="S",5,IF(H588="M",4,IF(H588="E",3,2))))</f>
        <v/>
      </c>
      <c r="M588" s="37" t="str">
        <f aca="false">IF(L588="","",IF(L588&gt;=12,"Executar",IF(L588&gt;=8,"Executar com controle",IF(L588&gt;=5,"Postergar","Cancelar"))))</f>
        <v/>
      </c>
      <c r="O588" s="28" t="str">
        <f aca="false">IF(D588="","",IFERROR(INDEX(Categorias!$C$6:$C$45,MATCH(D588,Categorias!$B$6:$B$45,0)),"Sem grupo"))</f>
        <v/>
      </c>
      <c r="P588" s="38" t="str">
        <f aca="false">IF(B588="","",DATE(YEAR(B588),MONTH(B588),1))</f>
        <v/>
      </c>
    </row>
    <row r="589" customFormat="false" ht="15" hidden="false" customHeight="false" outlineLevel="0" collapsed="false">
      <c r="B589" s="33"/>
      <c r="C589" s="30"/>
      <c r="D589" s="30"/>
      <c r="E589" s="31"/>
      <c r="F589" s="30"/>
      <c r="G589" s="30"/>
      <c r="H589" s="34" t="str">
        <f aca="false">IF(D589="","",IFERROR(INDEX(Categorias!$D$6:$D$45,MATCH(D589,Categorias!$B$6:$B$45,0))&amp;"",""))</f>
        <v/>
      </c>
      <c r="I589" s="35"/>
      <c r="J589" s="35"/>
      <c r="K589" s="35"/>
      <c r="L589" s="36" t="str">
        <f aca="false">IF(OR(H589="",COUNTIF(I589:K589,"S")+COUNTIF(I589:K589,"N")&lt;3),"",COUNTIF(I589:K589,"S")*IF(H589="S",5,IF(H589="M",4,IF(H589="E",3,2))))</f>
        <v/>
      </c>
      <c r="M589" s="37" t="str">
        <f aca="false">IF(L589="","",IF(L589&gt;=12,"Executar",IF(L589&gt;=8,"Executar com controle",IF(L589&gt;=5,"Postergar","Cancelar"))))</f>
        <v/>
      </c>
      <c r="O589" s="28" t="str">
        <f aca="false">IF(D589="","",IFERROR(INDEX(Categorias!$C$6:$C$45,MATCH(D589,Categorias!$B$6:$B$45,0)),"Sem grupo"))</f>
        <v/>
      </c>
      <c r="P589" s="38" t="str">
        <f aca="false">IF(B589="","",DATE(YEAR(B589),MONTH(B589),1))</f>
        <v/>
      </c>
    </row>
    <row r="590" customFormat="false" ht="15" hidden="false" customHeight="false" outlineLevel="0" collapsed="false">
      <c r="B590" s="33"/>
      <c r="C590" s="30"/>
      <c r="D590" s="30"/>
      <c r="E590" s="31"/>
      <c r="F590" s="30"/>
      <c r="G590" s="30"/>
      <c r="H590" s="34" t="str">
        <f aca="false">IF(D590="","",IFERROR(INDEX(Categorias!$D$6:$D$45,MATCH(D590,Categorias!$B$6:$B$45,0))&amp;"",""))</f>
        <v/>
      </c>
      <c r="I590" s="35"/>
      <c r="J590" s="35"/>
      <c r="K590" s="35"/>
      <c r="L590" s="36" t="str">
        <f aca="false">IF(OR(H590="",COUNTIF(I590:K590,"S")+COUNTIF(I590:K590,"N")&lt;3),"",COUNTIF(I590:K590,"S")*IF(H590="S",5,IF(H590="M",4,IF(H590="E",3,2))))</f>
        <v/>
      </c>
      <c r="M590" s="37" t="str">
        <f aca="false">IF(L590="","",IF(L590&gt;=12,"Executar",IF(L590&gt;=8,"Executar com controle",IF(L590&gt;=5,"Postergar","Cancelar"))))</f>
        <v/>
      </c>
      <c r="O590" s="28" t="str">
        <f aca="false">IF(D590="","",IFERROR(INDEX(Categorias!$C$6:$C$45,MATCH(D590,Categorias!$B$6:$B$45,0)),"Sem grupo"))</f>
        <v/>
      </c>
      <c r="P590" s="38" t="str">
        <f aca="false">IF(B590="","",DATE(YEAR(B590),MONTH(B590),1))</f>
        <v/>
      </c>
    </row>
    <row r="591" customFormat="false" ht="15" hidden="false" customHeight="false" outlineLevel="0" collapsed="false">
      <c r="B591" s="33"/>
      <c r="C591" s="30"/>
      <c r="D591" s="30"/>
      <c r="E591" s="31"/>
      <c r="F591" s="30"/>
      <c r="G591" s="30"/>
      <c r="H591" s="34" t="str">
        <f aca="false">IF(D591="","",IFERROR(INDEX(Categorias!$D$6:$D$45,MATCH(D591,Categorias!$B$6:$B$45,0))&amp;"",""))</f>
        <v/>
      </c>
      <c r="I591" s="35"/>
      <c r="J591" s="35"/>
      <c r="K591" s="35"/>
      <c r="L591" s="36" t="str">
        <f aca="false">IF(OR(H591="",COUNTIF(I591:K591,"S")+COUNTIF(I591:K591,"N")&lt;3),"",COUNTIF(I591:K591,"S")*IF(H591="S",5,IF(H591="M",4,IF(H591="E",3,2))))</f>
        <v/>
      </c>
      <c r="M591" s="37" t="str">
        <f aca="false">IF(L591="","",IF(L591&gt;=12,"Executar",IF(L591&gt;=8,"Executar com controle",IF(L591&gt;=5,"Postergar","Cancelar"))))</f>
        <v/>
      </c>
      <c r="O591" s="28" t="str">
        <f aca="false">IF(D591="","",IFERROR(INDEX(Categorias!$C$6:$C$45,MATCH(D591,Categorias!$B$6:$B$45,0)),"Sem grupo"))</f>
        <v/>
      </c>
      <c r="P591" s="38" t="str">
        <f aca="false">IF(B591="","",DATE(YEAR(B591),MONTH(B591),1))</f>
        <v/>
      </c>
    </row>
    <row r="592" customFormat="false" ht="15" hidden="false" customHeight="false" outlineLevel="0" collapsed="false">
      <c r="B592" s="33"/>
      <c r="C592" s="30"/>
      <c r="D592" s="30"/>
      <c r="E592" s="31"/>
      <c r="F592" s="30"/>
      <c r="G592" s="30"/>
      <c r="H592" s="34" t="str">
        <f aca="false">IF(D592="","",IFERROR(INDEX(Categorias!$D$6:$D$45,MATCH(D592,Categorias!$B$6:$B$45,0))&amp;"",""))</f>
        <v/>
      </c>
      <c r="I592" s="35"/>
      <c r="J592" s="35"/>
      <c r="K592" s="35"/>
      <c r="L592" s="36" t="str">
        <f aca="false">IF(OR(H592="",COUNTIF(I592:K592,"S")+COUNTIF(I592:K592,"N")&lt;3),"",COUNTIF(I592:K592,"S")*IF(H592="S",5,IF(H592="M",4,IF(H592="E",3,2))))</f>
        <v/>
      </c>
      <c r="M592" s="37" t="str">
        <f aca="false">IF(L592="","",IF(L592&gt;=12,"Executar",IF(L592&gt;=8,"Executar com controle",IF(L592&gt;=5,"Postergar","Cancelar"))))</f>
        <v/>
      </c>
      <c r="O592" s="28" t="str">
        <f aca="false">IF(D592="","",IFERROR(INDEX(Categorias!$C$6:$C$45,MATCH(D592,Categorias!$B$6:$B$45,0)),"Sem grupo"))</f>
        <v/>
      </c>
      <c r="P592" s="38" t="str">
        <f aca="false">IF(B592="","",DATE(YEAR(B592),MONTH(B592),1))</f>
        <v/>
      </c>
    </row>
    <row r="593" customFormat="false" ht="15" hidden="false" customHeight="false" outlineLevel="0" collapsed="false">
      <c r="B593" s="33"/>
      <c r="C593" s="30"/>
      <c r="D593" s="30"/>
      <c r="E593" s="31"/>
      <c r="F593" s="30"/>
      <c r="G593" s="30"/>
      <c r="H593" s="34" t="str">
        <f aca="false">IF(D593="","",IFERROR(INDEX(Categorias!$D$6:$D$45,MATCH(D593,Categorias!$B$6:$B$45,0))&amp;"",""))</f>
        <v/>
      </c>
      <c r="I593" s="35"/>
      <c r="J593" s="35"/>
      <c r="K593" s="35"/>
      <c r="L593" s="36" t="str">
        <f aca="false">IF(OR(H593="",COUNTIF(I593:K593,"S")+COUNTIF(I593:K593,"N")&lt;3),"",COUNTIF(I593:K593,"S")*IF(H593="S",5,IF(H593="M",4,IF(H593="E",3,2))))</f>
        <v/>
      </c>
      <c r="M593" s="37" t="str">
        <f aca="false">IF(L593="","",IF(L593&gt;=12,"Executar",IF(L593&gt;=8,"Executar com controle",IF(L593&gt;=5,"Postergar","Cancelar"))))</f>
        <v/>
      </c>
      <c r="O593" s="28" t="str">
        <f aca="false">IF(D593="","",IFERROR(INDEX(Categorias!$C$6:$C$45,MATCH(D593,Categorias!$B$6:$B$45,0)),"Sem grupo"))</f>
        <v/>
      </c>
      <c r="P593" s="38" t="str">
        <f aca="false">IF(B593="","",DATE(YEAR(B593),MONTH(B593),1))</f>
        <v/>
      </c>
    </row>
    <row r="594" customFormat="false" ht="15" hidden="false" customHeight="false" outlineLevel="0" collapsed="false">
      <c r="B594" s="33"/>
      <c r="C594" s="30"/>
      <c r="D594" s="30"/>
      <c r="E594" s="31"/>
      <c r="F594" s="30"/>
      <c r="G594" s="30"/>
      <c r="H594" s="34" t="str">
        <f aca="false">IF(D594="","",IFERROR(INDEX(Categorias!$D$6:$D$45,MATCH(D594,Categorias!$B$6:$B$45,0))&amp;"",""))</f>
        <v/>
      </c>
      <c r="I594" s="35"/>
      <c r="J594" s="35"/>
      <c r="K594" s="35"/>
      <c r="L594" s="36" t="str">
        <f aca="false">IF(OR(H594="",COUNTIF(I594:K594,"S")+COUNTIF(I594:K594,"N")&lt;3),"",COUNTIF(I594:K594,"S")*IF(H594="S",5,IF(H594="M",4,IF(H594="E",3,2))))</f>
        <v/>
      </c>
      <c r="M594" s="37" t="str">
        <f aca="false">IF(L594="","",IF(L594&gt;=12,"Executar",IF(L594&gt;=8,"Executar com controle",IF(L594&gt;=5,"Postergar","Cancelar"))))</f>
        <v/>
      </c>
      <c r="O594" s="28" t="str">
        <f aca="false">IF(D594="","",IFERROR(INDEX(Categorias!$C$6:$C$45,MATCH(D594,Categorias!$B$6:$B$45,0)),"Sem grupo"))</f>
        <v/>
      </c>
      <c r="P594" s="38" t="str">
        <f aca="false">IF(B594="","",DATE(YEAR(B594),MONTH(B594),1))</f>
        <v/>
      </c>
    </row>
    <row r="595" customFormat="false" ht="15" hidden="false" customHeight="false" outlineLevel="0" collapsed="false">
      <c r="B595" s="33"/>
      <c r="C595" s="30"/>
      <c r="D595" s="30"/>
      <c r="E595" s="31"/>
      <c r="F595" s="30"/>
      <c r="G595" s="30"/>
      <c r="H595" s="34" t="str">
        <f aca="false">IF(D595="","",IFERROR(INDEX(Categorias!$D$6:$D$45,MATCH(D595,Categorias!$B$6:$B$45,0))&amp;"",""))</f>
        <v/>
      </c>
      <c r="I595" s="35"/>
      <c r="J595" s="35"/>
      <c r="K595" s="35"/>
      <c r="L595" s="36" t="str">
        <f aca="false">IF(OR(H595="",COUNTIF(I595:K595,"S")+COUNTIF(I595:K595,"N")&lt;3),"",COUNTIF(I595:K595,"S")*IF(H595="S",5,IF(H595="M",4,IF(H595="E",3,2))))</f>
        <v/>
      </c>
      <c r="M595" s="37" t="str">
        <f aca="false">IF(L595="","",IF(L595&gt;=12,"Executar",IF(L595&gt;=8,"Executar com controle",IF(L595&gt;=5,"Postergar","Cancelar"))))</f>
        <v/>
      </c>
      <c r="O595" s="28" t="str">
        <f aca="false">IF(D595="","",IFERROR(INDEX(Categorias!$C$6:$C$45,MATCH(D595,Categorias!$B$6:$B$45,0)),"Sem grupo"))</f>
        <v/>
      </c>
      <c r="P595" s="38" t="str">
        <f aca="false">IF(B595="","",DATE(YEAR(B595),MONTH(B595),1))</f>
        <v/>
      </c>
    </row>
    <row r="596" customFormat="false" ht="15" hidden="false" customHeight="false" outlineLevel="0" collapsed="false">
      <c r="B596" s="33"/>
      <c r="C596" s="30"/>
      <c r="D596" s="30"/>
      <c r="E596" s="31"/>
      <c r="F596" s="30"/>
      <c r="G596" s="30"/>
      <c r="H596" s="34" t="str">
        <f aca="false">IF(D596="","",IFERROR(INDEX(Categorias!$D$6:$D$45,MATCH(D596,Categorias!$B$6:$B$45,0))&amp;"",""))</f>
        <v/>
      </c>
      <c r="I596" s="35"/>
      <c r="J596" s="35"/>
      <c r="K596" s="35"/>
      <c r="L596" s="36" t="str">
        <f aca="false">IF(OR(H596="",COUNTIF(I596:K596,"S")+COUNTIF(I596:K596,"N")&lt;3),"",COUNTIF(I596:K596,"S")*IF(H596="S",5,IF(H596="M",4,IF(H596="E",3,2))))</f>
        <v/>
      </c>
      <c r="M596" s="37" t="str">
        <f aca="false">IF(L596="","",IF(L596&gt;=12,"Executar",IF(L596&gt;=8,"Executar com controle",IF(L596&gt;=5,"Postergar","Cancelar"))))</f>
        <v/>
      </c>
      <c r="O596" s="28" t="str">
        <f aca="false">IF(D596="","",IFERROR(INDEX(Categorias!$C$6:$C$45,MATCH(D596,Categorias!$B$6:$B$45,0)),"Sem grupo"))</f>
        <v/>
      </c>
      <c r="P596" s="38" t="str">
        <f aca="false">IF(B596="","",DATE(YEAR(B596),MONTH(B596),1))</f>
        <v/>
      </c>
    </row>
    <row r="597" customFormat="false" ht="15" hidden="false" customHeight="false" outlineLevel="0" collapsed="false">
      <c r="B597" s="33"/>
      <c r="C597" s="30"/>
      <c r="D597" s="30"/>
      <c r="E597" s="31"/>
      <c r="F597" s="30"/>
      <c r="G597" s="30"/>
      <c r="H597" s="34" t="str">
        <f aca="false">IF(D597="","",IFERROR(INDEX(Categorias!$D$6:$D$45,MATCH(D597,Categorias!$B$6:$B$45,0))&amp;"",""))</f>
        <v/>
      </c>
      <c r="I597" s="35"/>
      <c r="J597" s="35"/>
      <c r="K597" s="35"/>
      <c r="L597" s="36" t="str">
        <f aca="false">IF(OR(H597="",COUNTIF(I597:K597,"S")+COUNTIF(I597:K597,"N")&lt;3),"",COUNTIF(I597:K597,"S")*IF(H597="S",5,IF(H597="M",4,IF(H597="E",3,2))))</f>
        <v/>
      </c>
      <c r="M597" s="37" t="str">
        <f aca="false">IF(L597="","",IF(L597&gt;=12,"Executar",IF(L597&gt;=8,"Executar com controle",IF(L597&gt;=5,"Postergar","Cancelar"))))</f>
        <v/>
      </c>
      <c r="O597" s="28" t="str">
        <f aca="false">IF(D597="","",IFERROR(INDEX(Categorias!$C$6:$C$45,MATCH(D597,Categorias!$B$6:$B$45,0)),"Sem grupo"))</f>
        <v/>
      </c>
      <c r="P597" s="38" t="str">
        <f aca="false">IF(B597="","",DATE(YEAR(B597),MONTH(B597),1))</f>
        <v/>
      </c>
    </row>
    <row r="598" customFormat="false" ht="15" hidden="false" customHeight="false" outlineLevel="0" collapsed="false">
      <c r="B598" s="33"/>
      <c r="C598" s="30"/>
      <c r="D598" s="30"/>
      <c r="E598" s="31"/>
      <c r="F598" s="30"/>
      <c r="G598" s="30"/>
      <c r="H598" s="34" t="str">
        <f aca="false">IF(D598="","",IFERROR(INDEX(Categorias!$D$6:$D$45,MATCH(D598,Categorias!$B$6:$B$45,0))&amp;"",""))</f>
        <v/>
      </c>
      <c r="I598" s="35"/>
      <c r="J598" s="35"/>
      <c r="K598" s="35"/>
      <c r="L598" s="36" t="str">
        <f aca="false">IF(OR(H598="",COUNTIF(I598:K598,"S")+COUNTIF(I598:K598,"N")&lt;3),"",COUNTIF(I598:K598,"S")*IF(H598="S",5,IF(H598="M",4,IF(H598="E",3,2))))</f>
        <v/>
      </c>
      <c r="M598" s="37" t="str">
        <f aca="false">IF(L598="","",IF(L598&gt;=12,"Executar",IF(L598&gt;=8,"Executar com controle",IF(L598&gt;=5,"Postergar","Cancelar"))))</f>
        <v/>
      </c>
      <c r="O598" s="28" t="str">
        <f aca="false">IF(D598="","",IFERROR(INDEX(Categorias!$C$6:$C$45,MATCH(D598,Categorias!$B$6:$B$45,0)),"Sem grupo"))</f>
        <v/>
      </c>
      <c r="P598" s="38" t="str">
        <f aca="false">IF(B598="","",DATE(YEAR(B598),MONTH(B598),1))</f>
        <v/>
      </c>
    </row>
    <row r="599" customFormat="false" ht="15" hidden="false" customHeight="false" outlineLevel="0" collapsed="false">
      <c r="B599" s="33"/>
      <c r="C599" s="30"/>
      <c r="D599" s="30"/>
      <c r="E599" s="31"/>
      <c r="F599" s="30"/>
      <c r="G599" s="30"/>
      <c r="H599" s="34" t="str">
        <f aca="false">IF(D599="","",IFERROR(INDEX(Categorias!$D$6:$D$45,MATCH(D599,Categorias!$B$6:$B$45,0))&amp;"",""))</f>
        <v/>
      </c>
      <c r="I599" s="35"/>
      <c r="J599" s="35"/>
      <c r="K599" s="35"/>
      <c r="L599" s="36" t="str">
        <f aca="false">IF(OR(H599="",COUNTIF(I599:K599,"S")+COUNTIF(I599:K599,"N")&lt;3),"",COUNTIF(I599:K599,"S")*IF(H599="S",5,IF(H599="M",4,IF(H599="E",3,2))))</f>
        <v/>
      </c>
      <c r="M599" s="37" t="str">
        <f aca="false">IF(L599="","",IF(L599&gt;=12,"Executar",IF(L599&gt;=8,"Executar com controle",IF(L599&gt;=5,"Postergar","Cancelar"))))</f>
        <v/>
      </c>
      <c r="O599" s="28" t="str">
        <f aca="false">IF(D599="","",IFERROR(INDEX(Categorias!$C$6:$C$45,MATCH(D599,Categorias!$B$6:$B$45,0)),"Sem grupo"))</f>
        <v/>
      </c>
      <c r="P599" s="38" t="str">
        <f aca="false">IF(B599="","",DATE(YEAR(B599),MONTH(B599),1))</f>
        <v/>
      </c>
    </row>
    <row r="600" customFormat="false" ht="15" hidden="false" customHeight="false" outlineLevel="0" collapsed="false">
      <c r="B600" s="33"/>
      <c r="C600" s="30"/>
      <c r="D600" s="30"/>
      <c r="E600" s="31"/>
      <c r="F600" s="30"/>
      <c r="G600" s="30"/>
      <c r="H600" s="34" t="str">
        <f aca="false">IF(D600="","",IFERROR(INDEX(Categorias!$D$6:$D$45,MATCH(D600,Categorias!$B$6:$B$45,0))&amp;"",""))</f>
        <v/>
      </c>
      <c r="I600" s="35"/>
      <c r="J600" s="35"/>
      <c r="K600" s="35"/>
      <c r="L600" s="36" t="str">
        <f aca="false">IF(OR(H600="",COUNTIF(I600:K600,"S")+COUNTIF(I600:K600,"N")&lt;3),"",COUNTIF(I600:K600,"S")*IF(H600="S",5,IF(H600="M",4,IF(H600="E",3,2))))</f>
        <v/>
      </c>
      <c r="M600" s="37" t="str">
        <f aca="false">IF(L600="","",IF(L600&gt;=12,"Executar",IF(L600&gt;=8,"Executar com controle",IF(L600&gt;=5,"Postergar","Cancelar"))))</f>
        <v/>
      </c>
      <c r="O600" s="28" t="str">
        <f aca="false">IF(D600="","",IFERROR(INDEX(Categorias!$C$6:$C$45,MATCH(D600,Categorias!$B$6:$B$45,0)),"Sem grupo"))</f>
        <v/>
      </c>
      <c r="P600" s="38" t="str">
        <f aca="false">IF(B600="","",DATE(YEAR(B600),MONTH(B600),1))</f>
        <v/>
      </c>
    </row>
    <row r="601" customFormat="false" ht="15" hidden="false" customHeight="false" outlineLevel="0" collapsed="false">
      <c r="B601" s="33"/>
      <c r="C601" s="30"/>
      <c r="D601" s="30"/>
      <c r="E601" s="31"/>
      <c r="F601" s="30"/>
      <c r="G601" s="30"/>
      <c r="H601" s="34" t="str">
        <f aca="false">IF(D601="","",IFERROR(INDEX(Categorias!$D$6:$D$45,MATCH(D601,Categorias!$B$6:$B$45,0))&amp;"",""))</f>
        <v/>
      </c>
      <c r="I601" s="35"/>
      <c r="J601" s="35"/>
      <c r="K601" s="35"/>
      <c r="L601" s="36" t="str">
        <f aca="false">IF(OR(H601="",COUNTIF(I601:K601,"S")+COUNTIF(I601:K601,"N")&lt;3),"",COUNTIF(I601:K601,"S")*IF(H601="S",5,IF(H601="M",4,IF(H601="E",3,2))))</f>
        <v/>
      </c>
      <c r="M601" s="37" t="str">
        <f aca="false">IF(L601="","",IF(L601&gt;=12,"Executar",IF(L601&gt;=8,"Executar com controle",IF(L601&gt;=5,"Postergar","Cancelar"))))</f>
        <v/>
      </c>
      <c r="O601" s="28" t="str">
        <f aca="false">IF(D601="","",IFERROR(INDEX(Categorias!$C$6:$C$45,MATCH(D601,Categorias!$B$6:$B$45,0)),"Sem grupo"))</f>
        <v/>
      </c>
      <c r="P601" s="38" t="str">
        <f aca="false">IF(B601="","",DATE(YEAR(B601),MONTH(B601),1))</f>
        <v/>
      </c>
    </row>
    <row r="602" customFormat="false" ht="15" hidden="false" customHeight="false" outlineLevel="0" collapsed="false">
      <c r="B602" s="33"/>
      <c r="C602" s="30"/>
      <c r="D602" s="30"/>
      <c r="E602" s="31"/>
      <c r="F602" s="30"/>
      <c r="G602" s="30"/>
      <c r="H602" s="34" t="str">
        <f aca="false">IF(D602="","",IFERROR(INDEX(Categorias!$D$6:$D$45,MATCH(D602,Categorias!$B$6:$B$45,0))&amp;"",""))</f>
        <v/>
      </c>
      <c r="I602" s="35"/>
      <c r="J602" s="35"/>
      <c r="K602" s="35"/>
      <c r="L602" s="36" t="str">
        <f aca="false">IF(OR(H602="",COUNTIF(I602:K602,"S")+COUNTIF(I602:K602,"N")&lt;3),"",COUNTIF(I602:K602,"S")*IF(H602="S",5,IF(H602="M",4,IF(H602="E",3,2))))</f>
        <v/>
      </c>
      <c r="M602" s="37" t="str">
        <f aca="false">IF(L602="","",IF(L602&gt;=12,"Executar",IF(L602&gt;=8,"Executar com controle",IF(L602&gt;=5,"Postergar","Cancelar"))))</f>
        <v/>
      </c>
      <c r="O602" s="28" t="str">
        <f aca="false">IF(D602="","",IFERROR(INDEX(Categorias!$C$6:$C$45,MATCH(D602,Categorias!$B$6:$B$45,0)),"Sem grupo"))</f>
        <v/>
      </c>
      <c r="P602" s="38" t="str">
        <f aca="false">IF(B602="","",DATE(YEAR(B602),MONTH(B602),1))</f>
        <v/>
      </c>
    </row>
    <row r="603" customFormat="false" ht="15" hidden="false" customHeight="false" outlineLevel="0" collapsed="false">
      <c r="B603" s="33"/>
      <c r="C603" s="30"/>
      <c r="D603" s="30"/>
      <c r="E603" s="31"/>
      <c r="F603" s="30"/>
      <c r="G603" s="30"/>
      <c r="H603" s="34" t="str">
        <f aca="false">IF(D603="","",IFERROR(INDEX(Categorias!$D$6:$D$45,MATCH(D603,Categorias!$B$6:$B$45,0))&amp;"",""))</f>
        <v/>
      </c>
      <c r="I603" s="35"/>
      <c r="J603" s="35"/>
      <c r="K603" s="35"/>
      <c r="L603" s="36" t="str">
        <f aca="false">IF(OR(H603="",COUNTIF(I603:K603,"S")+COUNTIF(I603:K603,"N")&lt;3),"",COUNTIF(I603:K603,"S")*IF(H603="S",5,IF(H603="M",4,IF(H603="E",3,2))))</f>
        <v/>
      </c>
      <c r="M603" s="37" t="str">
        <f aca="false">IF(L603="","",IF(L603&gt;=12,"Executar",IF(L603&gt;=8,"Executar com controle",IF(L603&gt;=5,"Postergar","Cancelar"))))</f>
        <v/>
      </c>
      <c r="O603" s="28" t="str">
        <f aca="false">IF(D603="","",IFERROR(INDEX(Categorias!$C$6:$C$45,MATCH(D603,Categorias!$B$6:$B$45,0)),"Sem grupo"))</f>
        <v/>
      </c>
      <c r="P603" s="38" t="str">
        <f aca="false">IF(B603="","",DATE(YEAR(B603),MONTH(B603),1))</f>
        <v/>
      </c>
    </row>
    <row r="604" customFormat="false" ht="15" hidden="false" customHeight="false" outlineLevel="0" collapsed="false">
      <c r="B604" s="33"/>
      <c r="C604" s="30"/>
      <c r="D604" s="30"/>
      <c r="E604" s="31"/>
      <c r="F604" s="30"/>
      <c r="G604" s="30"/>
      <c r="H604" s="34" t="str">
        <f aca="false">IF(D604="","",IFERROR(INDEX(Categorias!$D$6:$D$45,MATCH(D604,Categorias!$B$6:$B$45,0))&amp;"",""))</f>
        <v/>
      </c>
      <c r="I604" s="35"/>
      <c r="J604" s="35"/>
      <c r="K604" s="35"/>
      <c r="L604" s="36" t="str">
        <f aca="false">IF(OR(H604="",COUNTIF(I604:K604,"S")+COUNTIF(I604:K604,"N")&lt;3),"",COUNTIF(I604:K604,"S")*IF(H604="S",5,IF(H604="M",4,IF(H604="E",3,2))))</f>
        <v/>
      </c>
      <c r="M604" s="37" t="str">
        <f aca="false">IF(L604="","",IF(L604&gt;=12,"Executar",IF(L604&gt;=8,"Executar com controle",IF(L604&gt;=5,"Postergar","Cancelar"))))</f>
        <v/>
      </c>
      <c r="O604" s="28" t="str">
        <f aca="false">IF(D604="","",IFERROR(INDEX(Categorias!$C$6:$C$45,MATCH(D604,Categorias!$B$6:$B$45,0)),"Sem grupo"))</f>
        <v/>
      </c>
      <c r="P604" s="38" t="str">
        <f aca="false">IF(B604="","",DATE(YEAR(B604),MONTH(B604),1))</f>
        <v/>
      </c>
    </row>
    <row r="605" customFormat="false" ht="15" hidden="false" customHeight="false" outlineLevel="0" collapsed="false">
      <c r="B605" s="33"/>
      <c r="C605" s="30"/>
      <c r="D605" s="30"/>
      <c r="E605" s="31"/>
      <c r="F605" s="30"/>
      <c r="G605" s="30"/>
      <c r="H605" s="34" t="str">
        <f aca="false">IF(D605="","",IFERROR(INDEX(Categorias!$D$6:$D$45,MATCH(D605,Categorias!$B$6:$B$45,0))&amp;"",""))</f>
        <v/>
      </c>
      <c r="I605" s="35"/>
      <c r="J605" s="35"/>
      <c r="K605" s="35"/>
      <c r="L605" s="36" t="str">
        <f aca="false">IF(OR(H605="",COUNTIF(I605:K605,"S")+COUNTIF(I605:K605,"N")&lt;3),"",COUNTIF(I605:K605,"S")*IF(H605="S",5,IF(H605="M",4,IF(H605="E",3,2))))</f>
        <v/>
      </c>
      <c r="M605" s="37" t="str">
        <f aca="false">IF(L605="","",IF(L605&gt;=12,"Executar",IF(L605&gt;=8,"Executar com controle",IF(L605&gt;=5,"Postergar","Cancelar"))))</f>
        <v/>
      </c>
      <c r="O605" s="28" t="str">
        <f aca="false">IF(D605="","",IFERROR(INDEX(Categorias!$C$6:$C$45,MATCH(D605,Categorias!$B$6:$B$45,0)),"Sem grupo"))</f>
        <v/>
      </c>
      <c r="P605" s="38" t="str">
        <f aca="false">IF(B605="","",DATE(YEAR(B605),MONTH(B605),1))</f>
        <v/>
      </c>
    </row>
  </sheetData>
  <conditionalFormatting sqref="M6:M605">
    <cfRule type="expression" priority="2" aboveAverage="0" equalAverage="0" bottom="0" percent="0" rank="0" text="" dxfId="0">
      <formula>M6="Executar"</formula>
    </cfRule>
    <cfRule type="expression" priority="3" aboveAverage="0" equalAverage="0" bottom="0" percent="0" rank="0" text="" dxfId="1">
      <formula>M6="Executar com controle"</formula>
    </cfRule>
    <cfRule type="expression" priority="4" aboveAverage="0" equalAverage="0" bottom="0" percent="0" rank="0" text="" dxfId="3">
      <formula>M6="Postergar"</formula>
    </cfRule>
    <cfRule type="expression" priority="5" aboveAverage="0" equalAverage="0" bottom="0" percent="0" rank="0" text="" dxfId="2">
      <formula>M6="Cancelar"</formula>
    </cfRule>
  </conditionalFormatting>
  <dataValidations count="4">
    <dataValidation allowBlank="true" errorStyle="stop" operator="between" showDropDown="false" showErrorMessage="false" showInputMessage="false" sqref="I6:K605" type="list">
      <formula1>"S,N"</formula1>
      <formula2>0</formula2>
    </dataValidation>
    <dataValidation allowBlank="true" errorStyle="stop" operator="between" showDropDown="false" showErrorMessage="false" showInputMessage="false" sqref="D6:D605" type="list">
      <formula1>Categorias!$B$6:$B$45</formula1>
      <formula2>0</formula2>
    </dataValidation>
    <dataValidation allowBlank="true" errorStyle="stop" operator="between" showDropDown="false" showErrorMessage="false" showInputMessage="false" sqref="F6:F605" type="list">
      <formula1>"Pix,Débito,Crédito,Dinheiro,Boleto,Débito automático"</formula1>
      <formula2>0</formula2>
    </dataValidation>
    <dataValidation allowBlank="true" errorStyle="stop" operator="between" showDropDown="false" showErrorMessage="false" showInputMessage="false" sqref="G6:G605" type="list">
      <formula1>"Necessidade,Recompensa,Tédio,Estresse,Alegria,Pressão social"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3C36"/>
    <pageSetUpPr fitToPage="false"/>
  </sheetPr>
  <dimension ref="B2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8"/>
  </cols>
  <sheetData>
    <row r="2" customFormat="false" ht="22.05" hidden="false" customHeight="false" outlineLevel="0" collapsed="false">
      <c r="B2" s="8" t="s">
        <v>134</v>
      </c>
    </row>
    <row r="3" customFormat="false" ht="15" hidden="false" customHeight="false" outlineLevel="0" collapsed="false">
      <c r="B3" s="28" t="s">
        <v>135</v>
      </c>
    </row>
    <row r="5" customFormat="false" ht="30" hidden="false" customHeight="true" outlineLevel="0" collapsed="false">
      <c r="B5" s="11" t="s">
        <v>136</v>
      </c>
      <c r="C5" s="12" t="s">
        <v>137</v>
      </c>
      <c r="D5" s="12" t="s">
        <v>138</v>
      </c>
      <c r="E5" s="12" t="s">
        <v>139</v>
      </c>
      <c r="F5" s="12" t="s">
        <v>140</v>
      </c>
      <c r="G5" s="12" t="s">
        <v>141</v>
      </c>
      <c r="H5" s="12" t="s">
        <v>142</v>
      </c>
      <c r="I5" s="12" t="s">
        <v>143</v>
      </c>
    </row>
    <row r="6" customFormat="false" ht="15" hidden="false" customHeight="false" outlineLevel="0" collapsed="false">
      <c r="B6" s="30" t="s">
        <v>88</v>
      </c>
      <c r="C6" s="31" t="n">
        <v>27000</v>
      </c>
      <c r="D6" s="10" t="n">
        <v>46722</v>
      </c>
      <c r="E6" s="31" t="n">
        <v>4000</v>
      </c>
      <c r="F6" s="19" t="n">
        <f aca="false">IF(N(C6)=0,"",MIN(1,N(E6)/C6))</f>
        <v>0.148148148148148</v>
      </c>
      <c r="G6" s="14" t="n">
        <f aca="false">IF(N(C6)=0,"",MAX(0,C6-N(E6)))</f>
        <v>23000</v>
      </c>
      <c r="H6" s="24" t="n">
        <f aca="false">IF(OR(N(C6)=0,D6=""),"",MAX(1,(YEAR(D6)-YEAR(Painel!$C$4))*12+MONTH(D6)-MONTH(Painel!$C$4)))</f>
        <v>13</v>
      </c>
      <c r="I6" s="39" t="n">
        <f aca="false">IF(H6="","",G6/H6)</f>
        <v>1769.23076923077</v>
      </c>
    </row>
    <row r="7" customFormat="false" ht="15" hidden="false" customHeight="false" outlineLevel="0" collapsed="false">
      <c r="B7" s="30" t="s">
        <v>144</v>
      </c>
      <c r="C7" s="31" t="n">
        <v>6000</v>
      </c>
      <c r="D7" s="10" t="n">
        <v>46569</v>
      </c>
      <c r="E7" s="31" t="n">
        <v>800</v>
      </c>
      <c r="F7" s="19" t="n">
        <f aca="false">IF(N(C7)=0,"",MIN(1,N(E7)/C7))</f>
        <v>0.133333333333333</v>
      </c>
      <c r="G7" s="14" t="n">
        <f aca="false">IF(N(C7)=0,"",MAX(0,C7-N(E7)))</f>
        <v>5200</v>
      </c>
      <c r="H7" s="24" t="n">
        <f aca="false">IF(OR(N(C7)=0,D7=""),"",MAX(1,(YEAR(D7)-YEAR(Painel!$C$4))*12+MONTH(D7)-MONTH(Painel!$C$4)))</f>
        <v>8</v>
      </c>
      <c r="I7" s="39" t="n">
        <f aca="false">IF(H7="","",G7/H7)</f>
        <v>650</v>
      </c>
    </row>
    <row r="8" customFormat="false" ht="15" hidden="false" customHeight="false" outlineLevel="0" collapsed="false">
      <c r="B8" s="30" t="s">
        <v>145</v>
      </c>
      <c r="C8" s="31" t="n">
        <v>4500</v>
      </c>
      <c r="D8" s="10" t="n">
        <v>46661</v>
      </c>
      <c r="E8" s="31" t="n">
        <v>0</v>
      </c>
      <c r="F8" s="19" t="n">
        <f aca="false">IF(N(C8)=0,"",MIN(1,N(E8)/C8))</f>
        <v>0</v>
      </c>
      <c r="G8" s="14" t="n">
        <f aca="false">IF(N(C8)=0,"",MAX(0,C8-N(E8)))</f>
        <v>4500</v>
      </c>
      <c r="H8" s="24" t="n">
        <f aca="false">IF(OR(N(C8)=0,D8=""),"",MAX(1,(YEAR(D8)-YEAR(Painel!$C$4))*12+MONTH(D8)-MONTH(Painel!$C$4)))</f>
        <v>11</v>
      </c>
      <c r="I8" s="39" t="n">
        <f aca="false">IF(H8="","",G8/H8)</f>
        <v>409.090909090909</v>
      </c>
    </row>
    <row r="9" customFormat="false" ht="15" hidden="false" customHeight="false" outlineLevel="0" collapsed="false">
      <c r="B9" s="30"/>
      <c r="C9" s="31"/>
      <c r="D9" s="10"/>
      <c r="E9" s="31"/>
      <c r="F9" s="19" t="str">
        <f aca="false">IF(N(C9)=0,"",MIN(1,N(E9)/C9))</f>
        <v/>
      </c>
      <c r="G9" s="14" t="str">
        <f aca="false">IF(N(C9)=0,"",MAX(0,C9-N(E9)))</f>
        <v/>
      </c>
      <c r="H9" s="24" t="str">
        <f aca="false">IF(OR(N(C9)=0,D9=""),"",MAX(1,(YEAR(D9)-YEAR(Painel!$C$4))*12+MONTH(D9)-MONTH(Painel!$C$4)))</f>
        <v/>
      </c>
      <c r="I9" s="39" t="str">
        <f aca="false">IF(H9="","",G9/H9)</f>
        <v/>
      </c>
    </row>
    <row r="10" customFormat="false" ht="15" hidden="false" customHeight="false" outlineLevel="0" collapsed="false">
      <c r="B10" s="30"/>
      <c r="C10" s="31"/>
      <c r="D10" s="10"/>
      <c r="E10" s="31"/>
      <c r="F10" s="19" t="str">
        <f aca="false">IF(N(C10)=0,"",MIN(1,N(E10)/C10))</f>
        <v/>
      </c>
      <c r="G10" s="14" t="str">
        <f aca="false">IF(N(C10)=0,"",MAX(0,C10-N(E10)))</f>
        <v/>
      </c>
      <c r="H10" s="24" t="str">
        <f aca="false">IF(OR(N(C10)=0,D10=""),"",MAX(1,(YEAR(D10)-YEAR(Painel!$C$4))*12+MONTH(D10)-MONTH(Painel!$C$4)))</f>
        <v/>
      </c>
      <c r="I10" s="39" t="str">
        <f aca="false">IF(H10="","",G10/H10)</f>
        <v/>
      </c>
    </row>
    <row r="11" customFormat="false" ht="15" hidden="false" customHeight="false" outlineLevel="0" collapsed="false">
      <c r="B11" s="30"/>
      <c r="C11" s="31"/>
      <c r="D11" s="10"/>
      <c r="E11" s="31"/>
      <c r="F11" s="19" t="str">
        <f aca="false">IF(N(C11)=0,"",MIN(1,N(E11)/C11))</f>
        <v/>
      </c>
      <c r="G11" s="14" t="str">
        <f aca="false">IF(N(C11)=0,"",MAX(0,C11-N(E11)))</f>
        <v/>
      </c>
      <c r="H11" s="24" t="str">
        <f aca="false">IF(OR(N(C11)=0,D11=""),"",MAX(1,(YEAR(D11)-YEAR(Painel!$C$4))*12+MONTH(D11)-MONTH(Painel!$C$4)))</f>
        <v/>
      </c>
      <c r="I11" s="39" t="str">
        <f aca="false">IF(H11="","",G11/H11)</f>
        <v/>
      </c>
    </row>
    <row r="12" customFormat="false" ht="15" hidden="false" customHeight="false" outlineLevel="0" collapsed="false">
      <c r="B12" s="30"/>
      <c r="C12" s="31"/>
      <c r="D12" s="10"/>
      <c r="E12" s="31"/>
      <c r="F12" s="19" t="str">
        <f aca="false">IF(N(C12)=0,"",MIN(1,N(E12)/C12))</f>
        <v/>
      </c>
      <c r="G12" s="14" t="str">
        <f aca="false">IF(N(C12)=0,"",MAX(0,C12-N(E12)))</f>
        <v/>
      </c>
      <c r="H12" s="24" t="str">
        <f aca="false">IF(OR(N(C12)=0,D12=""),"",MAX(1,(YEAR(D12)-YEAR(Painel!$C$4))*12+MONTH(D12)-MONTH(Painel!$C$4)))</f>
        <v/>
      </c>
      <c r="I12" s="39" t="str">
        <f aca="false">IF(H12="","",G12/H12)</f>
        <v/>
      </c>
    </row>
    <row r="13" customFormat="false" ht="15" hidden="false" customHeight="false" outlineLevel="0" collapsed="false">
      <c r="B13" s="30"/>
      <c r="C13" s="31"/>
      <c r="D13" s="10"/>
      <c r="E13" s="31"/>
      <c r="F13" s="19" t="str">
        <f aca="false">IF(N(C13)=0,"",MIN(1,N(E13)/C13))</f>
        <v/>
      </c>
      <c r="G13" s="14" t="str">
        <f aca="false">IF(N(C13)=0,"",MAX(0,C13-N(E13)))</f>
        <v/>
      </c>
      <c r="H13" s="24" t="str">
        <f aca="false">IF(OR(N(C13)=0,D13=""),"",MAX(1,(YEAR(D13)-YEAR(Painel!$C$4))*12+MONTH(D13)-MONTH(Painel!$C$4)))</f>
        <v/>
      </c>
      <c r="I13" s="39" t="str">
        <f aca="false">IF(H13="","",G13/H13)</f>
        <v/>
      </c>
    </row>
    <row r="14" customFormat="false" ht="15" hidden="false" customHeight="false" outlineLevel="0" collapsed="false">
      <c r="B14" s="30"/>
      <c r="C14" s="31"/>
      <c r="D14" s="10"/>
      <c r="E14" s="31"/>
      <c r="F14" s="19" t="str">
        <f aca="false">IF(N(C14)=0,"",MIN(1,N(E14)/C14))</f>
        <v/>
      </c>
      <c r="G14" s="14" t="str">
        <f aca="false">IF(N(C14)=0,"",MAX(0,C14-N(E14)))</f>
        <v/>
      </c>
      <c r="H14" s="24" t="str">
        <f aca="false">IF(OR(N(C14)=0,D14=""),"",MAX(1,(YEAR(D14)-YEAR(Painel!$C$4))*12+MONTH(D14)-MONTH(Painel!$C$4)))</f>
        <v/>
      </c>
      <c r="I14" s="39" t="str">
        <f aca="false">IF(H14="","",G14/H14)</f>
        <v/>
      </c>
    </row>
    <row r="15" customFormat="false" ht="15" hidden="false" customHeight="false" outlineLevel="0" collapsed="false">
      <c r="B15" s="30"/>
      <c r="C15" s="31"/>
      <c r="D15" s="10"/>
      <c r="E15" s="31"/>
      <c r="F15" s="19" t="str">
        <f aca="false">IF(N(C15)=0,"",MIN(1,N(E15)/C15))</f>
        <v/>
      </c>
      <c r="G15" s="14" t="str">
        <f aca="false">IF(N(C15)=0,"",MAX(0,C15-N(E15)))</f>
        <v/>
      </c>
      <c r="H15" s="24" t="str">
        <f aca="false">IF(OR(N(C15)=0,D15=""),"",MAX(1,(YEAR(D15)-YEAR(Painel!$C$4))*12+MONTH(D15)-MONTH(Painel!$C$4)))</f>
        <v/>
      </c>
      <c r="I15" s="39" t="str">
        <f aca="false">IF(H15="","",G15/H15)</f>
        <v/>
      </c>
    </row>
  </sheetData>
  <conditionalFormatting sqref="F6:F15">
    <cfRule type="dataBar" priority="2">
      <dataBar showValue="1" minLength="10" maxLength="90">
        <cfvo type="num" val="0"/>
        <cfvo type="num" val="1"/>
        <color rgb="FFA16C46"/>
      </dataBar>
      <extLst>
        <ext xmlns:x14="http://schemas.microsoft.com/office/spreadsheetml/2009/9/main" uri="{B025F937-C7B1-47D3-B67F-A62EFF666E3E}">
          <x14:id>{3C2F2B42-18B6-4D21-B434-56949F5D3FA8}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2F2B42-18B6-4D21-B434-56949F5D3FA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16C46"/>
              <x14:axisColor rgb="FF000000"/>
            </x14:dataBar>
          </x14:cfRule>
          <xm:sqref>F6:F15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2026-10-19T02:11:44Z</dcterms:created>
  <dc:creator>openpyxl</dc:creator>
  <dc:description/>
  <dc:language>en-US</dc:language>
  <cp:lastModifiedBy/>
  <dcterms:modified xsi:type="dcterms:W3CDTF">2026-10-19T02:11:54Z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