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Painel" sheetId="2" state="visible" r:id="rId4"/>
    <sheet name="Me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<sst xmlns="http://schemas.openxmlformats.org/spreadsheetml/2006/main" count="70" uniqueCount="63">
  <si>
    <t xml:space="preserve">Seus 4 indicadores, mês a mês</t>
  </si>
  <si>
    <t xml:space="preserve">Finanças que Curam · Grupo FQC · Comunidade Manada · Por Aline Seabra</t>
  </si>
  <si>
    <t xml:space="preserve">Na minha área, ninguém decide sem indicador. Na vida pessoal deveria ser igual.</t>
  </si>
  <si>
    <t xml:space="preserve">Como preencher</t>
  </si>
  <si>
    <t xml:space="preserve">1. Uma vez por mês, no mesmo dia, preencha uma linha da aba Meses: entradas, gastos fixos, gastos variáveis, parcelas de dívidas e quanto você tem de reserva.</t>
  </si>
  <si>
    <t xml:space="preserve">2. A aba Meses calcula os 4 indicadores e o semáforo de cada um.</t>
  </si>
  <si>
    <t xml:space="preserve">3. A aba Painel mostra o último mês preenchido e os gráficos da evolução.</t>
  </si>
  <si>
    <t xml:space="preserve">4. Não precisa acertar centavo. O que importa é a tendência.</t>
  </si>
  <si>
    <t xml:space="preserve">Legenda</t>
  </si>
  <si>
    <t xml:space="preserve">Célula amarela = você preenche.   Texto azul = valor de exemplo.   Texto preto = cálculo automático, não apague.</t>
  </si>
  <si>
    <t xml:space="preserve">Os 4 indicadores</t>
  </si>
  <si>
    <t xml:space="preserve">Taxa de poupança = quanto sobrou ÷ entradas. Meta inicial: 10% ou mais.</t>
  </si>
  <si>
    <t xml:space="preserve">Índice de endividamento = parcelas de dívidas ÷ entradas. Saudável: até 10%. Atenção: de 10% a 20%. Alerta: acima de 20%.</t>
  </si>
  <si>
    <t xml:space="preserve">Meses de reserva = reserva ÷ gastos fixos. Meta: de 3 a 6 meses (6 a 12 para renda variável).</t>
  </si>
  <si>
    <t xml:space="preserve">Peso do custo fixo = gastos fixos ÷ entradas. Quanto menor, mais liberdade.</t>
  </si>
  <si>
    <t xml:space="preserve">Conteúdo educativo. Não é recomendação de investimento.</t>
  </si>
  <si>
    <t xml:space="preserve">Painel</t>
  </si>
  <si>
    <t xml:space="preserve">Último mês preenchido:</t>
  </si>
  <si>
    <t xml:space="preserve">Indicador</t>
  </si>
  <si>
    <t xml:space="preserve">Último mês</t>
  </si>
  <si>
    <t xml:space="preserve">Situação</t>
  </si>
  <si>
    <t xml:space="preserve">O que observar</t>
  </si>
  <si>
    <t xml:space="preserve">Taxa de poupança</t>
  </si>
  <si>
    <t xml:space="preserve">Meta inicial: 10% ou mais da renda guardada todo mês.</t>
  </si>
  <si>
    <t xml:space="preserve">Índice de endividamento</t>
  </si>
  <si>
    <t xml:space="preserve">Até 10% é saudável. Acima de 20%, renegociar vira prioridade. Rotativo ou cheque especial: trate como alerta.</t>
  </si>
  <si>
    <t xml:space="preserve">Meses de reserva</t>
  </si>
  <si>
    <t xml:space="preserve">De 3 a 6 meses do custo fixo. Renda variável: de 6 a 12.</t>
  </si>
  <si>
    <t xml:space="preserve">Peso do custo fixo</t>
  </si>
  <si>
    <t xml:space="preserve">Quanto menor, mais liberdade para escolher.</t>
  </si>
  <si>
    <t xml:space="preserve">Reserva acumulada</t>
  </si>
  <si>
    <t xml:space="preserve">Quanto sobrou somando todos os meses</t>
  </si>
  <si>
    <t xml:space="preserve">Referências dos semáforos (pode ajustar)</t>
  </si>
  <si>
    <t xml:space="preserve">Referências educativas da Manada.</t>
  </si>
  <si>
    <t xml:space="preserve">Taxa de poupança saudável a partir de</t>
  </si>
  <si>
    <t xml:space="preserve">Endividamento saudável até</t>
  </si>
  <si>
    <t xml:space="preserve">Endividamento em atenção até</t>
  </si>
  <si>
    <t xml:space="preserve">Reserva em atenção a partir de (meses)</t>
  </si>
  <si>
    <t xml:space="preserve">Reserva saudável a partir de (meses)</t>
  </si>
  <si>
    <t xml:space="preserve">Custo fixo saudável até</t>
  </si>
  <si>
    <t xml:space="preserve">Custo fixo em atenção até</t>
  </si>
  <si>
    <t xml:space="preserve">Registro mensal</t>
  </si>
  <si>
    <t xml:space="preserve">Preencha as colunas amarelas uma vez por mês. Deixe em branco os meses que ainda não chegaram.</t>
  </si>
  <si>
    <t xml:space="preserve">Mês</t>
  </si>
  <si>
    <t xml:space="preserve">Entradas (R$)</t>
  </si>
  <si>
    <t xml:space="preserve">Gastos fixos (R$)</t>
  </si>
  <si>
    <t xml:space="preserve">Gastos variáveis (R$)</t>
  </si>
  <si>
    <t xml:space="preserve">Parcelas de dívidas (R$)</t>
  </si>
  <si>
    <t xml:space="preserve">Reserva hoje (R$)</t>
  </si>
  <si>
    <t xml:space="preserve">Sobra (R$)</t>
  </si>
  <si>
    <t xml:space="preserve">Endivida­mento</t>
  </si>
  <si>
    <t xml:space="preserve">Nov/26</t>
  </si>
  <si>
    <t xml:space="preserve">Dez/26</t>
  </si>
  <si>
    <t xml:space="preserve">Jan/27</t>
  </si>
  <si>
    <t xml:space="preserve">Fev/27</t>
  </si>
  <si>
    <t xml:space="preserve">Mar/27</t>
  </si>
  <si>
    <t xml:space="preserve">Abr/27</t>
  </si>
  <si>
    <t xml:space="preserve">Mai/27</t>
  </si>
  <si>
    <t xml:space="preserve">Jun/27</t>
  </si>
  <si>
    <t xml:space="preserve">Jul/27</t>
  </si>
  <si>
    <t xml:space="preserve">Ago/27</t>
  </si>
  <si>
    <t xml:space="preserve">Set/27</t>
  </si>
  <si>
    <t xml:space="preserve">Out/27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</si>
</sst>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-0.0%;\-"/>
    <numFmt numFmtId="166" formatCode="0.0&quot; meses&quot;"/>
    <numFmt numFmtId="167" formatCode="&quot;R$ &quot;#,##0.00;&quot;-R$ &quot;#,##0.00;\-"/>
    <numFmt numFmtId="168" formatCode="0"/>
    <numFmt numFmtId="169" formatCode="0%"/>
    <numFmt numFmtId="170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33C36"/>
      <name val="Arial"/>
      <family val="0"/>
      <charset val="1"/>
    </font>
    <font>
      <sz val="10"/>
      <color rgb="FFA16C46"/>
      <name val="Arial"/>
      <family val="0"/>
      <charset val="1"/>
    </font>
    <font>
      <sz val="11"/>
      <color rgb="FF233C36"/>
      <name val="Arial"/>
      <family val="0"/>
      <charset val="1"/>
    </font>
    <font>
      <i val="true"/>
      <sz val="12"/>
      <color rgb="FF233C36"/>
      <name val="Arial"/>
      <family val="0"/>
      <charset val="1"/>
    </font>
    <font>
      <b val="true"/>
      <sz val="13"/>
      <color rgb="FF233C36"/>
      <name val="Arial"/>
      <family val="0"/>
      <charset val="1"/>
    </font>
    <font>
      <sz val="9"/>
      <color rgb="FF637069"/>
      <name val="Arial"/>
      <family val="0"/>
      <charset val="1"/>
    </font>
    <font>
      <b val="true"/>
      <sz val="18"/>
      <color rgb="FF233C36"/>
      <name val="Arial"/>
      <family val="0"/>
      <charset val="1"/>
    </font>
    <font>
      <sz val="10"/>
      <color rgb="FF63706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33C36"/>
      <name val="Arial"/>
      <family val="0"/>
      <charset val="1"/>
    </font>
    <font>
      <b val="true"/>
      <sz val="10"/>
      <color rgb="FF233C36"/>
      <name val="Arial"/>
      <family val="0"/>
      <charset val="1"/>
    </font>
    <font>
      <i val="true"/>
      <sz val="8"/>
      <color rgb="FF6370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6E6C8"/>
      </patternFill>
    </fill>
    <fill>
      <patternFill patternType="solid">
        <fgColor rgb="FF233C3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3"/>
      </left>
      <right style="thin">
        <color rgb="FFDCDED3"/>
      </right>
      <top style="thin">
        <color rgb="FFDCDED3"/>
      </top>
      <bottom style="thin">
        <color rgb="FFDC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F6B4F"/>
      </font>
      <fill>
        <patternFill>
          <bgColor rgb="FFD9EADF"/>
        </patternFill>
      </fill>
    </dxf>
    <dxf>
      <font>
        <name val="Arial"/>
        <charset val="1"/>
        <family val="0"/>
        <b val="1"/>
        <color rgb="FF8A5A12"/>
      </font>
      <fill>
        <patternFill>
          <bgColor rgb="FFF6E6C8"/>
        </patternFill>
      </fill>
    </dxf>
    <dxf>
      <font>
        <name val="Arial"/>
        <charset val="1"/>
        <family val="0"/>
        <b val="1"/>
        <color rgb="FF9B3B2E"/>
      </font>
      <fill>
        <patternFill>
          <bgColor rgb="FFF5DC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2F6B4F"/>
      <rgbColor rgb="FFDCDED3"/>
      <rgbColor rgb="FF878787"/>
      <rgbColor rgb="FF9999FF"/>
      <rgbColor rgb="FFBE4B48"/>
      <rgbColor rgb="FFFFF2B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F"/>
      <rgbColor rgb="FFF6E6C8"/>
      <rgbColor rgb="FF99CCFF"/>
      <rgbColor rgb="FFFF99CC"/>
      <rgbColor rgb="FFCC99FF"/>
      <rgbColor rgb="FFF5DCD6"/>
      <rgbColor rgb="FF4A7EBB"/>
      <rgbColor rgb="FF33CCCC"/>
      <rgbColor rgb="FF99CC00"/>
      <rgbColor rgb="FFFFCC00"/>
      <rgbColor rgb="FFFF9900"/>
      <rgbColor rgb="FFFF6600"/>
      <rgbColor rgb="FF637069"/>
      <rgbColor rgb="FFA16C46"/>
      <rgbColor rgb="FF003366"/>
      <rgbColor rgb="FF4F81BD"/>
      <rgbColor rgb="FF003300"/>
      <rgbColor rgb="FF333300"/>
      <rgbColor rgb="FF9B3B2E"/>
      <rgbColor rgb="FF993366"/>
      <rgbColor rgb="FF333399"/>
      <rgbColor rgb="FF23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Poupança × endividamento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"Taxa de poupança"</c:f>
              <c:strCache>
                <c:ptCount val="1"/>
                <c:pt idx="0">
                  <c:v>Taxa de poupança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Meses!$B$6:$B$17</c:f>
              <c:strCache>
                <c:ptCount val="12"/>
                <c:pt idx="0">
                  <c:v>Nov/26</c:v>
                </c:pt>
                <c:pt idx="1">
                  <c:v>Dez/26</c:v>
                </c:pt>
                <c:pt idx="2">
                  <c:v>Jan/27</c:v>
                </c:pt>
                <c:pt idx="3">
                  <c:v>Fev/27</c:v>
                </c:pt>
                <c:pt idx="4">
                  <c:v>Mar/27</c:v>
                </c:pt>
                <c:pt idx="5">
                  <c:v>Abr/27</c:v>
                </c:pt>
                <c:pt idx="6">
                  <c:v>Mai/27</c:v>
                </c:pt>
                <c:pt idx="7">
                  <c:v>Jun/27</c:v>
                </c:pt>
                <c:pt idx="8">
                  <c:v>Jul/27</c:v>
                </c:pt>
                <c:pt idx="9">
                  <c:v>Ago/27</c:v>
                </c:pt>
                <c:pt idx="10">
                  <c:v>Set/27</c:v>
                </c:pt>
                <c:pt idx="11">
                  <c:v>Out/27</c:v>
                </c:pt>
              </c:strCache>
            </c:strRef>
          </c:cat>
          <c:val>
            <c:numRef>
              <c:f>Meses!$I$6:$I$17</c:f>
              <c:numCache>
                <c:formatCode>0.0%;\-0.0%;\-</c:formatCode>
                <c:ptCount val="12"/>
                <c:pt idx="0">
                  <c:v>0.0241379310344828</c:v>
                </c:pt>
                <c:pt idx="1">
                  <c:v>0.0553191489361702</c:v>
                </c:pt>
                <c:pt idx="2">
                  <c:v>0.0413793103448276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"Endividamento"</c:f>
              <c:strCache>
                <c:ptCount val="1"/>
                <c:pt idx="0">
                  <c:v>Endividamento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Meses!$B$6:$B$17</c:f>
              <c:strCache>
                <c:ptCount val="12"/>
                <c:pt idx="0">
                  <c:v>Nov/26</c:v>
                </c:pt>
                <c:pt idx="1">
                  <c:v>Dez/26</c:v>
                </c:pt>
                <c:pt idx="2">
                  <c:v>Jan/27</c:v>
                </c:pt>
                <c:pt idx="3">
                  <c:v>Fev/27</c:v>
                </c:pt>
                <c:pt idx="4">
                  <c:v>Mar/27</c:v>
                </c:pt>
                <c:pt idx="5">
                  <c:v>Abr/27</c:v>
                </c:pt>
                <c:pt idx="6">
                  <c:v>Mai/27</c:v>
                </c:pt>
                <c:pt idx="7">
                  <c:v>Jun/27</c:v>
                </c:pt>
                <c:pt idx="8">
                  <c:v>Jul/27</c:v>
                </c:pt>
                <c:pt idx="9">
                  <c:v>Ago/27</c:v>
                </c:pt>
                <c:pt idx="10">
                  <c:v>Set/27</c:v>
                </c:pt>
                <c:pt idx="11">
                  <c:v>Out/27</c:v>
                </c:pt>
              </c:strCache>
            </c:strRef>
          </c:cat>
          <c:val>
            <c:numRef>
              <c:f>Meses!$K$6:$K$17</c:f>
              <c:numCache>
                <c:formatCode>0.0%;\-0.0%;\-</c:formatCode>
                <c:ptCount val="12"/>
                <c:pt idx="0">
                  <c:v>0.105747126436782</c:v>
                </c:pt>
                <c:pt idx="1">
                  <c:v>0.0978723404255319</c:v>
                </c:pt>
                <c:pt idx="2">
                  <c:v>0.105747126436782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135015"/>
        <c:axId val="34162304"/>
      </c:lineChart>
      <c:catAx>
        <c:axId val="3813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62304"/>
        <c:crosses val="autoZero"/>
        <c:auto val="1"/>
        <c:lblAlgn val="ctr"/>
        <c:lblOffset val="100"/>
        <c:noMultiLvlLbl val="0"/>
      </c:catAx>
      <c:valAx>
        <c:axId val="34162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35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Meses de reserva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"Meses de reserva"</c:f>
              <c:strCache>
                <c:ptCount val="1"/>
                <c:pt idx="0">
                  <c:v>Meses de reserva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Meses!$B$6:$B$17</c:f>
              <c:strCache>
                <c:ptCount val="12"/>
                <c:pt idx="0">
                  <c:v>Nov/26</c:v>
                </c:pt>
                <c:pt idx="1">
                  <c:v>Dez/26</c:v>
                </c:pt>
                <c:pt idx="2">
                  <c:v>Jan/27</c:v>
                </c:pt>
                <c:pt idx="3">
                  <c:v>Fev/27</c:v>
                </c:pt>
                <c:pt idx="4">
                  <c:v>Mar/27</c:v>
                </c:pt>
                <c:pt idx="5">
                  <c:v>Abr/27</c:v>
                </c:pt>
                <c:pt idx="6">
                  <c:v>Mai/27</c:v>
                </c:pt>
                <c:pt idx="7">
                  <c:v>Jun/27</c:v>
                </c:pt>
                <c:pt idx="8">
                  <c:v>Jul/27</c:v>
                </c:pt>
                <c:pt idx="9">
                  <c:v>Ago/27</c:v>
                </c:pt>
                <c:pt idx="10">
                  <c:v>Set/27</c:v>
                </c:pt>
                <c:pt idx="11">
                  <c:v>Out/27</c:v>
                </c:pt>
              </c:strCache>
            </c:strRef>
          </c:cat>
          <c:val>
            <c:numRef>
              <c:f>Meses!$M$6:$M$17</c:f>
              <c:numCache>
                <c:formatCode>0.0</c:formatCode>
                <c:ptCount val="12"/>
                <c:pt idx="0">
                  <c:v>0.896860986547085</c:v>
                </c:pt>
                <c:pt idx="1">
                  <c:v>0.964125560538117</c:v>
                </c:pt>
                <c:pt idx="2">
                  <c:v>1.06194690265487</c:v>
                </c:pt>
              </c:numCache>
            </c:numRef>
          </c:val>
        </c:ser>
        <c:gapWidth val="150"/>
        <c:overlap val="0"/>
        <c:axId val="90818380"/>
        <c:axId val="99097284"/>
      </c:barChart>
      <c:catAx>
        <c:axId val="90818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97284"/>
        <c:crosses val="autoZero"/>
        <c:auto val="1"/>
        <c:lblAlgn val="ctr"/>
        <c:lblOffset val="100"/>
        <c:noMultiLvlLbl val="0"/>
      </c:catAx>
      <c:valAx>
        <c:axId val="99097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183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7560</xdr:rowOff>
    </xdr:from>
    <xdr:to>
      <xdr:col>4</xdr:col>
      <xdr:colOff>966600</xdr:colOff>
      <xdr:row>42</xdr:row>
      <xdr:rowOff>40320</xdr:rowOff>
    </xdr:to>
    <xdr:graphicFrame>
      <xdr:nvGraphicFramePr>
        <xdr:cNvPr id="0" name="Chart 1"/>
        <xdr:cNvGraphicFramePr/>
      </xdr:nvGraphicFramePr>
      <xdr:xfrm>
        <a:off x="2113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44</xdr:row>
      <xdr:rowOff>7920</xdr:rowOff>
    </xdr:from>
    <xdr:to>
      <xdr:col>4</xdr:col>
      <xdr:colOff>966600</xdr:colOff>
      <xdr:row>58</xdr:row>
      <xdr:rowOff>40320</xdr:rowOff>
    </xdr:to>
    <xdr:graphicFrame>
      <xdr:nvGraphicFramePr>
        <xdr:cNvPr id="1" name="Chart 2"/>
        <xdr:cNvGraphicFramePr/>
      </xdr:nvGraphicFramePr>
      <xdr:xfrm>
        <a:off x="2113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6.15" hidden="false" customHeight="false" outlineLevel="0" collapsed="false">
      <c r="B7" s="5" t="s">
        <v>3</v>
      </c>
    </row>
    <row r="8" customFormat="false" ht="26.8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/>
    </row>
    <row r="13" customFormat="false" ht="16.15" hidden="false" customHeight="false" outlineLevel="0" collapsed="false">
      <c r="B13" s="5" t="s">
        <v>8</v>
      </c>
    </row>
    <row r="14" customFormat="false" ht="26.85" hidden="false" customHeight="false" outlineLevel="0" collapsed="false">
      <c r="B14" s="6" t="s">
        <v>9</v>
      </c>
    </row>
    <row r="15" customFormat="false" ht="15" hidden="false" customHeight="false" outlineLevel="0" collapsed="false">
      <c r="B15" s="3"/>
    </row>
    <row r="16" customFormat="false" ht="16.15" hidden="false" customHeight="false" outlineLevel="0" collapsed="false">
      <c r="B16" s="5" t="s">
        <v>10</v>
      </c>
    </row>
    <row r="17" customFormat="false" ht="15" hidden="false" customHeight="false" outlineLevel="0" collapsed="false">
      <c r="B17" s="3" t="s">
        <v>11</v>
      </c>
    </row>
    <row r="18" customFormat="false" ht="26.8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0"/>
  </cols>
  <sheetData>
    <row r="2" customFormat="false" ht="22.05" hidden="false" customHeight="false" outlineLevel="0" collapsed="false">
      <c r="B2" s="8" t="s">
        <v>16</v>
      </c>
    </row>
    <row r="3" customFormat="false" ht="15" hidden="false" customHeight="false" outlineLevel="0" collapsed="false">
      <c r="B3" s="9" t="s">
        <v>17</v>
      </c>
      <c r="C3" s="10" t="str">
        <f aca="false">IFERROR(INDEX(Meses!$B$6:$B$17,MATCH(9.99E+307,Meses!$C$6:$C$17)),"Nenhum")</f>
        <v>Jan/27</v>
      </c>
    </row>
    <row r="5" customFormat="false" ht="15" hidden="false" customHeight="false" outlineLevel="0" collapsed="false">
      <c r="B5" s="11" t="s">
        <v>18</v>
      </c>
      <c r="C5" s="12" t="s">
        <v>19</v>
      </c>
      <c r="D5" s="12" t="s">
        <v>20</v>
      </c>
      <c r="E5" s="12" t="s">
        <v>21</v>
      </c>
    </row>
    <row r="6" customFormat="false" ht="15" hidden="false" customHeight="false" outlineLevel="0" collapsed="false">
      <c r="B6" s="13" t="s">
        <v>22</v>
      </c>
      <c r="C6" s="14" t="n">
        <f aca="false">IFERROR(INDEX(Meses!$I$6:$I$17,MATCH(9.99E+307,Meses!$C$6:$C$17)),"")</f>
        <v>0.0413793103448276</v>
      </c>
      <c r="D6" s="15" t="str">
        <f aca="false">IFERROR(INDEX(Meses!$J$6:$J$17,MATCH(9.99E+307,Meses!$C$6:$C$17)),"")</f>
        <v>Atenção</v>
      </c>
      <c r="E6" s="16" t="s">
        <v>23</v>
      </c>
    </row>
    <row r="7" customFormat="false" ht="22.35" hidden="false" customHeight="false" outlineLevel="0" collapsed="false">
      <c r="B7" s="13" t="s">
        <v>24</v>
      </c>
      <c r="C7" s="14" t="n">
        <f aca="false">IFERROR(INDEX(Meses!$K$6:$K$17,MATCH(9.99E+307,Meses!$C$6:$C$17)),"")</f>
        <v>0.105747126436782</v>
      </c>
      <c r="D7" s="15" t="str">
        <f aca="false">IFERROR(INDEX(Meses!$L$6:$L$17,MATCH(9.99E+307,Meses!$C$6:$C$17)),"")</f>
        <v>Atenção</v>
      </c>
      <c r="E7" s="16" t="s">
        <v>25</v>
      </c>
    </row>
    <row r="8" customFormat="false" ht="15" hidden="false" customHeight="false" outlineLevel="0" collapsed="false">
      <c r="B8" s="13" t="s">
        <v>26</v>
      </c>
      <c r="C8" s="17" t="n">
        <f aca="false">IFERROR(INDEX(Meses!$M$6:$M$17,MATCH(9.99E+307,Meses!$C$6:$C$17)),"")</f>
        <v>1.06194690265487</v>
      </c>
      <c r="D8" s="15" t="str">
        <f aca="false">IFERROR(INDEX(Meses!$N$6:$N$17,MATCH(9.99E+307,Meses!$C$6:$C$17)),"")</f>
        <v>Alerta</v>
      </c>
      <c r="E8" s="16" t="s">
        <v>27</v>
      </c>
    </row>
    <row r="9" customFormat="false" ht="15" hidden="false" customHeight="false" outlineLevel="0" collapsed="false">
      <c r="B9" s="13" t="s">
        <v>28</v>
      </c>
      <c r="C9" s="14" t="n">
        <f aca="false">IFERROR(INDEX(Meses!$O$6:$O$17,MATCH(9.99E+307,Meses!$C$6:$C$17)),"")</f>
        <v>0.519540229885057</v>
      </c>
      <c r="D9" s="15" t="str">
        <f aca="false">IFERROR(INDEX(Meses!$P$6:$P$17,MATCH(9.99E+307,Meses!$C$6:$C$17)),"")</f>
        <v>Atenção</v>
      </c>
      <c r="E9" s="16" t="s">
        <v>29</v>
      </c>
    </row>
    <row r="11" customFormat="false" ht="15" hidden="false" customHeight="false" outlineLevel="0" collapsed="false">
      <c r="B11" s="13" t="s">
        <v>30</v>
      </c>
      <c r="C11" s="18" t="n">
        <f aca="false">IFERROR(INDEX(Meses!$G$6:$G$17,MATCH(9.99E+307,Meses!$C$6:$C$17)),"")</f>
        <v>4800</v>
      </c>
    </row>
    <row r="12" customFormat="false" ht="15" hidden="false" customHeight="false" outlineLevel="0" collapsed="false">
      <c r="B12" s="13" t="s">
        <v>31</v>
      </c>
      <c r="C12" s="18" t="n">
        <f aca="false">SUM(Meses!H6:H17)</f>
        <v>1090</v>
      </c>
    </row>
    <row r="20" customFormat="false" ht="15" hidden="false" customHeight="false" outlineLevel="0" collapsed="false">
      <c r="B20" s="19" t="s">
        <v>32</v>
      </c>
    </row>
    <row r="21" customFormat="false" ht="15" hidden="false" customHeight="false" outlineLevel="0" collapsed="false">
      <c r="B21" s="20" t="s">
        <v>33</v>
      </c>
    </row>
    <row r="22" customFormat="false" ht="15" hidden="false" customHeight="false" outlineLevel="0" collapsed="false">
      <c r="B22" s="21" t="s">
        <v>34</v>
      </c>
      <c r="C22" s="22" t="n">
        <v>0.1</v>
      </c>
    </row>
    <row r="23" customFormat="false" ht="15" hidden="false" customHeight="false" outlineLevel="0" collapsed="false">
      <c r="B23" s="21" t="s">
        <v>35</v>
      </c>
      <c r="C23" s="22" t="n">
        <v>0.1</v>
      </c>
    </row>
    <row r="24" customFormat="false" ht="15" hidden="false" customHeight="false" outlineLevel="0" collapsed="false">
      <c r="B24" s="21" t="s">
        <v>36</v>
      </c>
      <c r="C24" s="22" t="n">
        <v>0.2</v>
      </c>
    </row>
    <row r="25" customFormat="false" ht="15" hidden="false" customHeight="false" outlineLevel="0" collapsed="false">
      <c r="B25" s="21" t="s">
        <v>37</v>
      </c>
      <c r="C25" s="23" t="n">
        <v>3</v>
      </c>
    </row>
    <row r="26" customFormat="false" ht="15" hidden="false" customHeight="false" outlineLevel="0" collapsed="false">
      <c r="B26" s="21" t="s">
        <v>38</v>
      </c>
      <c r="C26" s="23" t="n">
        <v>6</v>
      </c>
    </row>
    <row r="27" customFormat="false" ht="15" hidden="false" customHeight="false" outlineLevel="0" collapsed="false">
      <c r="B27" s="21" t="s">
        <v>39</v>
      </c>
      <c r="C27" s="22" t="n">
        <v>0.5</v>
      </c>
    </row>
    <row r="28" customFormat="false" ht="15" hidden="false" customHeight="false" outlineLevel="0" collapsed="false">
      <c r="B28" s="21" t="s">
        <v>40</v>
      </c>
      <c r="C28" s="22" t="n">
        <v>0.65</v>
      </c>
    </row>
  </sheetData>
  <conditionalFormatting sqref="D6:D9">
    <cfRule type="expression" priority="2" aboveAverage="0" equalAverage="0" bottom="0" percent="0" rank="0" text="" dxfId="0">
      <formula>D6="Saudável"</formula>
    </cfRule>
    <cfRule type="expression" priority="3" aboveAverage="0" equalAverage="0" bottom="0" percent="0" rank="0" text="" dxfId="1">
      <formula>D6="Atenção"</formula>
    </cfRule>
    <cfRule type="expression" priority="4" aboveAverage="0" equalAverage="0" bottom="0" percent="0" rank="0" text="" dxfId="2">
      <formula>D6="Alerta"</formula>
    </cfRule>
    <cfRule type="expression" priority="5" aboveAverage="0" equalAverage="0" bottom="0" percent="0" rank="0" text="" dxfId="0">
      <formula>D6="Concluído"</formula>
    </cfRule>
    <cfRule type="expression" priority="6" aboveAverage="0" equalAverage="0" bottom="0" percent="0" rank="0" text="" dxfId="0">
      <formula>D6="No ritmo"</formula>
    </cfRule>
    <cfRule type="expression" priority="7" aboveAverage="0" equalAverage="0" bottom="0" percent="0" rank="0" text="" dxfId="2">
      <formula>D6="Atrasado"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7" min="3" style="0" width="15"/>
    <col collapsed="false" customWidth="true" hidden="false" outlineLevel="0" max="8" min="8" style="0" width="14"/>
    <col collapsed="false" customWidth="true" hidden="false" outlineLevel="0" max="16" min="9" style="0" width="12"/>
  </cols>
  <sheetData>
    <row r="2" customFormat="false" ht="22.05" hidden="false" customHeight="false" outlineLevel="0" collapsed="false">
      <c r="B2" s="8" t="s">
        <v>41</v>
      </c>
    </row>
    <row r="3" customFormat="false" ht="15" hidden="false" customHeight="false" outlineLevel="0" collapsed="false">
      <c r="B3" s="21" t="s">
        <v>42</v>
      </c>
    </row>
    <row r="5" customFormat="false" ht="42" hidden="false" customHeight="true" outlineLevel="0" collapsed="false">
      <c r="B5" s="11" t="s">
        <v>43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48</v>
      </c>
      <c r="H5" s="12" t="s">
        <v>49</v>
      </c>
      <c r="I5" s="12" t="s">
        <v>22</v>
      </c>
      <c r="J5" s="12" t="s">
        <v>20</v>
      </c>
      <c r="K5" s="12" t="s">
        <v>50</v>
      </c>
      <c r="L5" s="12" t="s">
        <v>20</v>
      </c>
      <c r="M5" s="12" t="s">
        <v>26</v>
      </c>
      <c r="N5" s="12" t="s">
        <v>20</v>
      </c>
      <c r="O5" s="12" t="s">
        <v>28</v>
      </c>
      <c r="P5" s="12" t="s">
        <v>20</v>
      </c>
    </row>
    <row r="6" customFormat="false" ht="15" hidden="false" customHeight="false" outlineLevel="0" collapsed="false">
      <c r="B6" s="13" t="s">
        <v>51</v>
      </c>
      <c r="C6" s="24" t="n">
        <v>8700</v>
      </c>
      <c r="D6" s="24" t="n">
        <v>4460</v>
      </c>
      <c r="E6" s="24" t="n">
        <v>3110</v>
      </c>
      <c r="F6" s="24" t="n">
        <v>920</v>
      </c>
      <c r="G6" s="24" t="n">
        <v>4000</v>
      </c>
      <c r="H6" s="25" t="n">
        <f aca="false">IF(N(C6)=0,"",C6-D6-E6-F6)</f>
        <v>210</v>
      </c>
      <c r="I6" s="26" t="n">
        <f aca="false">IF(N(C6)=0,"",MAX(H6,0)/C6)</f>
        <v>0.0241379310344828</v>
      </c>
      <c r="J6" s="27" t="str">
        <f aca="false">IF(I6="","",IF(I6&gt;=Painel!$C$22,"Saudável",IF(I6&gt;0,"Atenção","Alerta")))</f>
        <v>Atenção</v>
      </c>
      <c r="K6" s="26" t="n">
        <f aca="false">IF(N(C6)=0,"",F6/C6)</f>
        <v>0.105747126436782</v>
      </c>
      <c r="L6" s="27" t="str">
        <f aca="false">IF(K6="","",IF(K6&lt;=Painel!$C$23,"Saudável",IF(K6&lt;=Painel!$C$24,"Atenção","Alerta")))</f>
        <v>Atenção</v>
      </c>
      <c r="M6" s="28" t="n">
        <f aca="false">IF(OR(N(C6)=0,N(D6)=0),"",G6/D6)</f>
        <v>0.896860986547085</v>
      </c>
      <c r="N6" s="27" t="str">
        <f aca="false">IF(M6="","",IF(M6&gt;=Painel!$C$26,"Saudável",IF(M6&gt;=Painel!$C$25,"Atenção","Alerta")))</f>
        <v>Alerta</v>
      </c>
      <c r="O6" s="26" t="n">
        <f aca="false">IF(N(C6)=0,"",D6/C6)</f>
        <v>0.51264367816092</v>
      </c>
      <c r="P6" s="27" t="str">
        <f aca="false">IF(O6="","",IF(O6&lt;=Painel!$C$27,"Saudável",IF(O6&lt;=Painel!$C$28,"Atenção","Alerta")))</f>
        <v>Atenção</v>
      </c>
    </row>
    <row r="7" customFormat="false" ht="15" hidden="false" customHeight="false" outlineLevel="0" collapsed="false">
      <c r="B7" s="13" t="s">
        <v>52</v>
      </c>
      <c r="C7" s="24" t="n">
        <v>9400</v>
      </c>
      <c r="D7" s="24" t="n">
        <v>4460</v>
      </c>
      <c r="E7" s="24" t="n">
        <v>3500</v>
      </c>
      <c r="F7" s="24" t="n">
        <v>920</v>
      </c>
      <c r="G7" s="24" t="n">
        <v>4300</v>
      </c>
      <c r="H7" s="25" t="n">
        <f aca="false">IF(N(C7)=0,"",C7-D7-E7-F7)</f>
        <v>520</v>
      </c>
      <c r="I7" s="26" t="n">
        <f aca="false">IF(N(C7)=0,"",MAX(H7,0)/C7)</f>
        <v>0.0553191489361702</v>
      </c>
      <c r="J7" s="27" t="str">
        <f aca="false">IF(I7="","",IF(I7&gt;=Painel!$C$22,"Saudável",IF(I7&gt;0,"Atenção","Alerta")))</f>
        <v>Atenção</v>
      </c>
      <c r="K7" s="26" t="n">
        <f aca="false">IF(N(C7)=0,"",F7/C7)</f>
        <v>0.0978723404255319</v>
      </c>
      <c r="L7" s="27" t="str">
        <f aca="false">IF(K7="","",IF(K7&lt;=Painel!$C$23,"Saudável",IF(K7&lt;=Painel!$C$24,"Atenção","Alerta")))</f>
        <v>Saudável</v>
      </c>
      <c r="M7" s="28" t="n">
        <f aca="false">IF(OR(N(C7)=0,N(D7)=0),"",G7/D7)</f>
        <v>0.964125560538117</v>
      </c>
      <c r="N7" s="27" t="str">
        <f aca="false">IF(M7="","",IF(M7&gt;=Painel!$C$26,"Saudável",IF(M7&gt;=Painel!$C$25,"Atenção","Alerta")))</f>
        <v>Alerta</v>
      </c>
      <c r="O7" s="26" t="n">
        <f aca="false">IF(N(C7)=0,"",D7/C7)</f>
        <v>0.474468085106383</v>
      </c>
      <c r="P7" s="27" t="str">
        <f aca="false">IF(O7="","",IF(O7&lt;=Painel!$C$27,"Saudável",IF(O7&lt;=Painel!$C$28,"Atenção","Alerta")))</f>
        <v>Saudável</v>
      </c>
    </row>
    <row r="8" customFormat="false" ht="15" hidden="false" customHeight="false" outlineLevel="0" collapsed="false">
      <c r="B8" s="13" t="s">
        <v>53</v>
      </c>
      <c r="C8" s="24" t="n">
        <v>8700</v>
      </c>
      <c r="D8" s="24" t="n">
        <v>4520</v>
      </c>
      <c r="E8" s="24" t="n">
        <v>2900</v>
      </c>
      <c r="F8" s="24" t="n">
        <v>920</v>
      </c>
      <c r="G8" s="24" t="n">
        <v>4800</v>
      </c>
      <c r="H8" s="25" t="n">
        <f aca="false">IF(N(C8)=0,"",C8-D8-E8-F8)</f>
        <v>360</v>
      </c>
      <c r="I8" s="26" t="n">
        <f aca="false">IF(N(C8)=0,"",MAX(H8,0)/C8)</f>
        <v>0.0413793103448276</v>
      </c>
      <c r="J8" s="27" t="str">
        <f aca="false">IF(I8="","",IF(I8&gt;=Painel!$C$22,"Saudável",IF(I8&gt;0,"Atenção","Alerta")))</f>
        <v>Atenção</v>
      </c>
      <c r="K8" s="26" t="n">
        <f aca="false">IF(N(C8)=0,"",F8/C8)</f>
        <v>0.105747126436782</v>
      </c>
      <c r="L8" s="27" t="str">
        <f aca="false">IF(K8="","",IF(K8&lt;=Painel!$C$23,"Saudável",IF(K8&lt;=Painel!$C$24,"Atenção","Alerta")))</f>
        <v>Atenção</v>
      </c>
      <c r="M8" s="28" t="n">
        <f aca="false">IF(OR(N(C8)=0,N(D8)=0),"",G8/D8)</f>
        <v>1.06194690265487</v>
      </c>
      <c r="N8" s="27" t="str">
        <f aca="false">IF(M8="","",IF(M8&gt;=Painel!$C$26,"Saudável",IF(M8&gt;=Painel!$C$25,"Atenção","Alerta")))</f>
        <v>Alerta</v>
      </c>
      <c r="O8" s="26" t="n">
        <f aca="false">IF(N(C8)=0,"",D8/C8)</f>
        <v>0.519540229885057</v>
      </c>
      <c r="P8" s="27" t="str">
        <f aca="false">IF(O8="","",IF(O8&lt;=Painel!$C$27,"Saudável",IF(O8&lt;=Painel!$C$28,"Atenção","Alerta")))</f>
        <v>Atenção</v>
      </c>
    </row>
    <row r="9" customFormat="false" ht="15" hidden="false" customHeight="false" outlineLevel="0" collapsed="false">
      <c r="B9" s="13" t="s">
        <v>54</v>
      </c>
      <c r="C9" s="24"/>
      <c r="D9" s="24"/>
      <c r="E9" s="24"/>
      <c r="F9" s="24"/>
      <c r="G9" s="24"/>
      <c r="H9" s="25" t="str">
        <f aca="false">IF(N(C9)=0,"",C9-D9-E9-F9)</f>
        <v/>
      </c>
      <c r="I9" s="26" t="str">
        <f aca="false">IF(N(C9)=0,"",MAX(H9,0)/C9)</f>
        <v/>
      </c>
      <c r="J9" s="27" t="str">
        <f aca="false">IF(I9="","",IF(I9&gt;=Painel!$C$22,"Saudável",IF(I9&gt;0,"Atenção","Alerta")))</f>
        <v/>
      </c>
      <c r="K9" s="26" t="str">
        <f aca="false">IF(N(C9)=0,"",F9/C9)</f>
        <v/>
      </c>
      <c r="L9" s="27" t="str">
        <f aca="false">IF(K9="","",IF(K9&lt;=Painel!$C$23,"Saudável",IF(K9&lt;=Painel!$C$24,"Atenção","Alerta")))</f>
        <v/>
      </c>
      <c r="M9" s="28" t="str">
        <f aca="false">IF(OR(N(C9)=0,N(D9)=0),"",G9/D9)</f>
        <v/>
      </c>
      <c r="N9" s="27" t="str">
        <f aca="false">IF(M9="","",IF(M9&gt;=Painel!$C$26,"Saudável",IF(M9&gt;=Painel!$C$25,"Atenção","Alerta")))</f>
        <v/>
      </c>
      <c r="O9" s="26" t="str">
        <f aca="false">IF(N(C9)=0,"",D9/C9)</f>
        <v/>
      </c>
      <c r="P9" s="27" t="str">
        <f aca="false">IF(O9="","",IF(O9&lt;=Painel!$C$27,"Saudável",IF(O9&lt;=Painel!$C$28,"Atenção","Alerta")))</f>
        <v/>
      </c>
    </row>
    <row r="10" customFormat="false" ht="15" hidden="false" customHeight="false" outlineLevel="0" collapsed="false">
      <c r="B10" s="13" t="s">
        <v>55</v>
      </c>
      <c r="C10" s="24"/>
      <c r="D10" s="24"/>
      <c r="E10" s="24"/>
      <c r="F10" s="24"/>
      <c r="G10" s="24"/>
      <c r="H10" s="25" t="str">
        <f aca="false">IF(N(C10)=0,"",C10-D10-E10-F10)</f>
        <v/>
      </c>
      <c r="I10" s="26" t="str">
        <f aca="false">IF(N(C10)=0,"",MAX(H10,0)/C10)</f>
        <v/>
      </c>
      <c r="J10" s="27" t="str">
        <f aca="false">IF(I10="","",IF(I10&gt;=Painel!$C$22,"Saudável",IF(I10&gt;0,"Atenção","Alerta")))</f>
        <v/>
      </c>
      <c r="K10" s="26" t="str">
        <f aca="false">IF(N(C10)=0,"",F10/C10)</f>
        <v/>
      </c>
      <c r="L10" s="27" t="str">
        <f aca="false">IF(K10="","",IF(K10&lt;=Painel!$C$23,"Saudável",IF(K10&lt;=Painel!$C$24,"Atenção","Alerta")))</f>
        <v/>
      </c>
      <c r="M10" s="28" t="str">
        <f aca="false">IF(OR(N(C10)=0,N(D10)=0),"",G10/D10)</f>
        <v/>
      </c>
      <c r="N10" s="27" t="str">
        <f aca="false">IF(M10="","",IF(M10&gt;=Painel!$C$26,"Saudável",IF(M10&gt;=Painel!$C$25,"Atenção","Alerta")))</f>
        <v/>
      </c>
      <c r="O10" s="26" t="str">
        <f aca="false">IF(N(C10)=0,"",D10/C10)</f>
        <v/>
      </c>
      <c r="P10" s="27" t="str">
        <f aca="false">IF(O10="","",IF(O10&lt;=Painel!$C$27,"Saudável",IF(O10&lt;=Painel!$C$28,"Atenção","Alerta")))</f>
        <v/>
      </c>
    </row>
    <row r="11" customFormat="false" ht="15" hidden="false" customHeight="false" outlineLevel="0" collapsed="false">
      <c r="B11" s="13" t="s">
        <v>56</v>
      </c>
      <c r="C11" s="24"/>
      <c r="D11" s="24"/>
      <c r="E11" s="24"/>
      <c r="F11" s="24"/>
      <c r="G11" s="24"/>
      <c r="H11" s="25" t="str">
        <f aca="false">IF(N(C11)=0,"",C11-D11-E11-F11)</f>
        <v/>
      </c>
      <c r="I11" s="26" t="str">
        <f aca="false">IF(N(C11)=0,"",MAX(H11,0)/C11)</f>
        <v/>
      </c>
      <c r="J11" s="27" t="str">
        <f aca="false">IF(I11="","",IF(I11&gt;=Painel!$C$22,"Saudável",IF(I11&gt;0,"Atenção","Alerta")))</f>
        <v/>
      </c>
      <c r="K11" s="26" t="str">
        <f aca="false">IF(N(C11)=0,"",F11/C11)</f>
        <v/>
      </c>
      <c r="L11" s="27" t="str">
        <f aca="false">IF(K11="","",IF(K11&lt;=Painel!$C$23,"Saudável",IF(K11&lt;=Painel!$C$24,"Atenção","Alerta")))</f>
        <v/>
      </c>
      <c r="M11" s="28" t="str">
        <f aca="false">IF(OR(N(C11)=0,N(D11)=0),"",G11/D11)</f>
        <v/>
      </c>
      <c r="N11" s="27" t="str">
        <f aca="false">IF(M11="","",IF(M11&gt;=Painel!$C$26,"Saudável",IF(M11&gt;=Painel!$C$25,"Atenção","Alerta")))</f>
        <v/>
      </c>
      <c r="O11" s="26" t="str">
        <f aca="false">IF(N(C11)=0,"",D11/C11)</f>
        <v/>
      </c>
      <c r="P11" s="27" t="str">
        <f aca="false">IF(O11="","",IF(O11&lt;=Painel!$C$27,"Saudável",IF(O11&lt;=Painel!$C$28,"Atenção","Alerta")))</f>
        <v/>
      </c>
    </row>
    <row r="12" customFormat="false" ht="15" hidden="false" customHeight="false" outlineLevel="0" collapsed="false">
      <c r="B12" s="13" t="s">
        <v>57</v>
      </c>
      <c r="C12" s="24"/>
      <c r="D12" s="24"/>
      <c r="E12" s="24"/>
      <c r="F12" s="24"/>
      <c r="G12" s="24"/>
      <c r="H12" s="25" t="str">
        <f aca="false">IF(N(C12)=0,"",C12-D12-E12-F12)</f>
        <v/>
      </c>
      <c r="I12" s="26" t="str">
        <f aca="false">IF(N(C12)=0,"",MAX(H12,0)/C12)</f>
        <v/>
      </c>
      <c r="J12" s="27" t="str">
        <f aca="false">IF(I12="","",IF(I12&gt;=Painel!$C$22,"Saudável",IF(I12&gt;0,"Atenção","Alerta")))</f>
        <v/>
      </c>
      <c r="K12" s="26" t="str">
        <f aca="false">IF(N(C12)=0,"",F12/C12)</f>
        <v/>
      </c>
      <c r="L12" s="27" t="str">
        <f aca="false">IF(K12="","",IF(K12&lt;=Painel!$C$23,"Saudável",IF(K12&lt;=Painel!$C$24,"Atenção","Alerta")))</f>
        <v/>
      </c>
      <c r="M12" s="28" t="str">
        <f aca="false">IF(OR(N(C12)=0,N(D12)=0),"",G12/D12)</f>
        <v/>
      </c>
      <c r="N12" s="27" t="str">
        <f aca="false">IF(M12="","",IF(M12&gt;=Painel!$C$26,"Saudável",IF(M12&gt;=Painel!$C$25,"Atenção","Alerta")))</f>
        <v/>
      </c>
      <c r="O12" s="26" t="str">
        <f aca="false">IF(N(C12)=0,"",D12/C12)</f>
        <v/>
      </c>
      <c r="P12" s="27" t="str">
        <f aca="false">IF(O12="","",IF(O12&lt;=Painel!$C$27,"Saudável",IF(O12&lt;=Painel!$C$28,"Atenção","Alerta")))</f>
        <v/>
      </c>
    </row>
    <row r="13" customFormat="false" ht="15" hidden="false" customHeight="false" outlineLevel="0" collapsed="false">
      <c r="B13" s="13" t="s">
        <v>58</v>
      </c>
      <c r="C13" s="24"/>
      <c r="D13" s="24"/>
      <c r="E13" s="24"/>
      <c r="F13" s="24"/>
      <c r="G13" s="24"/>
      <c r="H13" s="25" t="str">
        <f aca="false">IF(N(C13)=0,"",C13-D13-E13-F13)</f>
        <v/>
      </c>
      <c r="I13" s="26" t="str">
        <f aca="false">IF(N(C13)=0,"",MAX(H13,0)/C13)</f>
        <v/>
      </c>
      <c r="J13" s="27" t="str">
        <f aca="false">IF(I13="","",IF(I13&gt;=Painel!$C$22,"Saudável",IF(I13&gt;0,"Atenção","Alerta")))</f>
        <v/>
      </c>
      <c r="K13" s="26" t="str">
        <f aca="false">IF(N(C13)=0,"",F13/C13)</f>
        <v/>
      </c>
      <c r="L13" s="27" t="str">
        <f aca="false">IF(K13="","",IF(K13&lt;=Painel!$C$23,"Saudável",IF(K13&lt;=Painel!$C$24,"Atenção","Alerta")))</f>
        <v/>
      </c>
      <c r="M13" s="28" t="str">
        <f aca="false">IF(OR(N(C13)=0,N(D13)=0),"",G13/D13)</f>
        <v/>
      </c>
      <c r="N13" s="27" t="str">
        <f aca="false">IF(M13="","",IF(M13&gt;=Painel!$C$26,"Saudável",IF(M13&gt;=Painel!$C$25,"Atenção","Alerta")))</f>
        <v/>
      </c>
      <c r="O13" s="26" t="str">
        <f aca="false">IF(N(C13)=0,"",D13/C13)</f>
        <v/>
      </c>
      <c r="P13" s="27" t="str">
        <f aca="false">IF(O13="","",IF(O13&lt;=Painel!$C$27,"Saudável",IF(O13&lt;=Painel!$C$28,"Atenção","Alerta")))</f>
        <v/>
      </c>
    </row>
    <row r="14" customFormat="false" ht="15" hidden="false" customHeight="false" outlineLevel="0" collapsed="false">
      <c r="B14" s="13" t="s">
        <v>59</v>
      </c>
      <c r="C14" s="24"/>
      <c r="D14" s="24"/>
      <c r="E14" s="24"/>
      <c r="F14" s="24"/>
      <c r="G14" s="24"/>
      <c r="H14" s="25" t="str">
        <f aca="false">IF(N(C14)=0,"",C14-D14-E14-F14)</f>
        <v/>
      </c>
      <c r="I14" s="26" t="str">
        <f aca="false">IF(N(C14)=0,"",MAX(H14,0)/C14)</f>
        <v/>
      </c>
      <c r="J14" s="27" t="str">
        <f aca="false">IF(I14="","",IF(I14&gt;=Painel!$C$22,"Saudável",IF(I14&gt;0,"Atenção","Alerta")))</f>
        <v/>
      </c>
      <c r="K14" s="26" t="str">
        <f aca="false">IF(N(C14)=0,"",F14/C14)</f>
        <v/>
      </c>
      <c r="L14" s="27" t="str">
        <f aca="false">IF(K14="","",IF(K14&lt;=Painel!$C$23,"Saudável",IF(K14&lt;=Painel!$C$24,"Atenção","Alerta")))</f>
        <v/>
      </c>
      <c r="M14" s="28" t="str">
        <f aca="false">IF(OR(N(C14)=0,N(D14)=0),"",G14/D14)</f>
        <v/>
      </c>
      <c r="N14" s="27" t="str">
        <f aca="false">IF(M14="","",IF(M14&gt;=Painel!$C$26,"Saudável",IF(M14&gt;=Painel!$C$25,"Atenção","Alerta")))</f>
        <v/>
      </c>
      <c r="O14" s="26" t="str">
        <f aca="false">IF(N(C14)=0,"",D14/C14)</f>
        <v/>
      </c>
      <c r="P14" s="27" t="str">
        <f aca="false">IF(O14="","",IF(O14&lt;=Painel!$C$27,"Saudável",IF(O14&lt;=Painel!$C$28,"Atenção","Alerta")))</f>
        <v/>
      </c>
    </row>
    <row r="15" customFormat="false" ht="15" hidden="false" customHeight="false" outlineLevel="0" collapsed="false">
      <c r="B15" s="13" t="s">
        <v>60</v>
      </c>
      <c r="C15" s="24"/>
      <c r="D15" s="24"/>
      <c r="E15" s="24"/>
      <c r="F15" s="24"/>
      <c r="G15" s="24"/>
      <c r="H15" s="25" t="str">
        <f aca="false">IF(N(C15)=0,"",C15-D15-E15-F15)</f>
        <v/>
      </c>
      <c r="I15" s="26" t="str">
        <f aca="false">IF(N(C15)=0,"",MAX(H15,0)/C15)</f>
        <v/>
      </c>
      <c r="J15" s="27" t="str">
        <f aca="false">IF(I15="","",IF(I15&gt;=Painel!$C$22,"Saudável",IF(I15&gt;0,"Atenção","Alerta")))</f>
        <v/>
      </c>
      <c r="K15" s="26" t="str">
        <f aca="false">IF(N(C15)=0,"",F15/C15)</f>
        <v/>
      </c>
      <c r="L15" s="27" t="str">
        <f aca="false">IF(K15="","",IF(K15&lt;=Painel!$C$23,"Saudável",IF(K15&lt;=Painel!$C$24,"Atenção","Alerta")))</f>
        <v/>
      </c>
      <c r="M15" s="28" t="str">
        <f aca="false">IF(OR(N(C15)=0,N(D15)=0),"",G15/D15)</f>
        <v/>
      </c>
      <c r="N15" s="27" t="str">
        <f aca="false">IF(M15="","",IF(M15&gt;=Painel!$C$26,"Saudável",IF(M15&gt;=Painel!$C$25,"Atenção","Alerta")))</f>
        <v/>
      </c>
      <c r="O15" s="26" t="str">
        <f aca="false">IF(N(C15)=0,"",D15/C15)</f>
        <v/>
      </c>
      <c r="P15" s="27" t="str">
        <f aca="false">IF(O15="","",IF(O15&lt;=Painel!$C$27,"Saudável",IF(O15&lt;=Painel!$C$28,"Atenção","Alerta")))</f>
        <v/>
      </c>
    </row>
    <row r="16" customFormat="false" ht="15" hidden="false" customHeight="false" outlineLevel="0" collapsed="false">
      <c r="B16" s="13" t="s">
        <v>61</v>
      </c>
      <c r="C16" s="24"/>
      <c r="D16" s="24"/>
      <c r="E16" s="24"/>
      <c r="F16" s="24"/>
      <c r="G16" s="24"/>
      <c r="H16" s="25" t="str">
        <f aca="false">IF(N(C16)=0,"",C16-D16-E16-F16)</f>
        <v/>
      </c>
      <c r="I16" s="26" t="str">
        <f aca="false">IF(N(C16)=0,"",MAX(H16,0)/C16)</f>
        <v/>
      </c>
      <c r="J16" s="27" t="str">
        <f aca="false">IF(I16="","",IF(I16&gt;=Painel!$C$22,"Saudável",IF(I16&gt;0,"Atenção","Alerta")))</f>
        <v/>
      </c>
      <c r="K16" s="26" t="str">
        <f aca="false">IF(N(C16)=0,"",F16/C16)</f>
        <v/>
      </c>
      <c r="L16" s="27" t="str">
        <f aca="false">IF(K16="","",IF(K16&lt;=Painel!$C$23,"Saudável",IF(K16&lt;=Painel!$C$24,"Atenção","Alerta")))</f>
        <v/>
      </c>
      <c r="M16" s="28" t="str">
        <f aca="false">IF(OR(N(C16)=0,N(D16)=0),"",G16/D16)</f>
        <v/>
      </c>
      <c r="N16" s="27" t="str">
        <f aca="false">IF(M16="","",IF(M16&gt;=Painel!$C$26,"Saudável",IF(M16&gt;=Painel!$C$25,"Atenção","Alerta")))</f>
        <v/>
      </c>
      <c r="O16" s="26" t="str">
        <f aca="false">IF(N(C16)=0,"",D16/C16)</f>
        <v/>
      </c>
      <c r="P16" s="27" t="str">
        <f aca="false">IF(O16="","",IF(O16&lt;=Painel!$C$27,"Saudável",IF(O16&lt;=Painel!$C$28,"Atenção","Alerta")))</f>
        <v/>
      </c>
    </row>
    <row r="17" customFormat="false" ht="15" hidden="false" customHeight="false" outlineLevel="0" collapsed="false">
      <c r="B17" s="13" t="s">
        <v>62</v>
      </c>
      <c r="C17" s="24"/>
      <c r="D17" s="24"/>
      <c r="E17" s="24"/>
      <c r="F17" s="24"/>
      <c r="G17" s="24"/>
      <c r="H17" s="25" t="str">
        <f aca="false">IF(N(C17)=0,"",C17-D17-E17-F17)</f>
        <v/>
      </c>
      <c r="I17" s="26" t="str">
        <f aca="false">IF(N(C17)=0,"",MAX(H17,0)/C17)</f>
        <v/>
      </c>
      <c r="J17" s="27" t="str">
        <f aca="false">IF(I17="","",IF(I17&gt;=Painel!$C$22,"Saudável",IF(I17&gt;0,"Atenção","Alerta")))</f>
        <v/>
      </c>
      <c r="K17" s="26" t="str">
        <f aca="false">IF(N(C17)=0,"",F17/C17)</f>
        <v/>
      </c>
      <c r="L17" s="27" t="str">
        <f aca="false">IF(K17="","",IF(K17&lt;=Painel!$C$23,"Saudável",IF(K17&lt;=Painel!$C$24,"Atenção","Alerta")))</f>
        <v/>
      </c>
      <c r="M17" s="28" t="str">
        <f aca="false">IF(OR(N(C17)=0,N(D17)=0),"",G17/D17)</f>
        <v/>
      </c>
      <c r="N17" s="27" t="str">
        <f aca="false">IF(M17="","",IF(M17&gt;=Painel!$C$26,"Saudável",IF(M17&gt;=Painel!$C$25,"Atenção","Alerta")))</f>
        <v/>
      </c>
      <c r="O17" s="26" t="str">
        <f aca="false">IF(N(C17)=0,"",D17/C17)</f>
        <v/>
      </c>
      <c r="P17" s="27" t="str">
        <f aca="false">IF(O17="","",IF(O17&lt;=Painel!$C$27,"Saudável",IF(O17&lt;=Painel!$C$28,"Atenção","Alerta")))</f>
        <v/>
      </c>
    </row>
  </sheetData>
  <conditionalFormatting sqref="J6:J17">
    <cfRule type="expression" priority="2" aboveAverage="0" equalAverage="0" bottom="0" percent="0" rank="0" text="" dxfId="0">
      <formula>J6="Saudável"</formula>
    </cfRule>
    <cfRule type="expression" priority="3" aboveAverage="0" equalAverage="0" bottom="0" percent="0" rank="0" text="" dxfId="1">
      <formula>J6="Atenção"</formula>
    </cfRule>
    <cfRule type="expression" priority="4" aboveAverage="0" equalAverage="0" bottom="0" percent="0" rank="0" text="" dxfId="2">
      <formula>J6="Alerta"</formula>
    </cfRule>
    <cfRule type="expression" priority="5" aboveAverage="0" equalAverage="0" bottom="0" percent="0" rank="0" text="" dxfId="0">
      <formula>J6="Concluído"</formula>
    </cfRule>
    <cfRule type="expression" priority="6" aboveAverage="0" equalAverage="0" bottom="0" percent="0" rank="0" text="" dxfId="0">
      <formula>J6="No ritmo"</formula>
    </cfRule>
    <cfRule type="expression" priority="7" aboveAverage="0" equalAverage="0" bottom="0" percent="0" rank="0" text="" dxfId="2">
      <formula>J6="Atrasado"</formula>
    </cfRule>
  </conditionalFormatting>
  <conditionalFormatting sqref="L6:L17">
    <cfRule type="expression" priority="8" aboveAverage="0" equalAverage="0" bottom="0" percent="0" rank="0" text="" dxfId="0">
      <formula>L6="Saudável"</formula>
    </cfRule>
    <cfRule type="expression" priority="9" aboveAverage="0" equalAverage="0" bottom="0" percent="0" rank="0" text="" dxfId="1">
      <formula>L6="Atenção"</formula>
    </cfRule>
    <cfRule type="expression" priority="10" aboveAverage="0" equalAverage="0" bottom="0" percent="0" rank="0" text="" dxfId="2">
      <formula>L6="Alerta"</formula>
    </cfRule>
    <cfRule type="expression" priority="11" aboveAverage="0" equalAverage="0" bottom="0" percent="0" rank="0" text="" dxfId="0">
      <formula>L6="Concluído"</formula>
    </cfRule>
    <cfRule type="expression" priority="12" aboveAverage="0" equalAverage="0" bottom="0" percent="0" rank="0" text="" dxfId="0">
      <formula>L6="No ritmo"</formula>
    </cfRule>
    <cfRule type="expression" priority="13" aboveAverage="0" equalAverage="0" bottom="0" percent="0" rank="0" text="" dxfId="2">
      <formula>L6="Atrasado"</formula>
    </cfRule>
  </conditionalFormatting>
  <conditionalFormatting sqref="N6:N17">
    <cfRule type="expression" priority="14" aboveAverage="0" equalAverage="0" bottom="0" percent="0" rank="0" text="" dxfId="0">
      <formula>N6="Saudável"</formula>
    </cfRule>
    <cfRule type="expression" priority="15" aboveAverage="0" equalAverage="0" bottom="0" percent="0" rank="0" text="" dxfId="1">
      <formula>N6="Atenção"</formula>
    </cfRule>
    <cfRule type="expression" priority="16" aboveAverage="0" equalAverage="0" bottom="0" percent="0" rank="0" text="" dxfId="2">
      <formula>N6="Alerta"</formula>
    </cfRule>
    <cfRule type="expression" priority="17" aboveAverage="0" equalAverage="0" bottom="0" percent="0" rank="0" text="" dxfId="0">
      <formula>N6="Concluído"</formula>
    </cfRule>
    <cfRule type="expression" priority="18" aboveAverage="0" equalAverage="0" bottom="0" percent="0" rank="0" text="" dxfId="0">
      <formula>N6="No ritmo"</formula>
    </cfRule>
    <cfRule type="expression" priority="19" aboveAverage="0" equalAverage="0" bottom="0" percent="0" rank="0" text="" dxfId="2">
      <formula>N6="Atrasado"</formula>
    </cfRule>
  </conditionalFormatting>
  <conditionalFormatting sqref="P6:P17">
    <cfRule type="expression" priority="20" aboveAverage="0" equalAverage="0" bottom="0" percent="0" rank="0" text="" dxfId="0">
      <formula>P6="Saudável"</formula>
    </cfRule>
    <cfRule type="expression" priority="21" aboveAverage="0" equalAverage="0" bottom="0" percent="0" rank="0" text="" dxfId="1">
      <formula>P6="Atenção"</formula>
    </cfRule>
    <cfRule type="expression" priority="22" aboveAverage="0" equalAverage="0" bottom="0" percent="0" rank="0" text="" dxfId="2">
      <formula>P6="Alerta"</formula>
    </cfRule>
    <cfRule type="expression" priority="23" aboveAverage="0" equalAverage="0" bottom="0" percent="0" rank="0" text="" dxfId="0">
      <formula>P6="Concluído"</formula>
    </cfRule>
    <cfRule type="expression" priority="24" aboveAverage="0" equalAverage="0" bottom="0" percent="0" rank="0" text="" dxfId="0">
      <formula>P6="No ritmo"</formula>
    </cfRule>
    <cfRule type="expression" priority="25" aboveAverage="0" equalAverage="0" bottom="0" percent="0" rank="0" text="" dxfId="2">
      <formula>P6="Atrasado"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2026-10-22T13:44:39Z</dcterms:created>
  <dc:creator>openpyxl</dc:creator>
  <dc:description/>
  <dc:language>en-US</dc:language>
  <cp:lastModifiedBy/>
  <dcterms:modified xsi:type="dcterms:W3CDTF">2026-10-22T13:44:47Z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