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Dívidas" sheetId="2" state="visible" r:id="rId4"/>
    <sheet name="Resultado" sheetId="3" state="visible" r:id="rId5"/>
    <sheet name="Ordem" sheetId="4" state="visible" r:id="rId6"/>
    <sheet name="Sim Avalanche" sheetId="5" state="visible" r:id="rId7"/>
    <sheet name="Sim Bola de ne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<sst xmlns="http://schemas.openxmlformats.org/spreadsheetml/2006/main" count="150" uniqueCount="100">
  <si>
    <t xml:space="preserve">Avalanche ou bola de neve?</t>
  </si>
  <si>
    <t xml:space="preserve">Finanças que Curam · Grupo FQC · Comunidade Manada · Por Aline Seabra</t>
  </si>
  <si>
    <t xml:space="preserve">A técnica diz avalanche. A emoção diz bola de neve. Aqui você vê os dois caminhos lado a lado e escolhe o que vai conseguir manter.</t>
  </si>
  <si>
    <t xml:space="preserve">Como preencher</t>
  </si>
  <si>
    <t xml:space="preserve">1. Na aba Dívidas, liste até 10 dívidas: saldo de hoje, juros ao mês e a parcela mínima que você paga.</t>
  </si>
  <si>
    <t xml:space="preserve">2. Informe quanto você consegue pagar a mais por mês, além das parcelas mínimas (o valor extra).</t>
  </si>
  <si>
    <t xml:space="preserve">3. A aba Resultado mostra, para cada método, a ordem de pagamento, em quantos meses tudo termina e quanto você paga de juros.</t>
  </si>
  <si>
    <t xml:space="preserve">4. Regra do jogo: quando uma dívida acaba, a parcela dela não volta para o orçamento. Ela passa a reforçar a próxima da fila. É isso que faz a bola crescer.</t>
  </si>
  <si>
    <t xml:space="preserve">Avalanche: paga primeiro a dívida com o MAIOR juro. É a mais barata em números.</t>
  </si>
  <si>
    <t xml:space="preserve">Bola de neve: paga primeiro a dívida com o MENOR saldo. Ela some rápido e dá motivação para continuar.</t>
  </si>
  <si>
    <t xml:space="preserve">Legenda</t>
  </si>
  <si>
    <t xml:space="preserve">Célula amarela = você preenche.   Texto azul = valor de exemplo.   Texto preto = cálculo automático, não apague.</t>
  </si>
  <si>
    <t xml:space="preserve">Como a simulação funciona</t>
  </si>
  <si>
    <t xml:space="preserve">Todo mês: os juros do mês entram no saldo, todas as dívidas recebem a parcela mínima e o que sobra do orçamento (valor extra + parcelas das dívidas já quitadas) vai para a primeira dívida da fila. A simulação vai até 10 anos. É uma estimativa: multas, IOF e renegociações não entram.</t>
  </si>
  <si>
    <t xml:space="preserve">Conteúdo educativo. Não é recomendação de investimento.</t>
  </si>
  <si>
    <t xml:space="preserve">Suas dívidas</t>
  </si>
  <si>
    <t xml:space="preserve">Mês em que você começa o plano</t>
  </si>
  <si>
    <t xml:space="preserve">Valor extra por mês, além das mínimas (R$)</t>
  </si>
  <si>
    <t xml:space="preserve">Chaves de ordenação (não apague)</t>
  </si>
  <si>
    <t xml:space="preserve">Credor / tipo de dívida</t>
  </si>
  <si>
    <t xml:space="preserve">Saldo hoje (R$)</t>
  </si>
  <si>
    <t xml:space="preserve">Juros (% ao mês)</t>
  </si>
  <si>
    <t xml:space="preserve">Parcela mínima (R$)</t>
  </si>
  <si>
    <t xml:space="preserve">Cartão de crédito (rotativo)</t>
  </si>
  <si>
    <t xml:space="preserve">Empréstimo pessoal</t>
  </si>
  <si>
    <t xml:space="preserve">Cheque especial</t>
  </si>
  <si>
    <t xml:space="preserve">Compra parcelada na loja</t>
  </si>
  <si>
    <t xml:space="preserve">Totais</t>
  </si>
  <si>
    <t xml:space="preserve">Orçamento mensal para dívidas (mínimas + extra)</t>
  </si>
  <si>
    <t xml:space="preserve">Juros do primeiro mês (todas as dívidas)</t>
  </si>
  <si>
    <t xml:space="preserve">Dica: o juro do cartão rotativo e do cheque especial costuma passar de 8% ao mês. Confira no app do banco ou na fatura (CET).</t>
  </si>
  <si>
    <t xml:space="preserve">Avalanche × Bola de neve</t>
  </si>
  <si>
    <t xml:space="preserve">Mesmo orçamento, duas ordens diferentes.</t>
  </si>
  <si>
    <t xml:space="preserve">Avalanche</t>
  </si>
  <si>
    <t xml:space="preserve">Bola de neve</t>
  </si>
  <si>
    <t xml:space="preserve">Primeira dívida a atacar</t>
  </si>
  <si>
    <t xml:space="preserve">Segunda</t>
  </si>
  <si>
    <t xml:space="preserve">Terceira</t>
  </si>
  <si>
    <t xml:space="preserve">Meses até ficar sem dívidas</t>
  </si>
  <si>
    <t xml:space="preserve">Livre das dívidas em</t>
  </si>
  <si>
    <t xml:space="preserve">Total de juros pagos no caminho</t>
  </si>
  <si>
    <t xml:space="preserve">Meses até a primeira vitória (1ª dívida quitada)</t>
  </si>
  <si>
    <t xml:space="preserve">Economia de juros da avalanche</t>
  </si>
  <si>
    <t xml:space="preserve">Leitura da Manada</t>
  </si>
  <si>
    <t xml:space="preserve">Primeiros 60 meses</t>
  </si>
  <si>
    <t xml:space="preserve">Fila de pagamento de cada método</t>
  </si>
  <si>
    <t xml:space="preserve">Avalanche · maior juro primeiro</t>
  </si>
  <si>
    <t xml:space="preserve">Bola de neve · menor saldo primeiro</t>
  </si>
  <si>
    <t xml:space="preserve">Fila</t>
  </si>
  <si>
    <t xml:space="preserve">Credor</t>
  </si>
  <si>
    <t xml:space="preserve">Saldo (R$)</t>
  </si>
  <si>
    <t xml:space="preserve">Juros</t>
  </si>
  <si>
    <t xml:space="preserve">Mínima (R$)</t>
  </si>
  <si>
    <t xml:space="preserve">Simulação mês a mês · Avalanche</t>
  </si>
  <si>
    <t xml:space="preserve">Cálculo automático. Não precisa mexer aqui.</t>
  </si>
  <si>
    <t xml:space="preserve">Mês</t>
  </si>
  <si>
    <t xml:space="preserve">Sobra p/ extra</t>
  </si>
  <si>
    <t xml:space="preserve">1ª · Devido</t>
  </si>
  <si>
    <t xml:space="preserve">1ª · Mínima</t>
  </si>
  <si>
    <t xml:space="preserve">1ª · Extra</t>
  </si>
  <si>
    <t xml:space="preserve">1ª · Saldo</t>
  </si>
  <si>
    <t xml:space="preserve">2ª · Devido</t>
  </si>
  <si>
    <t xml:space="preserve">2ª · Mínima</t>
  </si>
  <si>
    <t xml:space="preserve">2ª · Extra</t>
  </si>
  <si>
    <t xml:space="preserve">2ª · Saldo</t>
  </si>
  <si>
    <t xml:space="preserve">3ª · Devido</t>
  </si>
  <si>
    <t xml:space="preserve">3ª · Mínima</t>
  </si>
  <si>
    <t xml:space="preserve">3ª · Extra</t>
  </si>
  <si>
    <t xml:space="preserve">3ª · Saldo</t>
  </si>
  <si>
    <t xml:space="preserve">4ª · Devido</t>
  </si>
  <si>
    <t xml:space="preserve">4ª · Mínima</t>
  </si>
  <si>
    <t xml:space="preserve">4ª · Extra</t>
  </si>
  <si>
    <t xml:space="preserve">4ª · Saldo</t>
  </si>
  <si>
    <t xml:space="preserve">5ª · Devido</t>
  </si>
  <si>
    <t xml:space="preserve">5ª · Mínima</t>
  </si>
  <si>
    <t xml:space="preserve">5ª · Extra</t>
  </si>
  <si>
    <t xml:space="preserve">5ª · Saldo</t>
  </si>
  <si>
    <t xml:space="preserve">6ª · Devido</t>
  </si>
  <si>
    <t xml:space="preserve">6ª · Mínima</t>
  </si>
  <si>
    <t xml:space="preserve">6ª · Extra</t>
  </si>
  <si>
    <t xml:space="preserve">6ª · Saldo</t>
  </si>
  <si>
    <t xml:space="preserve">7ª · Devido</t>
  </si>
  <si>
    <t xml:space="preserve">7ª · Mínima</t>
  </si>
  <si>
    <t xml:space="preserve">7ª · Extra</t>
  </si>
  <si>
    <t xml:space="preserve">7ª · Saldo</t>
  </si>
  <si>
    <t xml:space="preserve">8ª · Devido</t>
  </si>
  <si>
    <t xml:space="preserve">8ª · Mínima</t>
  </si>
  <si>
    <t xml:space="preserve">8ª · Extra</t>
  </si>
  <si>
    <t xml:space="preserve">8ª · Saldo</t>
  </si>
  <si>
    <t xml:space="preserve">9ª · Devido</t>
  </si>
  <si>
    <t xml:space="preserve">9ª · Mínima</t>
  </si>
  <si>
    <t xml:space="preserve">9ª · Extra</t>
  </si>
  <si>
    <t xml:space="preserve">9ª · Saldo</t>
  </si>
  <si>
    <t xml:space="preserve">10ª · Devido</t>
  </si>
  <si>
    <t xml:space="preserve">10ª · Mínima</t>
  </si>
  <si>
    <t xml:space="preserve">10ª · Extra</t>
  </si>
  <si>
    <t xml:space="preserve">10ª · Saldo</t>
  </si>
  <si>
    <t xml:space="preserve">Saldo total</t>
  </si>
  <si>
    <t xml:space="preserve">Pago no mês</t>
  </si>
  <si>
    <t xml:space="preserve">Simulação mês a mês · Bola de neve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</si>
</sst>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/yyyy"/>
    <numFmt numFmtId="166" formatCode="&quot;R$ &quot;#,##0.00;&quot;-R$ &quot;#,##0.00;\-"/>
    <numFmt numFmtId="167" formatCode="0.0%"/>
    <numFmt numFmtId="168" formatCode="0.000000"/>
    <numFmt numFmtId="169" formatCode="0.00"/>
    <numFmt numFmtId="170" formatCode="0&quot; meses&quot;"/>
    <numFmt numFmtId="171" formatCode="0"/>
    <numFmt numFmtId="172" formatCode="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sz val="10"/>
      <color rgb="FF233C36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6370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37069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3706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A16C46"/>
      <name val="Arial"/>
      <family val="0"/>
      <charset val="1"/>
    </font>
    <font>
      <b val="true"/>
      <sz val="12"/>
      <color rgb="FF233C36"/>
      <name val="Arial"/>
      <family val="0"/>
      <charset val="1"/>
    </font>
    <font>
      <b val="true"/>
      <sz val="9"/>
      <color rgb="FF233C36"/>
      <name val="Arial"/>
      <family val="0"/>
      <charset val="1"/>
    </font>
    <font>
      <b val="true"/>
      <sz val="8"/>
      <color rgb="FF233C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233C36"/>
        <bgColor rgb="FF333300"/>
      </patternFill>
    </fill>
    <fill>
      <patternFill patternType="solid">
        <fgColor rgb="FFF5F1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16C46"/>
      <rgbColor rgb="FF800080"/>
      <rgbColor rgb="FF008080"/>
      <rgbColor rgb="FFC0C0C0"/>
      <rgbColor rgb="FF878787"/>
      <rgbColor rgb="FF9999FF"/>
      <rgbColor rgb="FFBE4B48"/>
      <rgbColor rgb="FFFFF2B3"/>
      <rgbColor rgb="FFF5F1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ED3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370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total das dívidas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"Avalanche"</c:f>
              <c:strCache>
                <c:ptCount val="1"/>
                <c:pt idx="0">
                  <c:v>Avalanche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'Sim Avalanche'!$AQ$5:$AQ$64</c:f>
              <c:numCache>
                <c:formatCode>#,##0.00</c:formatCode>
                <c:ptCount val="60"/>
                <c:pt idx="0">
                  <c:v>12386</c:v>
                </c:pt>
                <c:pt idx="1">
                  <c:v>11620.93</c:v>
                </c:pt>
                <c:pt idx="2">
                  <c:v>10799.34015</c:v>
                </c:pt>
                <c:pt idx="3">
                  <c:v>9915.15814325</c:v>
                </c:pt>
                <c:pt idx="4">
                  <c:v>8961.61624690375</c:v>
                </c:pt>
                <c:pt idx="5">
                  <c:v>7931.16968650858</c:v>
                </c:pt>
                <c:pt idx="6">
                  <c:v>6815.40535462848</c:v>
                </c:pt>
                <c:pt idx="7">
                  <c:v>5610.15025043202</c:v>
                </c:pt>
                <c:pt idx="8">
                  <c:v>4356.50550919714</c:v>
                </c:pt>
                <c:pt idx="9">
                  <c:v>3058.98320201904</c:v>
                </c:pt>
                <c:pt idx="10">
                  <c:v>1716.04761408971</c:v>
                </c:pt>
                <c:pt idx="11">
                  <c:v>326.109280582845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"Bola de neve"</c:f>
              <c:strCache>
                <c:ptCount val="1"/>
                <c:pt idx="0">
                  <c:v>Bola de neve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'Sim Bola de neve'!$AQ$5:$AQ$64</c:f>
              <c:numCache>
                <c:formatCode>#,##0.00</c:formatCode>
                <c:ptCount val="60"/>
                <c:pt idx="0">
                  <c:v>12386</c:v>
                </c:pt>
                <c:pt idx="1">
                  <c:v>11668.93</c:v>
                </c:pt>
                <c:pt idx="2">
                  <c:v>10933.10015</c:v>
                </c:pt>
                <c:pt idx="3">
                  <c:v>10149.60934325</c:v>
                </c:pt>
                <c:pt idx="4">
                  <c:v>9298.46838898375</c:v>
                </c:pt>
                <c:pt idx="5">
                  <c:v>8361.77222756458</c:v>
                </c:pt>
                <c:pt idx="6">
                  <c:v>7329.83459389171</c:v>
                </c:pt>
                <c:pt idx="7">
                  <c:v>6191.82718364377</c:v>
                </c:pt>
                <c:pt idx="8">
                  <c:v>4958.5411350713</c:v>
                </c:pt>
                <c:pt idx="9">
                  <c:v>3682.0900747988</c:v>
                </c:pt>
                <c:pt idx="10">
                  <c:v>2360.96322741675</c:v>
                </c:pt>
                <c:pt idx="11">
                  <c:v>993.596940376341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36587"/>
        <c:axId val="22365750"/>
      </c:lineChart>
      <c:catAx>
        <c:axId val="84365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65750"/>
        <c:crosses val="autoZero"/>
        <c:auto val="1"/>
        <c:lblAlgn val="ctr"/>
        <c:lblOffset val="100"/>
        <c:noMultiLvlLbl val="0"/>
      </c:catAx>
      <c:valAx>
        <c:axId val="22365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6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86400</xdr:rowOff>
    </xdr:from>
    <xdr:to>
      <xdr:col>5</xdr:col>
      <xdr:colOff>347400</xdr:colOff>
      <xdr:row>36</xdr:row>
      <xdr:rowOff>108720</xdr:rowOff>
    </xdr:to>
    <xdr:graphicFrame>
      <xdr:nvGraphicFramePr>
        <xdr:cNvPr id="0" name="Chart 1"/>
        <xdr:cNvGraphicFramePr/>
      </xdr:nvGraphicFramePr>
      <xdr:xfrm>
        <a:off x="211320" y="419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26.8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26.8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5" t="s">
        <v>10</v>
      </c>
    </row>
    <row r="16" customFormat="false" ht="26.85" hidden="false" customHeight="false" outlineLevel="0" collapsed="false">
      <c r="B16" s="6" t="s">
        <v>11</v>
      </c>
    </row>
    <row r="17" customFormat="false" ht="15" hidden="false" customHeight="false" outlineLevel="0" collapsed="false">
      <c r="B17" s="3"/>
    </row>
    <row r="18" customFormat="false" ht="16.15" hidden="false" customHeight="false" outlineLevel="0" collapsed="false">
      <c r="B18" s="5" t="s">
        <v>12</v>
      </c>
    </row>
    <row r="19" customFormat="false" ht="39.5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8" min="7" style="0" width="14"/>
  </cols>
  <sheetData>
    <row r="2" customFormat="false" ht="22.05" hidden="false" customHeight="false" outlineLevel="0" collapsed="false">
      <c r="B2" s="8" t="s">
        <v>15</v>
      </c>
    </row>
    <row r="4" customFormat="false" ht="15" hidden="false" customHeight="false" outlineLevel="0" collapsed="false">
      <c r="B4" s="9" t="s">
        <v>16</v>
      </c>
      <c r="C4" s="10" t="n">
        <v>46327</v>
      </c>
    </row>
    <row r="5" customFormat="false" ht="15" hidden="false" customHeight="false" outlineLevel="0" collapsed="false">
      <c r="B5" s="9" t="s">
        <v>17</v>
      </c>
      <c r="C5" s="11" t="n">
        <v>400</v>
      </c>
    </row>
    <row r="6" customFormat="false" ht="15" hidden="false" customHeight="false" outlineLevel="0" collapsed="false">
      <c r="G6" s="12" t="s">
        <v>18</v>
      </c>
    </row>
    <row r="7" customFormat="false" ht="30" hidden="false" customHeight="true" outlineLevel="0" collapsed="false">
      <c r="B7" s="13" t="s">
        <v>19</v>
      </c>
      <c r="C7" s="14" t="s">
        <v>20</v>
      </c>
      <c r="D7" s="14" t="s">
        <v>21</v>
      </c>
      <c r="E7" s="14" t="s">
        <v>22</v>
      </c>
    </row>
    <row r="8" customFormat="false" ht="15" hidden="false" customHeight="false" outlineLevel="0" collapsed="false">
      <c r="B8" s="15" t="s">
        <v>23</v>
      </c>
      <c r="C8" s="11" t="n">
        <v>3000</v>
      </c>
      <c r="D8" s="16" t="n">
        <v>0.12</v>
      </c>
      <c r="E8" s="11" t="n">
        <v>300</v>
      </c>
      <c r="G8" s="17" t="n">
        <f aca="false">IF(N(C8)&gt;0,N(D8)+ROW()/1000000000,-1)</f>
        <v>0.120000008</v>
      </c>
      <c r="H8" s="18" t="n">
        <f aca="false">IF(N(C8)&gt;0,N(C8)+ROW()/1000000,1000000000000)</f>
        <v>3000.000008</v>
      </c>
    </row>
    <row r="9" customFormat="false" ht="15" hidden="false" customHeight="false" outlineLevel="0" collapsed="false">
      <c r="B9" s="15" t="s">
        <v>24</v>
      </c>
      <c r="C9" s="11" t="n">
        <v>8000</v>
      </c>
      <c r="D9" s="16" t="n">
        <v>0.035</v>
      </c>
      <c r="E9" s="11" t="n">
        <v>450</v>
      </c>
      <c r="G9" s="17" t="n">
        <f aca="false">IF(N(C9)&gt;0,N(D9)+ROW()/1000000000,-1)</f>
        <v>0.035000009</v>
      </c>
      <c r="H9" s="18" t="n">
        <f aca="false">IF(N(C9)&gt;0,N(C9)+ROW()/1000000,1000000000000)</f>
        <v>8000.000009</v>
      </c>
    </row>
    <row r="10" customFormat="false" ht="15" hidden="false" customHeight="false" outlineLevel="0" collapsed="false">
      <c r="B10" s="15" t="s">
        <v>25</v>
      </c>
      <c r="C10" s="11" t="n">
        <v>1200</v>
      </c>
      <c r="D10" s="16" t="n">
        <v>0.08</v>
      </c>
      <c r="E10" s="11" t="n">
        <v>150</v>
      </c>
      <c r="G10" s="17" t="n">
        <f aca="false">IF(N(C10)&gt;0,N(D10)+ROW()/1000000000,-1)</f>
        <v>0.08000001</v>
      </c>
      <c r="H10" s="18" t="n">
        <f aca="false">IF(N(C10)&gt;0,N(C10)+ROW()/1000000,1000000000000)</f>
        <v>1200.00001</v>
      </c>
    </row>
    <row r="11" customFormat="false" ht="15" hidden="false" customHeight="false" outlineLevel="0" collapsed="false">
      <c r="B11" s="15" t="s">
        <v>26</v>
      </c>
      <c r="C11" s="11" t="n">
        <v>900</v>
      </c>
      <c r="D11" s="16" t="n">
        <v>0</v>
      </c>
      <c r="E11" s="11" t="n">
        <v>150</v>
      </c>
      <c r="G11" s="17" t="n">
        <f aca="false">IF(N(C11)&gt;0,N(D11)+ROW()/1000000000,-1)</f>
        <v>1.1E-008</v>
      </c>
      <c r="H11" s="18" t="n">
        <f aca="false">IF(N(C11)&gt;0,N(C11)+ROW()/1000000,1000000000000)</f>
        <v>900.000011</v>
      </c>
    </row>
    <row r="12" customFormat="false" ht="15" hidden="false" customHeight="false" outlineLevel="0" collapsed="false">
      <c r="B12" s="15"/>
      <c r="C12" s="11"/>
      <c r="D12" s="16"/>
      <c r="E12" s="11"/>
      <c r="G12" s="17" t="n">
        <f aca="false">IF(N(C12)&gt;0,N(D12)+ROW()/1000000000,-1)</f>
        <v>-1</v>
      </c>
      <c r="H12" s="18" t="n">
        <f aca="false">IF(N(C12)&gt;0,N(C12)+ROW()/1000000,1000000000000)</f>
        <v>1000000000000</v>
      </c>
    </row>
    <row r="13" customFormat="false" ht="15" hidden="false" customHeight="false" outlineLevel="0" collapsed="false">
      <c r="B13" s="15"/>
      <c r="C13" s="11"/>
      <c r="D13" s="16"/>
      <c r="E13" s="11"/>
      <c r="G13" s="17" t="n">
        <f aca="false">IF(N(C13)&gt;0,N(D13)+ROW()/1000000000,-1)</f>
        <v>-1</v>
      </c>
      <c r="H13" s="18" t="n">
        <f aca="false">IF(N(C13)&gt;0,N(C13)+ROW()/1000000,1000000000000)</f>
        <v>1000000000000</v>
      </c>
    </row>
    <row r="14" customFormat="false" ht="15" hidden="false" customHeight="false" outlineLevel="0" collapsed="false">
      <c r="B14" s="15"/>
      <c r="C14" s="11"/>
      <c r="D14" s="16"/>
      <c r="E14" s="11"/>
      <c r="G14" s="17" t="n">
        <f aca="false">IF(N(C14)&gt;0,N(D14)+ROW()/1000000000,-1)</f>
        <v>-1</v>
      </c>
      <c r="H14" s="18" t="n">
        <f aca="false">IF(N(C14)&gt;0,N(C14)+ROW()/1000000,1000000000000)</f>
        <v>1000000000000</v>
      </c>
    </row>
    <row r="15" customFormat="false" ht="15" hidden="false" customHeight="false" outlineLevel="0" collapsed="false">
      <c r="B15" s="15"/>
      <c r="C15" s="11"/>
      <c r="D15" s="16"/>
      <c r="E15" s="11"/>
      <c r="G15" s="17" t="n">
        <f aca="false">IF(N(C15)&gt;0,N(D15)+ROW()/1000000000,-1)</f>
        <v>-1</v>
      </c>
      <c r="H15" s="18" t="n">
        <f aca="false">IF(N(C15)&gt;0,N(C15)+ROW()/1000000,1000000000000)</f>
        <v>1000000000000</v>
      </c>
    </row>
    <row r="16" customFormat="false" ht="15" hidden="false" customHeight="false" outlineLevel="0" collapsed="false">
      <c r="B16" s="15"/>
      <c r="C16" s="11"/>
      <c r="D16" s="16"/>
      <c r="E16" s="11"/>
      <c r="G16" s="17" t="n">
        <f aca="false">IF(N(C16)&gt;0,N(D16)+ROW()/1000000000,-1)</f>
        <v>-1</v>
      </c>
      <c r="H16" s="18" t="n">
        <f aca="false">IF(N(C16)&gt;0,N(C16)+ROW()/1000000,1000000000000)</f>
        <v>1000000000000</v>
      </c>
    </row>
    <row r="17" customFormat="false" ht="15" hidden="false" customHeight="false" outlineLevel="0" collapsed="false">
      <c r="B17" s="15"/>
      <c r="C17" s="11"/>
      <c r="D17" s="16"/>
      <c r="E17" s="11"/>
      <c r="G17" s="17" t="n">
        <f aca="false">IF(N(C17)&gt;0,N(D17)+ROW()/1000000000,-1)</f>
        <v>-1</v>
      </c>
      <c r="H17" s="18" t="n">
        <f aca="false">IF(N(C17)&gt;0,N(C17)+ROW()/1000000,1000000000000)</f>
        <v>1000000000000</v>
      </c>
    </row>
    <row r="18" customFormat="false" ht="15" hidden="false" customHeight="false" outlineLevel="0" collapsed="false">
      <c r="B18" s="19" t="s">
        <v>27</v>
      </c>
      <c r="C18" s="20" t="n">
        <f aca="false">SUM(C8:C17)</f>
        <v>13100</v>
      </c>
      <c r="D18" s="21"/>
      <c r="E18" s="20" t="n">
        <f aca="false">SUM(E8:E17)</f>
        <v>1050</v>
      </c>
    </row>
    <row r="20" customFormat="false" ht="15" hidden="false" customHeight="false" outlineLevel="0" collapsed="false">
      <c r="B20" s="22" t="s">
        <v>28</v>
      </c>
      <c r="C20" s="23" t="n">
        <f aca="false">E18+C5</f>
        <v>1450</v>
      </c>
    </row>
    <row r="21" customFormat="false" ht="15" hidden="false" customHeight="false" outlineLevel="0" collapsed="false">
      <c r="B21" s="9" t="s">
        <v>29</v>
      </c>
      <c r="C21" s="24" t="n">
        <f aca="false">SUMPRODUCT(C8:C17,D8:D17)</f>
        <v>736</v>
      </c>
    </row>
    <row r="23" customFormat="false" ht="15" hidden="false" customHeight="false" outlineLevel="0" collapsed="false">
      <c r="B23" s="2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3"/>
  </cols>
  <sheetData>
    <row r="2" customFormat="false" ht="22.05" hidden="false" customHeight="false" outlineLevel="0" collapsed="false">
      <c r="B2" s="8" t="s">
        <v>31</v>
      </c>
    </row>
    <row r="3" customFormat="false" ht="15" hidden="false" customHeight="false" outlineLevel="0" collapsed="false">
      <c r="B3" s="26" t="s">
        <v>32</v>
      </c>
    </row>
    <row r="5" customFormat="false" ht="15" hidden="false" customHeight="false" outlineLevel="0" collapsed="false">
      <c r="B5" s="13"/>
      <c r="C5" s="14" t="s">
        <v>33</v>
      </c>
      <c r="D5" s="14" t="s">
        <v>34</v>
      </c>
    </row>
    <row r="6" customFormat="false" ht="15" hidden="false" customHeight="false" outlineLevel="0" collapsed="false">
      <c r="B6" s="9" t="s">
        <v>35</v>
      </c>
      <c r="C6" s="27" t="str">
        <f aca="false">Ordem!C6</f>
        <v>Cartão de crédito (rotativo)</v>
      </c>
      <c r="D6" s="27" t="str">
        <f aca="false">Ordem!I6</f>
        <v>Compra parcelada na loja</v>
      </c>
    </row>
    <row r="7" customFormat="false" ht="15" hidden="false" customHeight="false" outlineLevel="0" collapsed="false">
      <c r="B7" s="9" t="s">
        <v>36</v>
      </c>
      <c r="C7" s="27" t="str">
        <f aca="false">Ordem!C7</f>
        <v>Cheque especial</v>
      </c>
      <c r="D7" s="27" t="str">
        <f aca="false">Ordem!I7</f>
        <v>Cheque especial</v>
      </c>
    </row>
    <row r="8" customFormat="false" ht="15" hidden="false" customHeight="false" outlineLevel="0" collapsed="false">
      <c r="B8" s="9" t="s">
        <v>37</v>
      </c>
      <c r="C8" s="27" t="str">
        <f aca="false">Ordem!C8</f>
        <v>Empréstimo pessoal</v>
      </c>
      <c r="D8" s="27" t="str">
        <f aca="false">Ordem!I8</f>
        <v>Cartão de crédito (rotativo)</v>
      </c>
    </row>
    <row r="9" customFormat="false" ht="15" hidden="false" customHeight="false" outlineLevel="0" collapsed="false">
      <c r="B9" s="22" t="s">
        <v>38</v>
      </c>
      <c r="C9" s="28" t="n">
        <f aca="false">IF(Dívidas!C18&lt;=0,0,IF(COUNTIF('Sim Avalanche'!AQ5:AQ124,"&gt;0.01")&gt;=120,"Mais de 10 anos",COUNTIF('Sim Avalanche'!AQ5:AQ124,"&gt;0.01")+1))</f>
        <v>13</v>
      </c>
      <c r="D9" s="28" t="n">
        <f aca="false">IF(Dívidas!C18&lt;=0,0,IF(COUNTIF('Sim Bola de neve'!AQ5:AQ124,"&gt;0.01")&gt;=120,"Mais de 10 anos",COUNTIF('Sim Bola de neve'!AQ5:AQ124,"&gt;0.01")+1))</f>
        <v>13</v>
      </c>
    </row>
    <row r="10" customFormat="false" ht="15" hidden="false" customHeight="false" outlineLevel="0" collapsed="false">
      <c r="B10" s="9" t="s">
        <v>39</v>
      </c>
      <c r="C10" s="29" t="n">
        <f aca="false">IF(ISNUMBER(C9),EDATE(Dívidas!$C$4,C9-1),"-")</f>
        <v>46692</v>
      </c>
      <c r="D10" s="29" t="n">
        <f aca="false">IF(ISNUMBER(D9),EDATE(Dívidas!$C$4,D9-1),"-")</f>
        <v>46692</v>
      </c>
    </row>
    <row r="11" customFormat="false" ht="15" hidden="false" customHeight="false" outlineLevel="0" collapsed="false">
      <c r="B11" s="22" t="s">
        <v>40</v>
      </c>
      <c r="C11" s="30" t="n">
        <f aca="false">SUM('Sim Avalanche'!AR5:AR124)+'Sim Avalanche'!AQ124-Dívidas!C18</f>
        <v>4637.52310540325</v>
      </c>
      <c r="D11" s="30" t="n">
        <f aca="false">SUM('Sim Bola de neve'!AR5:AR124)+'Sim Bola de neve'!AQ124-Dívidas!C18</f>
        <v>5328.37283328951</v>
      </c>
    </row>
    <row r="12" customFormat="false" ht="15" hidden="false" customHeight="false" outlineLevel="0" collapsed="false">
      <c r="B12" s="9" t="s">
        <v>41</v>
      </c>
      <c r="C12" s="31" t="n">
        <f aca="false">IFERROR(MATCH(0,'Sim Avalanche'!F5:F124,0),"-")</f>
        <v>7</v>
      </c>
      <c r="D12" s="31" t="n">
        <f aca="false">IFERROR(MATCH(0,'Sim Bola de neve'!F5:F124,0),"-")</f>
        <v>2</v>
      </c>
    </row>
    <row r="14" customFormat="false" ht="15" hidden="false" customHeight="false" outlineLevel="0" collapsed="false">
      <c r="B14" s="19" t="s">
        <v>42</v>
      </c>
      <c r="C14" s="20" t="n">
        <f aca="false">D11-C11</f>
        <v>690.849727886267</v>
      </c>
      <c r="D14" s="20"/>
    </row>
    <row r="16" customFormat="false" ht="16.15" hidden="false" customHeight="false" outlineLevel="0" collapsed="false">
      <c r="B16" s="32" t="s">
        <v>43</v>
      </c>
    </row>
    <row r="17" customFormat="false" ht="15" hidden="false" customHeight="false" outlineLevel="0" collapsed="false">
      <c r="B17" s="33" t="str">
        <f aca="false">IF(Dívidas!C21&gt;=Dívidas!C20,"Atenção: o orçamento não cobre nem os juros do mês. Antes de escolher um método, procure renegociar a dívida mais cara ou aumentar o valor extra.",IF(D11-C11&gt;200,"A avalanche economiza "&amp;"R$ "&amp;FIXED(D11-C11,0)&amp;" em juros. Se você precisa de vitórias rápidas para não desistir, a bola de neve quita a primeira dívida em "&amp;D12&amp;" meses. Escolha o que você vai conseguir manter.","Os dois métodos ficam parecidos no seu caso. Vá de bola de neve: as vitórias rápidas ajudam a não desistir."))</f>
        <v>A avalanche economiza R$ 691 em juros. Se você precisa de vitórias rápidas para não desistir, a bola de neve quita a primeira dívida em 2 meses. Escolha o que você vai conseguir manter.</v>
      </c>
      <c r="C17" s="33"/>
      <c r="D17" s="33"/>
    </row>
    <row r="18" customFormat="false" ht="15" hidden="false" customHeight="false" outlineLevel="0" collapsed="false">
      <c r="B18" s="33"/>
      <c r="C18" s="33"/>
      <c r="D18" s="33"/>
    </row>
    <row r="19" customFormat="false" ht="15" hidden="false" customHeight="false" outlineLevel="0" collapsed="false">
      <c r="B19" s="33"/>
      <c r="C19" s="33"/>
      <c r="D19" s="33"/>
    </row>
    <row r="20" customFormat="false" ht="15" hidden="false" customHeight="false" outlineLevel="0" collapsed="false">
      <c r="B20" s="33"/>
      <c r="C20" s="33"/>
      <c r="D20" s="33"/>
    </row>
    <row r="22" customFormat="false" ht="15" hidden="false" customHeight="false" outlineLevel="0" collapsed="false">
      <c r="B22" s="34" t="s">
        <v>44</v>
      </c>
    </row>
  </sheetData>
  <mergeCells count="2">
    <mergeCell ref="C14:D14"/>
    <mergeCell ref="B17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6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</cols>
  <sheetData>
    <row r="2" customFormat="false" ht="22.05" hidden="false" customHeight="false" outlineLevel="0" collapsed="false">
      <c r="B2" s="8" t="s">
        <v>45</v>
      </c>
    </row>
    <row r="4" customFormat="false" ht="15" hidden="false" customHeight="false" outlineLevel="0" collapsed="false">
      <c r="B4" s="35" t="s">
        <v>46</v>
      </c>
      <c r="H4" s="35" t="s">
        <v>47</v>
      </c>
    </row>
    <row r="5" customFormat="false" ht="15" hidden="false" customHeight="false" outlineLevel="0" collapsed="false">
      <c r="B5" s="13" t="s">
        <v>48</v>
      </c>
      <c r="C5" s="14" t="s">
        <v>49</v>
      </c>
      <c r="D5" s="14" t="s">
        <v>50</v>
      </c>
      <c r="E5" s="14" t="s">
        <v>51</v>
      </c>
      <c r="F5" s="14" t="s">
        <v>52</v>
      </c>
      <c r="H5" s="13" t="s">
        <v>48</v>
      </c>
      <c r="I5" s="14" t="s">
        <v>49</v>
      </c>
      <c r="J5" s="14" t="s">
        <v>50</v>
      </c>
      <c r="K5" s="14" t="s">
        <v>51</v>
      </c>
      <c r="L5" s="14" t="s">
        <v>52</v>
      </c>
    </row>
    <row r="6" customFormat="false" ht="15" hidden="false" customHeight="false" outlineLevel="0" collapsed="false">
      <c r="B6" s="36" t="n">
        <v>1</v>
      </c>
      <c r="C6" s="37" t="str">
        <f aca="false">IF(N(INDEX(Dívidas!$C$8:$C$17,MATCH(LARGE(Dívidas!$G$8:$G$17,1),Dívidas!$G$8:$G$17,0)))&gt;0,INDEX(Dívidas!$B$8:$B$17,MATCH(LARGE(Dívidas!$G$8:$G$17,1),Dívidas!$G$8:$G$17,0)),"")</f>
        <v>Cartão de crédito (rotativo)</v>
      </c>
      <c r="D6" s="38" t="n">
        <f aca="false">IF(N(INDEX(Dívidas!$C$8:$C$17,MATCH(LARGE(Dívidas!$G$8:$G$17,1),Dívidas!$G$8:$G$17,0)))&gt;0,N(INDEX(Dívidas!$C$8:$C$17,MATCH(LARGE(Dívidas!$G$8:$G$17,1),Dívidas!$G$8:$G$17,0))),0)</f>
        <v>3000</v>
      </c>
      <c r="E6" s="39" t="n">
        <f aca="false">IF(N(INDEX(Dívidas!$C$8:$C$17,MATCH(LARGE(Dívidas!$G$8:$G$17,1),Dívidas!$G$8:$G$17,0)))&gt;0,N(INDEX(Dívidas!$D$8:$D$17,MATCH(LARGE(Dívidas!$G$8:$G$17,1),Dívidas!$G$8:$G$17,0))),0)</f>
        <v>0.12</v>
      </c>
      <c r="F6" s="38" t="n">
        <f aca="false">IF(N(INDEX(Dívidas!$C$8:$C$17,MATCH(LARGE(Dívidas!$G$8:$G$17,1),Dívidas!$G$8:$G$17,0)))&gt;0,N(INDEX(Dívidas!$E$8:$E$17,MATCH(LARGE(Dívidas!$G$8:$G$17,1),Dívidas!$G$8:$G$17,0))),0)</f>
        <v>300</v>
      </c>
      <c r="H6" s="36" t="n">
        <v>1</v>
      </c>
      <c r="I6" s="37" t="str">
        <f aca="false">IF(N(INDEX(Dívidas!$C$8:$C$17,MATCH(SMALL(Dívidas!$H$8:$H$17,1),Dívidas!$H$8:$H$17,0)))&gt;0,INDEX(Dívidas!$B$8:$B$17,MATCH(SMALL(Dívidas!$H$8:$H$17,1),Dívidas!$H$8:$H$17,0)),"")</f>
        <v>Compra parcelada na loja</v>
      </c>
      <c r="J6" s="38" t="n">
        <f aca="false">IF(N(INDEX(Dívidas!$C$8:$C$17,MATCH(SMALL(Dívidas!$H$8:$H$17,1),Dívidas!$H$8:$H$17,0)))&gt;0,N(INDEX(Dívidas!$C$8:$C$17,MATCH(SMALL(Dívidas!$H$8:$H$17,1),Dívidas!$H$8:$H$17,0))),0)</f>
        <v>900</v>
      </c>
      <c r="K6" s="39" t="n">
        <f aca="false">IF(N(INDEX(Dívidas!$C$8:$C$17,MATCH(SMALL(Dívidas!$H$8:$H$17,1),Dívidas!$H$8:$H$17,0)))&gt;0,N(INDEX(Dívidas!$D$8:$D$17,MATCH(SMALL(Dívidas!$H$8:$H$17,1),Dívidas!$H$8:$H$17,0))),0)</f>
        <v>0</v>
      </c>
      <c r="L6" s="38" t="n">
        <f aca="false">IF(N(INDEX(Dívidas!$C$8:$C$17,MATCH(SMALL(Dívidas!$H$8:$H$17,1),Dívidas!$H$8:$H$17,0)))&gt;0,N(INDEX(Dívidas!$E$8:$E$17,MATCH(SMALL(Dívidas!$H$8:$H$17,1),Dívidas!$H$8:$H$17,0))),0)</f>
        <v>150</v>
      </c>
    </row>
    <row r="7" customFormat="false" ht="15" hidden="false" customHeight="false" outlineLevel="0" collapsed="false">
      <c r="B7" s="36" t="n">
        <v>2</v>
      </c>
      <c r="C7" s="37" t="str">
        <f aca="false">IF(N(INDEX(Dívidas!$C$8:$C$17,MATCH(LARGE(Dívidas!$G$8:$G$17,2),Dívidas!$G$8:$G$17,0)))&gt;0,INDEX(Dívidas!$B$8:$B$17,MATCH(LARGE(Dívidas!$G$8:$G$17,2),Dívidas!$G$8:$G$17,0)),"")</f>
        <v>Cheque especial</v>
      </c>
      <c r="D7" s="38" t="n">
        <f aca="false">IF(N(INDEX(Dívidas!$C$8:$C$17,MATCH(LARGE(Dívidas!$G$8:$G$17,2),Dívidas!$G$8:$G$17,0)))&gt;0,N(INDEX(Dívidas!$C$8:$C$17,MATCH(LARGE(Dívidas!$G$8:$G$17,2),Dívidas!$G$8:$G$17,0))),0)</f>
        <v>1200</v>
      </c>
      <c r="E7" s="39" t="n">
        <f aca="false">IF(N(INDEX(Dívidas!$C$8:$C$17,MATCH(LARGE(Dívidas!$G$8:$G$17,2),Dívidas!$G$8:$G$17,0)))&gt;0,N(INDEX(Dívidas!$D$8:$D$17,MATCH(LARGE(Dívidas!$G$8:$G$17,2),Dívidas!$G$8:$G$17,0))),0)</f>
        <v>0.08</v>
      </c>
      <c r="F7" s="38" t="n">
        <f aca="false">IF(N(INDEX(Dívidas!$C$8:$C$17,MATCH(LARGE(Dívidas!$G$8:$G$17,2),Dívidas!$G$8:$G$17,0)))&gt;0,N(INDEX(Dívidas!$E$8:$E$17,MATCH(LARGE(Dívidas!$G$8:$G$17,2),Dívidas!$G$8:$G$17,0))),0)</f>
        <v>150</v>
      </c>
      <c r="H7" s="36" t="n">
        <v>2</v>
      </c>
      <c r="I7" s="37" t="str">
        <f aca="false">IF(N(INDEX(Dívidas!$C$8:$C$17,MATCH(SMALL(Dívidas!$H$8:$H$17,2),Dívidas!$H$8:$H$17,0)))&gt;0,INDEX(Dívidas!$B$8:$B$17,MATCH(SMALL(Dívidas!$H$8:$H$17,2),Dívidas!$H$8:$H$17,0)),"")</f>
        <v>Cheque especial</v>
      </c>
      <c r="J7" s="38" t="n">
        <f aca="false">IF(N(INDEX(Dívidas!$C$8:$C$17,MATCH(SMALL(Dívidas!$H$8:$H$17,2),Dívidas!$H$8:$H$17,0)))&gt;0,N(INDEX(Dívidas!$C$8:$C$17,MATCH(SMALL(Dívidas!$H$8:$H$17,2),Dívidas!$H$8:$H$17,0))),0)</f>
        <v>1200</v>
      </c>
      <c r="K7" s="39" t="n">
        <f aca="false">IF(N(INDEX(Dívidas!$C$8:$C$17,MATCH(SMALL(Dívidas!$H$8:$H$17,2),Dívidas!$H$8:$H$17,0)))&gt;0,N(INDEX(Dívidas!$D$8:$D$17,MATCH(SMALL(Dívidas!$H$8:$H$17,2),Dívidas!$H$8:$H$17,0))),0)</f>
        <v>0.08</v>
      </c>
      <c r="L7" s="38" t="n">
        <f aca="false">IF(N(INDEX(Dívidas!$C$8:$C$17,MATCH(SMALL(Dívidas!$H$8:$H$17,2),Dívidas!$H$8:$H$17,0)))&gt;0,N(INDEX(Dívidas!$E$8:$E$17,MATCH(SMALL(Dívidas!$H$8:$H$17,2),Dívidas!$H$8:$H$17,0))),0)</f>
        <v>150</v>
      </c>
    </row>
    <row r="8" customFormat="false" ht="15" hidden="false" customHeight="false" outlineLevel="0" collapsed="false">
      <c r="B8" s="36" t="n">
        <v>3</v>
      </c>
      <c r="C8" s="37" t="str">
        <f aca="false">IF(N(INDEX(Dívidas!$C$8:$C$17,MATCH(LARGE(Dívidas!$G$8:$G$17,3),Dívidas!$G$8:$G$17,0)))&gt;0,INDEX(Dívidas!$B$8:$B$17,MATCH(LARGE(Dívidas!$G$8:$G$17,3),Dívidas!$G$8:$G$17,0)),"")</f>
        <v>Empréstimo pessoal</v>
      </c>
      <c r="D8" s="38" t="n">
        <f aca="false">IF(N(INDEX(Dívidas!$C$8:$C$17,MATCH(LARGE(Dívidas!$G$8:$G$17,3),Dívidas!$G$8:$G$17,0)))&gt;0,N(INDEX(Dívidas!$C$8:$C$17,MATCH(LARGE(Dívidas!$G$8:$G$17,3),Dívidas!$G$8:$G$17,0))),0)</f>
        <v>8000</v>
      </c>
      <c r="E8" s="39" t="n">
        <f aca="false">IF(N(INDEX(Dívidas!$C$8:$C$17,MATCH(LARGE(Dívidas!$G$8:$G$17,3),Dívidas!$G$8:$G$17,0)))&gt;0,N(INDEX(Dívidas!$D$8:$D$17,MATCH(LARGE(Dívidas!$G$8:$G$17,3),Dívidas!$G$8:$G$17,0))),0)</f>
        <v>0.035</v>
      </c>
      <c r="F8" s="38" t="n">
        <f aca="false">IF(N(INDEX(Dívidas!$C$8:$C$17,MATCH(LARGE(Dívidas!$G$8:$G$17,3),Dívidas!$G$8:$G$17,0)))&gt;0,N(INDEX(Dívidas!$E$8:$E$17,MATCH(LARGE(Dívidas!$G$8:$G$17,3),Dívidas!$G$8:$G$17,0))),0)</f>
        <v>450</v>
      </c>
      <c r="H8" s="36" t="n">
        <v>3</v>
      </c>
      <c r="I8" s="37" t="str">
        <f aca="false">IF(N(INDEX(Dívidas!$C$8:$C$17,MATCH(SMALL(Dívidas!$H$8:$H$17,3),Dívidas!$H$8:$H$17,0)))&gt;0,INDEX(Dívidas!$B$8:$B$17,MATCH(SMALL(Dívidas!$H$8:$H$17,3),Dívidas!$H$8:$H$17,0)),"")</f>
        <v>Cartão de crédito (rotativo)</v>
      </c>
      <c r="J8" s="38" t="n">
        <f aca="false">IF(N(INDEX(Dívidas!$C$8:$C$17,MATCH(SMALL(Dívidas!$H$8:$H$17,3),Dívidas!$H$8:$H$17,0)))&gt;0,N(INDEX(Dívidas!$C$8:$C$17,MATCH(SMALL(Dívidas!$H$8:$H$17,3),Dívidas!$H$8:$H$17,0))),0)</f>
        <v>3000</v>
      </c>
      <c r="K8" s="39" t="n">
        <f aca="false">IF(N(INDEX(Dívidas!$C$8:$C$17,MATCH(SMALL(Dívidas!$H$8:$H$17,3),Dívidas!$H$8:$H$17,0)))&gt;0,N(INDEX(Dívidas!$D$8:$D$17,MATCH(SMALL(Dívidas!$H$8:$H$17,3),Dívidas!$H$8:$H$17,0))),0)</f>
        <v>0.12</v>
      </c>
      <c r="L8" s="38" t="n">
        <f aca="false">IF(N(INDEX(Dívidas!$C$8:$C$17,MATCH(SMALL(Dívidas!$H$8:$H$17,3),Dívidas!$H$8:$H$17,0)))&gt;0,N(INDEX(Dívidas!$E$8:$E$17,MATCH(SMALL(Dívidas!$H$8:$H$17,3),Dívidas!$H$8:$H$17,0))),0)</f>
        <v>300</v>
      </c>
    </row>
    <row r="9" customFormat="false" ht="15" hidden="false" customHeight="false" outlineLevel="0" collapsed="false">
      <c r="B9" s="36" t="n">
        <v>4</v>
      </c>
      <c r="C9" s="37" t="str">
        <f aca="false">IF(N(INDEX(Dívidas!$C$8:$C$17,MATCH(LARGE(Dívidas!$G$8:$G$17,4),Dívidas!$G$8:$G$17,0)))&gt;0,INDEX(Dívidas!$B$8:$B$17,MATCH(LARGE(Dívidas!$G$8:$G$17,4),Dívidas!$G$8:$G$17,0)),"")</f>
        <v>Compra parcelada na loja</v>
      </c>
      <c r="D9" s="38" t="n">
        <f aca="false">IF(N(INDEX(Dívidas!$C$8:$C$17,MATCH(LARGE(Dívidas!$G$8:$G$17,4),Dívidas!$G$8:$G$17,0)))&gt;0,N(INDEX(Dívidas!$C$8:$C$17,MATCH(LARGE(Dívidas!$G$8:$G$17,4),Dívidas!$G$8:$G$17,0))),0)</f>
        <v>900</v>
      </c>
      <c r="E9" s="39" t="n">
        <f aca="false">IF(N(INDEX(Dívidas!$C$8:$C$17,MATCH(LARGE(Dívidas!$G$8:$G$17,4),Dívidas!$G$8:$G$17,0)))&gt;0,N(INDEX(Dívidas!$D$8:$D$17,MATCH(LARGE(Dívidas!$G$8:$G$17,4),Dívidas!$G$8:$G$17,0))),0)</f>
        <v>0</v>
      </c>
      <c r="F9" s="38" t="n">
        <f aca="false">IF(N(INDEX(Dívidas!$C$8:$C$17,MATCH(LARGE(Dívidas!$G$8:$G$17,4),Dívidas!$G$8:$G$17,0)))&gt;0,N(INDEX(Dívidas!$E$8:$E$17,MATCH(LARGE(Dívidas!$G$8:$G$17,4),Dívidas!$G$8:$G$17,0))),0)</f>
        <v>150</v>
      </c>
      <c r="H9" s="36" t="n">
        <v>4</v>
      </c>
      <c r="I9" s="37" t="str">
        <f aca="false">IF(N(INDEX(Dívidas!$C$8:$C$17,MATCH(SMALL(Dívidas!$H$8:$H$17,4),Dívidas!$H$8:$H$17,0)))&gt;0,INDEX(Dívidas!$B$8:$B$17,MATCH(SMALL(Dívidas!$H$8:$H$17,4),Dívidas!$H$8:$H$17,0)),"")</f>
        <v>Empréstimo pessoal</v>
      </c>
      <c r="J9" s="38" t="n">
        <f aca="false">IF(N(INDEX(Dívidas!$C$8:$C$17,MATCH(SMALL(Dívidas!$H$8:$H$17,4),Dívidas!$H$8:$H$17,0)))&gt;0,N(INDEX(Dívidas!$C$8:$C$17,MATCH(SMALL(Dívidas!$H$8:$H$17,4),Dívidas!$H$8:$H$17,0))),0)</f>
        <v>8000</v>
      </c>
      <c r="K9" s="39" t="n">
        <f aca="false">IF(N(INDEX(Dívidas!$C$8:$C$17,MATCH(SMALL(Dívidas!$H$8:$H$17,4),Dívidas!$H$8:$H$17,0)))&gt;0,N(INDEX(Dívidas!$D$8:$D$17,MATCH(SMALL(Dívidas!$H$8:$H$17,4),Dívidas!$H$8:$H$17,0))),0)</f>
        <v>0.035</v>
      </c>
      <c r="L9" s="38" t="n">
        <f aca="false">IF(N(INDEX(Dívidas!$C$8:$C$17,MATCH(SMALL(Dívidas!$H$8:$H$17,4),Dívidas!$H$8:$H$17,0)))&gt;0,N(INDEX(Dívidas!$E$8:$E$17,MATCH(SMALL(Dívidas!$H$8:$H$17,4),Dívidas!$H$8:$H$17,0))),0)</f>
        <v>450</v>
      </c>
    </row>
    <row r="10" customFormat="false" ht="15" hidden="false" customHeight="false" outlineLevel="0" collapsed="false">
      <c r="B10" s="36" t="n">
        <v>5</v>
      </c>
      <c r="C10" s="37" t="str">
        <f aca="false">IF(N(INDEX(Dívidas!$C$8:$C$17,MATCH(LARGE(Dívidas!$G$8:$G$17,5),Dívidas!$G$8:$G$17,0)))&gt;0,INDEX(Dívidas!$B$8:$B$17,MATCH(LARGE(Dívidas!$G$8:$G$17,5),Dívidas!$G$8:$G$17,0)),"")</f>
        <v/>
      </c>
      <c r="D10" s="38" t="n">
        <f aca="false">IF(N(INDEX(Dívidas!$C$8:$C$17,MATCH(LARGE(Dívidas!$G$8:$G$17,5),Dívidas!$G$8:$G$17,0)))&gt;0,N(INDEX(Dívidas!$C$8:$C$17,MATCH(LARGE(Dívidas!$G$8:$G$17,5),Dívidas!$G$8:$G$17,0))),0)</f>
        <v>0</v>
      </c>
      <c r="E10" s="39" t="n">
        <f aca="false">IF(N(INDEX(Dívidas!$C$8:$C$17,MATCH(LARGE(Dívidas!$G$8:$G$17,5),Dívidas!$G$8:$G$17,0)))&gt;0,N(INDEX(Dívidas!$D$8:$D$17,MATCH(LARGE(Dívidas!$G$8:$G$17,5),Dívidas!$G$8:$G$17,0))),0)</f>
        <v>0</v>
      </c>
      <c r="F10" s="38" t="n">
        <f aca="false">IF(N(INDEX(Dívidas!$C$8:$C$17,MATCH(LARGE(Dívidas!$G$8:$G$17,5),Dívidas!$G$8:$G$17,0)))&gt;0,N(INDEX(Dívidas!$E$8:$E$17,MATCH(LARGE(Dívidas!$G$8:$G$17,5),Dívidas!$G$8:$G$17,0))),0)</f>
        <v>0</v>
      </c>
      <c r="H10" s="36" t="n">
        <v>5</v>
      </c>
      <c r="I10" s="37" t="str">
        <f aca="false">IF(N(INDEX(Dívidas!$C$8:$C$17,MATCH(SMALL(Dívidas!$H$8:$H$17,5),Dívidas!$H$8:$H$17,0)))&gt;0,INDEX(Dívidas!$B$8:$B$17,MATCH(SMALL(Dívidas!$H$8:$H$17,5),Dívidas!$H$8:$H$17,0)),"")</f>
        <v/>
      </c>
      <c r="J10" s="38" t="n">
        <f aca="false">IF(N(INDEX(Dívidas!$C$8:$C$17,MATCH(SMALL(Dívidas!$H$8:$H$17,5),Dívidas!$H$8:$H$17,0)))&gt;0,N(INDEX(Dívidas!$C$8:$C$17,MATCH(SMALL(Dívidas!$H$8:$H$17,5),Dívidas!$H$8:$H$17,0))),0)</f>
        <v>0</v>
      </c>
      <c r="K10" s="39" t="n">
        <f aca="false">IF(N(INDEX(Dívidas!$C$8:$C$17,MATCH(SMALL(Dívidas!$H$8:$H$17,5),Dívidas!$H$8:$H$17,0)))&gt;0,N(INDEX(Dívidas!$D$8:$D$17,MATCH(SMALL(Dívidas!$H$8:$H$17,5),Dívidas!$H$8:$H$17,0))),0)</f>
        <v>0</v>
      </c>
      <c r="L10" s="38" t="n">
        <f aca="false">IF(N(INDEX(Dívidas!$C$8:$C$17,MATCH(SMALL(Dívidas!$H$8:$H$17,5),Dívidas!$H$8:$H$17,0)))&gt;0,N(INDEX(Dívidas!$E$8:$E$17,MATCH(SMALL(Dívidas!$H$8:$H$17,5),Dívidas!$H$8:$H$17,0))),0)</f>
        <v>0</v>
      </c>
    </row>
    <row r="11" customFormat="false" ht="15" hidden="false" customHeight="false" outlineLevel="0" collapsed="false">
      <c r="B11" s="36" t="n">
        <v>6</v>
      </c>
      <c r="C11" s="37" t="str">
        <f aca="false">IF(N(INDEX(Dívidas!$C$8:$C$17,MATCH(LARGE(Dívidas!$G$8:$G$17,6),Dívidas!$G$8:$G$17,0)))&gt;0,INDEX(Dívidas!$B$8:$B$17,MATCH(LARGE(Dívidas!$G$8:$G$17,6),Dívidas!$G$8:$G$17,0)),"")</f>
        <v/>
      </c>
      <c r="D11" s="38" t="n">
        <f aca="false">IF(N(INDEX(Dívidas!$C$8:$C$17,MATCH(LARGE(Dívidas!$G$8:$G$17,6),Dívidas!$G$8:$G$17,0)))&gt;0,N(INDEX(Dívidas!$C$8:$C$17,MATCH(LARGE(Dívidas!$G$8:$G$17,6),Dívidas!$G$8:$G$17,0))),0)</f>
        <v>0</v>
      </c>
      <c r="E11" s="39" t="n">
        <f aca="false">IF(N(INDEX(Dívidas!$C$8:$C$17,MATCH(LARGE(Dívidas!$G$8:$G$17,6),Dívidas!$G$8:$G$17,0)))&gt;0,N(INDEX(Dívidas!$D$8:$D$17,MATCH(LARGE(Dívidas!$G$8:$G$17,6),Dívidas!$G$8:$G$17,0))),0)</f>
        <v>0</v>
      </c>
      <c r="F11" s="38" t="n">
        <f aca="false">IF(N(INDEX(Dívidas!$C$8:$C$17,MATCH(LARGE(Dívidas!$G$8:$G$17,6),Dívidas!$G$8:$G$17,0)))&gt;0,N(INDEX(Dívidas!$E$8:$E$17,MATCH(LARGE(Dívidas!$G$8:$G$17,6),Dívidas!$G$8:$G$17,0))),0)</f>
        <v>0</v>
      </c>
      <c r="H11" s="36" t="n">
        <v>6</v>
      </c>
      <c r="I11" s="37" t="str">
        <f aca="false">IF(N(INDEX(Dívidas!$C$8:$C$17,MATCH(SMALL(Dívidas!$H$8:$H$17,6),Dívidas!$H$8:$H$17,0)))&gt;0,INDEX(Dívidas!$B$8:$B$17,MATCH(SMALL(Dívidas!$H$8:$H$17,6),Dívidas!$H$8:$H$17,0)),"")</f>
        <v/>
      </c>
      <c r="J11" s="38" t="n">
        <f aca="false">IF(N(INDEX(Dívidas!$C$8:$C$17,MATCH(SMALL(Dívidas!$H$8:$H$17,6),Dívidas!$H$8:$H$17,0)))&gt;0,N(INDEX(Dívidas!$C$8:$C$17,MATCH(SMALL(Dívidas!$H$8:$H$17,6),Dívidas!$H$8:$H$17,0))),0)</f>
        <v>0</v>
      </c>
      <c r="K11" s="39" t="n">
        <f aca="false">IF(N(INDEX(Dívidas!$C$8:$C$17,MATCH(SMALL(Dívidas!$H$8:$H$17,6),Dívidas!$H$8:$H$17,0)))&gt;0,N(INDEX(Dívidas!$D$8:$D$17,MATCH(SMALL(Dívidas!$H$8:$H$17,6),Dívidas!$H$8:$H$17,0))),0)</f>
        <v>0</v>
      </c>
      <c r="L11" s="38" t="n">
        <f aca="false">IF(N(INDEX(Dívidas!$C$8:$C$17,MATCH(SMALL(Dívidas!$H$8:$H$17,6),Dívidas!$H$8:$H$17,0)))&gt;0,N(INDEX(Dívidas!$E$8:$E$17,MATCH(SMALL(Dívidas!$H$8:$H$17,6),Dívidas!$H$8:$H$17,0))),0)</f>
        <v>0</v>
      </c>
    </row>
    <row r="12" customFormat="false" ht="15" hidden="false" customHeight="false" outlineLevel="0" collapsed="false">
      <c r="B12" s="36" t="n">
        <v>7</v>
      </c>
      <c r="C12" s="37" t="str">
        <f aca="false">IF(N(INDEX(Dívidas!$C$8:$C$17,MATCH(LARGE(Dívidas!$G$8:$G$17,7),Dívidas!$G$8:$G$17,0)))&gt;0,INDEX(Dívidas!$B$8:$B$17,MATCH(LARGE(Dívidas!$G$8:$G$17,7),Dívidas!$G$8:$G$17,0)),"")</f>
        <v/>
      </c>
      <c r="D12" s="38" t="n">
        <f aca="false">IF(N(INDEX(Dívidas!$C$8:$C$17,MATCH(LARGE(Dívidas!$G$8:$G$17,7),Dívidas!$G$8:$G$17,0)))&gt;0,N(INDEX(Dívidas!$C$8:$C$17,MATCH(LARGE(Dívidas!$G$8:$G$17,7),Dívidas!$G$8:$G$17,0))),0)</f>
        <v>0</v>
      </c>
      <c r="E12" s="39" t="n">
        <f aca="false">IF(N(INDEX(Dívidas!$C$8:$C$17,MATCH(LARGE(Dívidas!$G$8:$G$17,7),Dívidas!$G$8:$G$17,0)))&gt;0,N(INDEX(Dívidas!$D$8:$D$17,MATCH(LARGE(Dívidas!$G$8:$G$17,7),Dívidas!$G$8:$G$17,0))),0)</f>
        <v>0</v>
      </c>
      <c r="F12" s="38" t="n">
        <f aca="false">IF(N(INDEX(Dívidas!$C$8:$C$17,MATCH(LARGE(Dívidas!$G$8:$G$17,7),Dívidas!$G$8:$G$17,0)))&gt;0,N(INDEX(Dívidas!$E$8:$E$17,MATCH(LARGE(Dívidas!$G$8:$G$17,7),Dívidas!$G$8:$G$17,0))),0)</f>
        <v>0</v>
      </c>
      <c r="H12" s="36" t="n">
        <v>7</v>
      </c>
      <c r="I12" s="37" t="str">
        <f aca="false">IF(N(INDEX(Dívidas!$C$8:$C$17,MATCH(SMALL(Dívidas!$H$8:$H$17,7),Dívidas!$H$8:$H$17,0)))&gt;0,INDEX(Dívidas!$B$8:$B$17,MATCH(SMALL(Dívidas!$H$8:$H$17,7),Dívidas!$H$8:$H$17,0)),"")</f>
        <v/>
      </c>
      <c r="J12" s="38" t="n">
        <f aca="false">IF(N(INDEX(Dívidas!$C$8:$C$17,MATCH(SMALL(Dívidas!$H$8:$H$17,7),Dívidas!$H$8:$H$17,0)))&gt;0,N(INDEX(Dívidas!$C$8:$C$17,MATCH(SMALL(Dívidas!$H$8:$H$17,7),Dívidas!$H$8:$H$17,0))),0)</f>
        <v>0</v>
      </c>
      <c r="K12" s="39" t="n">
        <f aca="false">IF(N(INDEX(Dívidas!$C$8:$C$17,MATCH(SMALL(Dívidas!$H$8:$H$17,7),Dívidas!$H$8:$H$17,0)))&gt;0,N(INDEX(Dívidas!$D$8:$D$17,MATCH(SMALL(Dívidas!$H$8:$H$17,7),Dívidas!$H$8:$H$17,0))),0)</f>
        <v>0</v>
      </c>
      <c r="L12" s="38" t="n">
        <f aca="false">IF(N(INDEX(Dívidas!$C$8:$C$17,MATCH(SMALL(Dívidas!$H$8:$H$17,7),Dívidas!$H$8:$H$17,0)))&gt;0,N(INDEX(Dívidas!$E$8:$E$17,MATCH(SMALL(Dívidas!$H$8:$H$17,7),Dívidas!$H$8:$H$17,0))),0)</f>
        <v>0</v>
      </c>
    </row>
    <row r="13" customFormat="false" ht="15" hidden="false" customHeight="false" outlineLevel="0" collapsed="false">
      <c r="B13" s="36" t="n">
        <v>8</v>
      </c>
      <c r="C13" s="37" t="str">
        <f aca="false">IF(N(INDEX(Dívidas!$C$8:$C$17,MATCH(LARGE(Dívidas!$G$8:$G$17,8),Dívidas!$G$8:$G$17,0)))&gt;0,INDEX(Dívidas!$B$8:$B$17,MATCH(LARGE(Dívidas!$G$8:$G$17,8),Dívidas!$G$8:$G$17,0)),"")</f>
        <v/>
      </c>
      <c r="D13" s="38" t="n">
        <f aca="false">IF(N(INDEX(Dívidas!$C$8:$C$17,MATCH(LARGE(Dívidas!$G$8:$G$17,8),Dívidas!$G$8:$G$17,0)))&gt;0,N(INDEX(Dívidas!$C$8:$C$17,MATCH(LARGE(Dívidas!$G$8:$G$17,8),Dívidas!$G$8:$G$17,0))),0)</f>
        <v>0</v>
      </c>
      <c r="E13" s="39" t="n">
        <f aca="false">IF(N(INDEX(Dívidas!$C$8:$C$17,MATCH(LARGE(Dívidas!$G$8:$G$17,8),Dívidas!$G$8:$G$17,0)))&gt;0,N(INDEX(Dívidas!$D$8:$D$17,MATCH(LARGE(Dívidas!$G$8:$G$17,8),Dívidas!$G$8:$G$17,0))),0)</f>
        <v>0</v>
      </c>
      <c r="F13" s="38" t="n">
        <f aca="false">IF(N(INDEX(Dívidas!$C$8:$C$17,MATCH(LARGE(Dívidas!$G$8:$G$17,8),Dívidas!$G$8:$G$17,0)))&gt;0,N(INDEX(Dívidas!$E$8:$E$17,MATCH(LARGE(Dívidas!$G$8:$G$17,8),Dívidas!$G$8:$G$17,0))),0)</f>
        <v>0</v>
      </c>
      <c r="H13" s="36" t="n">
        <v>8</v>
      </c>
      <c r="I13" s="37" t="str">
        <f aca="false">IF(N(INDEX(Dívidas!$C$8:$C$17,MATCH(SMALL(Dívidas!$H$8:$H$17,8),Dívidas!$H$8:$H$17,0)))&gt;0,INDEX(Dívidas!$B$8:$B$17,MATCH(SMALL(Dívidas!$H$8:$H$17,8),Dívidas!$H$8:$H$17,0)),"")</f>
        <v/>
      </c>
      <c r="J13" s="38" t="n">
        <f aca="false">IF(N(INDEX(Dívidas!$C$8:$C$17,MATCH(SMALL(Dívidas!$H$8:$H$17,8),Dívidas!$H$8:$H$17,0)))&gt;0,N(INDEX(Dívidas!$C$8:$C$17,MATCH(SMALL(Dívidas!$H$8:$H$17,8),Dívidas!$H$8:$H$17,0))),0)</f>
        <v>0</v>
      </c>
      <c r="K13" s="39" t="n">
        <f aca="false">IF(N(INDEX(Dívidas!$C$8:$C$17,MATCH(SMALL(Dívidas!$H$8:$H$17,8),Dívidas!$H$8:$H$17,0)))&gt;0,N(INDEX(Dívidas!$D$8:$D$17,MATCH(SMALL(Dívidas!$H$8:$H$17,8),Dívidas!$H$8:$H$17,0))),0)</f>
        <v>0</v>
      </c>
      <c r="L13" s="38" t="n">
        <f aca="false">IF(N(INDEX(Dívidas!$C$8:$C$17,MATCH(SMALL(Dívidas!$H$8:$H$17,8),Dívidas!$H$8:$H$17,0)))&gt;0,N(INDEX(Dívidas!$E$8:$E$17,MATCH(SMALL(Dívidas!$H$8:$H$17,8),Dívidas!$H$8:$H$17,0))),0)</f>
        <v>0</v>
      </c>
    </row>
    <row r="14" customFormat="false" ht="15" hidden="false" customHeight="false" outlineLevel="0" collapsed="false">
      <c r="B14" s="36" t="n">
        <v>9</v>
      </c>
      <c r="C14" s="37" t="str">
        <f aca="false">IF(N(INDEX(Dívidas!$C$8:$C$17,MATCH(LARGE(Dívidas!$G$8:$G$17,9),Dívidas!$G$8:$G$17,0)))&gt;0,INDEX(Dívidas!$B$8:$B$17,MATCH(LARGE(Dívidas!$G$8:$G$17,9),Dívidas!$G$8:$G$17,0)),"")</f>
        <v/>
      </c>
      <c r="D14" s="38" t="n">
        <f aca="false">IF(N(INDEX(Dívidas!$C$8:$C$17,MATCH(LARGE(Dívidas!$G$8:$G$17,9),Dívidas!$G$8:$G$17,0)))&gt;0,N(INDEX(Dívidas!$C$8:$C$17,MATCH(LARGE(Dívidas!$G$8:$G$17,9),Dívidas!$G$8:$G$17,0))),0)</f>
        <v>0</v>
      </c>
      <c r="E14" s="39" t="n">
        <f aca="false">IF(N(INDEX(Dívidas!$C$8:$C$17,MATCH(LARGE(Dívidas!$G$8:$G$17,9),Dívidas!$G$8:$G$17,0)))&gt;0,N(INDEX(Dívidas!$D$8:$D$17,MATCH(LARGE(Dívidas!$G$8:$G$17,9),Dívidas!$G$8:$G$17,0))),0)</f>
        <v>0</v>
      </c>
      <c r="F14" s="38" t="n">
        <f aca="false">IF(N(INDEX(Dívidas!$C$8:$C$17,MATCH(LARGE(Dívidas!$G$8:$G$17,9),Dívidas!$G$8:$G$17,0)))&gt;0,N(INDEX(Dívidas!$E$8:$E$17,MATCH(LARGE(Dívidas!$G$8:$G$17,9),Dívidas!$G$8:$G$17,0))),0)</f>
        <v>0</v>
      </c>
      <c r="H14" s="36" t="n">
        <v>9</v>
      </c>
      <c r="I14" s="37" t="str">
        <f aca="false">IF(N(INDEX(Dívidas!$C$8:$C$17,MATCH(SMALL(Dívidas!$H$8:$H$17,9),Dívidas!$H$8:$H$17,0)))&gt;0,INDEX(Dívidas!$B$8:$B$17,MATCH(SMALL(Dívidas!$H$8:$H$17,9),Dívidas!$H$8:$H$17,0)),"")</f>
        <v/>
      </c>
      <c r="J14" s="38" t="n">
        <f aca="false">IF(N(INDEX(Dívidas!$C$8:$C$17,MATCH(SMALL(Dívidas!$H$8:$H$17,9),Dívidas!$H$8:$H$17,0)))&gt;0,N(INDEX(Dívidas!$C$8:$C$17,MATCH(SMALL(Dívidas!$H$8:$H$17,9),Dívidas!$H$8:$H$17,0))),0)</f>
        <v>0</v>
      </c>
      <c r="K14" s="39" t="n">
        <f aca="false">IF(N(INDEX(Dívidas!$C$8:$C$17,MATCH(SMALL(Dívidas!$H$8:$H$17,9),Dívidas!$H$8:$H$17,0)))&gt;0,N(INDEX(Dívidas!$D$8:$D$17,MATCH(SMALL(Dívidas!$H$8:$H$17,9),Dívidas!$H$8:$H$17,0))),0)</f>
        <v>0</v>
      </c>
      <c r="L14" s="38" t="n">
        <f aca="false">IF(N(INDEX(Dívidas!$C$8:$C$17,MATCH(SMALL(Dívidas!$H$8:$H$17,9),Dívidas!$H$8:$H$17,0)))&gt;0,N(INDEX(Dívidas!$E$8:$E$17,MATCH(SMALL(Dívidas!$H$8:$H$17,9),Dívidas!$H$8:$H$17,0))),0)</f>
        <v>0</v>
      </c>
    </row>
    <row r="15" customFormat="false" ht="15" hidden="false" customHeight="false" outlineLevel="0" collapsed="false">
      <c r="B15" s="36" t="n">
        <v>10</v>
      </c>
      <c r="C15" s="37" t="str">
        <f aca="false">IF(N(INDEX(Dívidas!$C$8:$C$17,MATCH(LARGE(Dívidas!$G$8:$G$17,10),Dívidas!$G$8:$G$17,0)))&gt;0,INDEX(Dívidas!$B$8:$B$17,MATCH(LARGE(Dívidas!$G$8:$G$17,10),Dívidas!$G$8:$G$17,0)),"")</f>
        <v/>
      </c>
      <c r="D15" s="38" t="n">
        <f aca="false">IF(N(INDEX(Dívidas!$C$8:$C$17,MATCH(LARGE(Dívidas!$G$8:$G$17,10),Dívidas!$G$8:$G$17,0)))&gt;0,N(INDEX(Dívidas!$C$8:$C$17,MATCH(LARGE(Dívidas!$G$8:$G$17,10),Dívidas!$G$8:$G$17,0))),0)</f>
        <v>0</v>
      </c>
      <c r="E15" s="39" t="n">
        <f aca="false">IF(N(INDEX(Dívidas!$C$8:$C$17,MATCH(LARGE(Dívidas!$G$8:$G$17,10),Dívidas!$G$8:$G$17,0)))&gt;0,N(INDEX(Dívidas!$D$8:$D$17,MATCH(LARGE(Dívidas!$G$8:$G$17,10),Dívidas!$G$8:$G$17,0))),0)</f>
        <v>0</v>
      </c>
      <c r="F15" s="38" t="n">
        <f aca="false">IF(N(INDEX(Dívidas!$C$8:$C$17,MATCH(LARGE(Dívidas!$G$8:$G$17,10),Dívidas!$G$8:$G$17,0)))&gt;0,N(INDEX(Dívidas!$E$8:$E$17,MATCH(LARGE(Dívidas!$G$8:$G$17,10),Dívidas!$G$8:$G$17,0))),0)</f>
        <v>0</v>
      </c>
      <c r="H15" s="36" t="n">
        <v>10</v>
      </c>
      <c r="I15" s="37" t="str">
        <f aca="false">IF(N(INDEX(Dívidas!$C$8:$C$17,MATCH(SMALL(Dívidas!$H$8:$H$17,10),Dívidas!$H$8:$H$17,0)))&gt;0,INDEX(Dívidas!$B$8:$B$17,MATCH(SMALL(Dívidas!$H$8:$H$17,10),Dívidas!$H$8:$H$17,0)),"")</f>
        <v/>
      </c>
      <c r="J15" s="38" t="n">
        <f aca="false">IF(N(INDEX(Dívidas!$C$8:$C$17,MATCH(SMALL(Dívidas!$H$8:$H$17,10),Dívidas!$H$8:$H$17,0)))&gt;0,N(INDEX(Dívidas!$C$8:$C$17,MATCH(SMALL(Dívidas!$H$8:$H$17,10),Dívidas!$H$8:$H$17,0))),0)</f>
        <v>0</v>
      </c>
      <c r="K15" s="39" t="n">
        <f aca="false">IF(N(INDEX(Dívidas!$C$8:$C$17,MATCH(SMALL(Dívidas!$H$8:$H$17,10),Dívidas!$H$8:$H$17,0)))&gt;0,N(INDEX(Dívidas!$D$8:$D$17,MATCH(SMALL(Dívidas!$H$8:$H$17,10),Dívidas!$H$8:$H$17,0))),0)</f>
        <v>0</v>
      </c>
      <c r="L15" s="38" t="n">
        <f aca="false">IF(N(INDEX(Dívidas!$C$8:$C$17,MATCH(SMALL(Dívidas!$H$8:$H$17,10),Dívidas!$H$8:$H$17,0)))&gt;0,N(INDEX(Dívidas!$E$8:$E$17,MATCH(SMALL(Dívidas!$H$8:$H$17,10),Dívidas!$H$8:$H$17,0))),0)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A1:AR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0" t="s">
        <v>53</v>
      </c>
    </row>
    <row r="2" customFormat="false" ht="15" hidden="false" customHeight="false" outlineLevel="0" collapsed="false">
      <c r="A2" s="34" t="s">
        <v>54</v>
      </c>
    </row>
    <row r="4" customFormat="false" ht="15" hidden="false" customHeight="false" outlineLevel="0" collapsed="false">
      <c r="A4" s="41" t="s">
        <v>55</v>
      </c>
      <c r="B4" s="41" t="s">
        <v>56</v>
      </c>
      <c r="C4" s="42" t="s">
        <v>57</v>
      </c>
      <c r="D4" s="42" t="s">
        <v>58</v>
      </c>
      <c r="E4" s="42" t="s">
        <v>59</v>
      </c>
      <c r="F4" s="42" t="s">
        <v>60</v>
      </c>
      <c r="G4" s="42" t="s">
        <v>61</v>
      </c>
      <c r="H4" s="42" t="s">
        <v>62</v>
      </c>
      <c r="I4" s="42" t="s">
        <v>63</v>
      </c>
      <c r="J4" s="42" t="s">
        <v>64</v>
      </c>
      <c r="K4" s="42" t="s">
        <v>65</v>
      </c>
      <c r="L4" s="42" t="s">
        <v>66</v>
      </c>
      <c r="M4" s="42" t="s">
        <v>67</v>
      </c>
      <c r="N4" s="42" t="s">
        <v>68</v>
      </c>
      <c r="O4" s="42" t="s">
        <v>69</v>
      </c>
      <c r="P4" s="42" t="s">
        <v>70</v>
      </c>
      <c r="Q4" s="42" t="s">
        <v>71</v>
      </c>
      <c r="R4" s="42" t="s">
        <v>72</v>
      </c>
      <c r="S4" s="42" t="s">
        <v>73</v>
      </c>
      <c r="T4" s="42" t="s">
        <v>74</v>
      </c>
      <c r="U4" s="42" t="s">
        <v>75</v>
      </c>
      <c r="V4" s="42" t="s">
        <v>76</v>
      </c>
      <c r="W4" s="42" t="s">
        <v>77</v>
      </c>
      <c r="X4" s="42" t="s">
        <v>78</v>
      </c>
      <c r="Y4" s="42" t="s">
        <v>79</v>
      </c>
      <c r="Z4" s="42" t="s">
        <v>80</v>
      </c>
      <c r="AA4" s="42" t="s">
        <v>81</v>
      </c>
      <c r="AB4" s="42" t="s">
        <v>82</v>
      </c>
      <c r="AC4" s="42" t="s">
        <v>83</v>
      </c>
      <c r="AD4" s="42" t="s">
        <v>84</v>
      </c>
      <c r="AE4" s="42" t="s">
        <v>85</v>
      </c>
      <c r="AF4" s="42" t="s">
        <v>86</v>
      </c>
      <c r="AG4" s="42" t="s">
        <v>87</v>
      </c>
      <c r="AH4" s="42" t="s">
        <v>88</v>
      </c>
      <c r="AI4" s="42" t="s">
        <v>89</v>
      </c>
      <c r="AJ4" s="42" t="s">
        <v>90</v>
      </c>
      <c r="AK4" s="42" t="s">
        <v>91</v>
      </c>
      <c r="AL4" s="42" t="s">
        <v>92</v>
      </c>
      <c r="AM4" s="42" t="s">
        <v>93</v>
      </c>
      <c r="AN4" s="42" t="s">
        <v>94</v>
      </c>
      <c r="AO4" s="42" t="s">
        <v>95</v>
      </c>
      <c r="AP4" s="42" t="s">
        <v>96</v>
      </c>
      <c r="AQ4" s="41" t="s">
        <v>97</v>
      </c>
      <c r="AR4" s="41" t="s">
        <v>98</v>
      </c>
    </row>
    <row r="5" customFormat="false" ht="15" hidden="false" customHeight="false" outlineLevel="0" collapsed="false">
      <c r="A5" s="0" t="n">
        <v>1</v>
      </c>
      <c r="B5" s="43" t="n">
        <f aca="false">MAX(0,Dívidas!$C$20-(D5+H5+L5+P5+T5+X5+AB5+AF5+AJ5+AN5))</f>
        <v>400</v>
      </c>
      <c r="C5" s="43" t="n">
        <f aca="false">IF(Ordem!$D$6&gt;0.005,Ordem!$D$6*(1+Ordem!$E$6),0)</f>
        <v>3360</v>
      </c>
      <c r="D5" s="43" t="n">
        <f aca="false">MIN(C5,Ordem!$F$6)</f>
        <v>300</v>
      </c>
      <c r="E5" s="43" t="n">
        <f aca="false">MAX(0,MIN(C5-D5,$B5-(0)))</f>
        <v>400</v>
      </c>
      <c r="F5" s="43" t="n">
        <f aca="false">MAX(0,C5-D5-E5)</f>
        <v>2660</v>
      </c>
      <c r="G5" s="43" t="n">
        <f aca="false">IF(Ordem!$D$7&gt;0.005,Ordem!$D$7*(1+Ordem!$E$7),0)</f>
        <v>1296</v>
      </c>
      <c r="H5" s="43" t="n">
        <f aca="false">MIN(G5,Ordem!$F$7)</f>
        <v>150</v>
      </c>
      <c r="I5" s="43" t="n">
        <f aca="false">MAX(0,MIN(G5-H5,$B5-(E5)))</f>
        <v>0</v>
      </c>
      <c r="J5" s="43" t="n">
        <f aca="false">MAX(0,G5-H5-I5)</f>
        <v>1146</v>
      </c>
      <c r="K5" s="43" t="n">
        <f aca="false">IF(Ordem!$D$8&gt;0.005,Ordem!$D$8*(1+Ordem!$E$8),0)</f>
        <v>8280</v>
      </c>
      <c r="L5" s="43" t="n">
        <f aca="false">MIN(K5,Ordem!$F$8)</f>
        <v>450</v>
      </c>
      <c r="M5" s="43" t="n">
        <f aca="false">MAX(0,MIN(K5-L5,$B5-(E5+I5)))</f>
        <v>0</v>
      </c>
      <c r="N5" s="43" t="n">
        <f aca="false">MAX(0,K5-L5-M5)</f>
        <v>7830</v>
      </c>
      <c r="O5" s="43" t="n">
        <f aca="false">IF(Ordem!$D$9&gt;0.005,Ordem!$D$9*(1+Ordem!$E$9),0)</f>
        <v>900</v>
      </c>
      <c r="P5" s="43" t="n">
        <f aca="false">MIN(O5,Ordem!$F$9)</f>
        <v>150</v>
      </c>
      <c r="Q5" s="43" t="n">
        <f aca="false">MAX(0,MIN(O5-P5,$B5-(E5+I5+M5)))</f>
        <v>0</v>
      </c>
      <c r="R5" s="43" t="n">
        <f aca="false">MAX(0,O5-P5-Q5)</f>
        <v>750</v>
      </c>
      <c r="S5" s="43" t="n">
        <f aca="false">IF(Ordem!$D$10&gt;0.005,Ordem!$D$10*(1+Ordem!$E$10),0)</f>
        <v>0</v>
      </c>
      <c r="T5" s="43" t="n">
        <f aca="false">MIN(S5,Ordem!$F$10)</f>
        <v>0</v>
      </c>
      <c r="U5" s="43" t="n">
        <f aca="false">MAX(0,MIN(S5-T5,$B5-(E5+I5+M5+Q5)))</f>
        <v>0</v>
      </c>
      <c r="V5" s="43" t="n">
        <f aca="false">MAX(0,S5-T5-U5)</f>
        <v>0</v>
      </c>
      <c r="W5" s="43" t="n">
        <f aca="false">IF(Ordem!$D$11&gt;0.005,Ordem!$D$11*(1+Ordem!$E$11),0)</f>
        <v>0</v>
      </c>
      <c r="X5" s="43" t="n">
        <f aca="false">MIN(W5,Ordem!$F$11)</f>
        <v>0</v>
      </c>
      <c r="Y5" s="43" t="n">
        <f aca="false">MAX(0,MIN(W5-X5,$B5-(E5+I5+M5+Q5+U5)))</f>
        <v>0</v>
      </c>
      <c r="Z5" s="43" t="n">
        <f aca="false">MAX(0,W5-X5-Y5)</f>
        <v>0</v>
      </c>
      <c r="AA5" s="43" t="n">
        <f aca="false">IF(Ordem!$D$12&gt;0.005,Ordem!$D$12*(1+Ordem!$E$12),0)</f>
        <v>0</v>
      </c>
      <c r="AB5" s="43" t="n">
        <f aca="false">MIN(AA5,Ordem!$F$12)</f>
        <v>0</v>
      </c>
      <c r="AC5" s="43" t="n">
        <f aca="false">MAX(0,MIN(AA5-AB5,$B5-(E5+I5+M5+Q5+U5+Y5)))</f>
        <v>0</v>
      </c>
      <c r="AD5" s="43" t="n">
        <f aca="false">MAX(0,AA5-AB5-AC5)</f>
        <v>0</v>
      </c>
      <c r="AE5" s="43" t="n">
        <f aca="false">IF(Ordem!$D$13&gt;0.005,Ordem!$D$13*(1+Ordem!$E$13),0)</f>
        <v>0</v>
      </c>
      <c r="AF5" s="43" t="n">
        <f aca="false">MIN(AE5,Ordem!$F$13)</f>
        <v>0</v>
      </c>
      <c r="AG5" s="43" t="n">
        <f aca="false">MAX(0,MIN(AE5-AF5,$B5-(E5+I5+M5+Q5+U5+Y5+AC5)))</f>
        <v>0</v>
      </c>
      <c r="AH5" s="43" t="n">
        <f aca="false">MAX(0,AE5-AF5-AG5)</f>
        <v>0</v>
      </c>
      <c r="AI5" s="43" t="n">
        <f aca="false">IF(Ordem!$D$14&gt;0.005,Ordem!$D$14*(1+Ordem!$E$14),0)</f>
        <v>0</v>
      </c>
      <c r="AJ5" s="43" t="n">
        <f aca="false">MIN(AI5,Ordem!$F$14)</f>
        <v>0</v>
      </c>
      <c r="AK5" s="43" t="n">
        <f aca="false">MAX(0,MIN(AI5-AJ5,$B5-(E5+I5+M5+Q5+U5+Y5+AC5+AG5)))</f>
        <v>0</v>
      </c>
      <c r="AL5" s="43" t="n">
        <f aca="false">MAX(0,AI5-AJ5-AK5)</f>
        <v>0</v>
      </c>
      <c r="AM5" s="43" t="n">
        <f aca="false">IF(Ordem!$D$15&gt;0.005,Ordem!$D$15*(1+Ordem!$E$15),0)</f>
        <v>0</v>
      </c>
      <c r="AN5" s="43" t="n">
        <f aca="false">MIN(AM5,Ordem!$F$15)</f>
        <v>0</v>
      </c>
      <c r="AO5" s="43" t="n">
        <f aca="false">MAX(0,MIN(AM5-AN5,$B5-(E5+I5+M5+Q5+U5+Y5+AC5+AG5+AK5)))</f>
        <v>0</v>
      </c>
      <c r="AP5" s="43" t="n">
        <f aca="false">MAX(0,AM5-AN5-AO5)</f>
        <v>0</v>
      </c>
      <c r="AQ5" s="43" t="n">
        <f aca="false">F5+J5+N5+R5+V5+Z5+AD5+AH5+AL5+AP5</f>
        <v>12386</v>
      </c>
      <c r="AR5" s="43" t="n">
        <f aca="false">D5+E5+H5+I5+L5+M5+P5+Q5+T5+U5+X5+Y5+AB5+AC5+AF5+AG5+AJ5+AK5+AN5+AO5</f>
        <v>1450</v>
      </c>
    </row>
    <row r="6" customFormat="false" ht="15" hidden="false" customHeight="false" outlineLevel="0" collapsed="false">
      <c r="A6" s="0" t="n">
        <v>2</v>
      </c>
      <c r="B6" s="43" t="n">
        <f aca="false">MAX(0,Dívidas!$C$20-(D6+H6+L6+P6+T6+X6+AB6+AF6+AJ6+AN6))</f>
        <v>400</v>
      </c>
      <c r="C6" s="43" t="n">
        <f aca="false">IF(F5&gt;0.005,F5*(1+Ordem!$E$6),0)</f>
        <v>2979.2</v>
      </c>
      <c r="D6" s="43" t="n">
        <f aca="false">MIN(C6,Ordem!$F$6)</f>
        <v>300</v>
      </c>
      <c r="E6" s="43" t="n">
        <f aca="false">MAX(0,MIN(C6-D6,$B6-(0)))</f>
        <v>400</v>
      </c>
      <c r="F6" s="43" t="n">
        <f aca="false">MAX(0,C6-D6-E6)</f>
        <v>2279.2</v>
      </c>
      <c r="G6" s="43" t="n">
        <f aca="false">IF(J5&gt;0.005,J5*(1+Ordem!$E$7),0)</f>
        <v>1237.68</v>
      </c>
      <c r="H6" s="43" t="n">
        <f aca="false">MIN(G6,Ordem!$F$7)</f>
        <v>150</v>
      </c>
      <c r="I6" s="43" t="n">
        <f aca="false">MAX(0,MIN(G6-H6,$B6-(E6)))</f>
        <v>0</v>
      </c>
      <c r="J6" s="43" t="n">
        <f aca="false">MAX(0,G6-H6-I6)</f>
        <v>1087.68</v>
      </c>
      <c r="K6" s="43" t="n">
        <f aca="false">IF(N5&gt;0.005,N5*(1+Ordem!$E$8),0)</f>
        <v>8104.05</v>
      </c>
      <c r="L6" s="43" t="n">
        <f aca="false">MIN(K6,Ordem!$F$8)</f>
        <v>450</v>
      </c>
      <c r="M6" s="43" t="n">
        <f aca="false">MAX(0,MIN(K6-L6,$B6-(E6+I6)))</f>
        <v>0</v>
      </c>
      <c r="N6" s="43" t="n">
        <f aca="false">MAX(0,K6-L6-M6)</f>
        <v>7654.05</v>
      </c>
      <c r="O6" s="43" t="n">
        <f aca="false">IF(R5&gt;0.005,R5*(1+Ordem!$E$9),0)</f>
        <v>750</v>
      </c>
      <c r="P6" s="43" t="n">
        <f aca="false">MIN(O6,Ordem!$F$9)</f>
        <v>150</v>
      </c>
      <c r="Q6" s="43" t="n">
        <f aca="false">MAX(0,MIN(O6-P6,$B6-(E6+I6+M6)))</f>
        <v>0</v>
      </c>
      <c r="R6" s="43" t="n">
        <f aca="false">MAX(0,O6-P6-Q6)</f>
        <v>600</v>
      </c>
      <c r="S6" s="43" t="n">
        <f aca="false">IF(V5&gt;0.005,V5*(1+Ordem!$E$10),0)</f>
        <v>0</v>
      </c>
      <c r="T6" s="43" t="n">
        <f aca="false">MIN(S6,Ordem!$F$10)</f>
        <v>0</v>
      </c>
      <c r="U6" s="43" t="n">
        <f aca="false">MAX(0,MIN(S6-T6,$B6-(E6+I6+M6+Q6)))</f>
        <v>0</v>
      </c>
      <c r="V6" s="43" t="n">
        <f aca="false">MAX(0,S6-T6-U6)</f>
        <v>0</v>
      </c>
      <c r="W6" s="43" t="n">
        <f aca="false">IF(Z5&gt;0.005,Z5*(1+Ordem!$E$11),0)</f>
        <v>0</v>
      </c>
      <c r="X6" s="43" t="n">
        <f aca="false">MIN(W6,Ordem!$F$11)</f>
        <v>0</v>
      </c>
      <c r="Y6" s="43" t="n">
        <f aca="false">MAX(0,MIN(W6-X6,$B6-(E6+I6+M6+Q6+U6)))</f>
        <v>0</v>
      </c>
      <c r="Z6" s="43" t="n">
        <f aca="false">MAX(0,W6-X6-Y6)</f>
        <v>0</v>
      </c>
      <c r="AA6" s="43" t="n">
        <f aca="false">IF(AD5&gt;0.005,AD5*(1+Ordem!$E$12),0)</f>
        <v>0</v>
      </c>
      <c r="AB6" s="43" t="n">
        <f aca="false">MIN(AA6,Ordem!$F$12)</f>
        <v>0</v>
      </c>
      <c r="AC6" s="43" t="n">
        <f aca="false">MAX(0,MIN(AA6-AB6,$B6-(E6+I6+M6+Q6+U6+Y6)))</f>
        <v>0</v>
      </c>
      <c r="AD6" s="43" t="n">
        <f aca="false">MAX(0,AA6-AB6-AC6)</f>
        <v>0</v>
      </c>
      <c r="AE6" s="43" t="n">
        <f aca="false">IF(AH5&gt;0.005,AH5*(1+Ordem!$E$13),0)</f>
        <v>0</v>
      </c>
      <c r="AF6" s="43" t="n">
        <f aca="false">MIN(AE6,Ordem!$F$13)</f>
        <v>0</v>
      </c>
      <c r="AG6" s="43" t="n">
        <f aca="false">MAX(0,MIN(AE6-AF6,$B6-(E6+I6+M6+Q6+U6+Y6+AC6)))</f>
        <v>0</v>
      </c>
      <c r="AH6" s="43" t="n">
        <f aca="false">MAX(0,AE6-AF6-AG6)</f>
        <v>0</v>
      </c>
      <c r="AI6" s="43" t="n">
        <f aca="false">IF(AL5&gt;0.005,AL5*(1+Ordem!$E$14),0)</f>
        <v>0</v>
      </c>
      <c r="AJ6" s="43" t="n">
        <f aca="false">MIN(AI6,Ordem!$F$14)</f>
        <v>0</v>
      </c>
      <c r="AK6" s="43" t="n">
        <f aca="false">MAX(0,MIN(AI6-AJ6,$B6-(E6+I6+M6+Q6+U6+Y6+AC6+AG6)))</f>
        <v>0</v>
      </c>
      <c r="AL6" s="43" t="n">
        <f aca="false">MAX(0,AI6-AJ6-AK6)</f>
        <v>0</v>
      </c>
      <c r="AM6" s="43" t="n">
        <f aca="false">IF(AP5&gt;0.005,AP5*(1+Ordem!$E$15),0)</f>
        <v>0</v>
      </c>
      <c r="AN6" s="43" t="n">
        <f aca="false">MIN(AM6,Ordem!$F$15)</f>
        <v>0</v>
      </c>
      <c r="AO6" s="43" t="n">
        <f aca="false">MAX(0,MIN(AM6-AN6,$B6-(E6+I6+M6+Q6+U6+Y6+AC6+AG6+AK6)))</f>
        <v>0</v>
      </c>
      <c r="AP6" s="43" t="n">
        <f aca="false">MAX(0,AM6-AN6-AO6)</f>
        <v>0</v>
      </c>
      <c r="AQ6" s="43" t="n">
        <f aca="false">F6+J6+N6+R6+V6+Z6+AD6+AH6+AL6+AP6</f>
        <v>11620.93</v>
      </c>
      <c r="AR6" s="43" t="n">
        <f aca="false">D6+E6+H6+I6+L6+M6+P6+Q6+T6+U6+X6+Y6+AB6+AC6+AF6+AG6+AJ6+AK6+AN6+AO6</f>
        <v>1450</v>
      </c>
    </row>
    <row r="7" customFormat="false" ht="15" hidden="false" customHeight="false" outlineLevel="0" collapsed="false">
      <c r="A7" s="0" t="n">
        <v>3</v>
      </c>
      <c r="B7" s="43" t="n">
        <f aca="false">MAX(0,Dívidas!$C$20-(D7+H7+L7+P7+T7+X7+AB7+AF7+AJ7+AN7))</f>
        <v>400</v>
      </c>
      <c r="C7" s="43" t="n">
        <f aca="false">IF(F6&gt;0.005,F6*(1+Ordem!$E$6),0)</f>
        <v>2552.704</v>
      </c>
      <c r="D7" s="43" t="n">
        <f aca="false">MIN(C7,Ordem!$F$6)</f>
        <v>300</v>
      </c>
      <c r="E7" s="43" t="n">
        <f aca="false">MAX(0,MIN(C7-D7,$B7-(0)))</f>
        <v>400</v>
      </c>
      <c r="F7" s="43" t="n">
        <f aca="false">MAX(0,C7-D7-E7)</f>
        <v>1852.704</v>
      </c>
      <c r="G7" s="43" t="n">
        <f aca="false">IF(J6&gt;0.005,J6*(1+Ordem!$E$7),0)</f>
        <v>1174.6944</v>
      </c>
      <c r="H7" s="43" t="n">
        <f aca="false">MIN(G7,Ordem!$F$7)</f>
        <v>150</v>
      </c>
      <c r="I7" s="43" t="n">
        <f aca="false">MAX(0,MIN(G7-H7,$B7-(E7)))</f>
        <v>0</v>
      </c>
      <c r="J7" s="43" t="n">
        <f aca="false">MAX(0,G7-H7-I7)</f>
        <v>1024.6944</v>
      </c>
      <c r="K7" s="43" t="n">
        <f aca="false">IF(N6&gt;0.005,N6*(1+Ordem!$E$8),0)</f>
        <v>7921.94175</v>
      </c>
      <c r="L7" s="43" t="n">
        <f aca="false">MIN(K7,Ordem!$F$8)</f>
        <v>450</v>
      </c>
      <c r="M7" s="43" t="n">
        <f aca="false">MAX(0,MIN(K7-L7,$B7-(E7+I7)))</f>
        <v>0</v>
      </c>
      <c r="N7" s="43" t="n">
        <f aca="false">MAX(0,K7-L7-M7)</f>
        <v>7471.94175</v>
      </c>
      <c r="O7" s="43" t="n">
        <f aca="false">IF(R6&gt;0.005,R6*(1+Ordem!$E$9),0)</f>
        <v>600</v>
      </c>
      <c r="P7" s="43" t="n">
        <f aca="false">MIN(O7,Ordem!$F$9)</f>
        <v>150</v>
      </c>
      <c r="Q7" s="43" t="n">
        <f aca="false">MAX(0,MIN(O7-P7,$B7-(E7+I7+M7)))</f>
        <v>0</v>
      </c>
      <c r="R7" s="43" t="n">
        <f aca="false">MAX(0,O7-P7-Q7)</f>
        <v>450</v>
      </c>
      <c r="S7" s="43" t="n">
        <f aca="false">IF(V6&gt;0.005,V6*(1+Ordem!$E$10),0)</f>
        <v>0</v>
      </c>
      <c r="T7" s="43" t="n">
        <f aca="false">MIN(S7,Ordem!$F$10)</f>
        <v>0</v>
      </c>
      <c r="U7" s="43" t="n">
        <f aca="false">MAX(0,MIN(S7-T7,$B7-(E7+I7+M7+Q7)))</f>
        <v>0</v>
      </c>
      <c r="V7" s="43" t="n">
        <f aca="false">MAX(0,S7-T7-U7)</f>
        <v>0</v>
      </c>
      <c r="W7" s="43" t="n">
        <f aca="false">IF(Z6&gt;0.005,Z6*(1+Ordem!$E$11),0)</f>
        <v>0</v>
      </c>
      <c r="X7" s="43" t="n">
        <f aca="false">MIN(W7,Ordem!$F$11)</f>
        <v>0</v>
      </c>
      <c r="Y7" s="43" t="n">
        <f aca="false">MAX(0,MIN(W7-X7,$B7-(E7+I7+M7+Q7+U7)))</f>
        <v>0</v>
      </c>
      <c r="Z7" s="43" t="n">
        <f aca="false">MAX(0,W7-X7-Y7)</f>
        <v>0</v>
      </c>
      <c r="AA7" s="43" t="n">
        <f aca="false">IF(AD6&gt;0.005,AD6*(1+Ordem!$E$12),0)</f>
        <v>0</v>
      </c>
      <c r="AB7" s="43" t="n">
        <f aca="false">MIN(AA7,Ordem!$F$12)</f>
        <v>0</v>
      </c>
      <c r="AC7" s="43" t="n">
        <f aca="false">MAX(0,MIN(AA7-AB7,$B7-(E7+I7+M7+Q7+U7+Y7)))</f>
        <v>0</v>
      </c>
      <c r="AD7" s="43" t="n">
        <f aca="false">MAX(0,AA7-AB7-AC7)</f>
        <v>0</v>
      </c>
      <c r="AE7" s="43" t="n">
        <f aca="false">IF(AH6&gt;0.005,AH6*(1+Ordem!$E$13),0)</f>
        <v>0</v>
      </c>
      <c r="AF7" s="43" t="n">
        <f aca="false">MIN(AE7,Ordem!$F$13)</f>
        <v>0</v>
      </c>
      <c r="AG7" s="43" t="n">
        <f aca="false">MAX(0,MIN(AE7-AF7,$B7-(E7+I7+M7+Q7+U7+Y7+AC7)))</f>
        <v>0</v>
      </c>
      <c r="AH7" s="43" t="n">
        <f aca="false">MAX(0,AE7-AF7-AG7)</f>
        <v>0</v>
      </c>
      <c r="AI7" s="43" t="n">
        <f aca="false">IF(AL6&gt;0.005,AL6*(1+Ordem!$E$14),0)</f>
        <v>0</v>
      </c>
      <c r="AJ7" s="43" t="n">
        <f aca="false">MIN(AI7,Ordem!$F$14)</f>
        <v>0</v>
      </c>
      <c r="AK7" s="43" t="n">
        <f aca="false">MAX(0,MIN(AI7-AJ7,$B7-(E7+I7+M7+Q7+U7+Y7+AC7+AG7)))</f>
        <v>0</v>
      </c>
      <c r="AL7" s="43" t="n">
        <f aca="false">MAX(0,AI7-AJ7-AK7)</f>
        <v>0</v>
      </c>
      <c r="AM7" s="43" t="n">
        <f aca="false">IF(AP6&gt;0.005,AP6*(1+Ordem!$E$15),0)</f>
        <v>0</v>
      </c>
      <c r="AN7" s="43" t="n">
        <f aca="false">MIN(AM7,Ordem!$F$15)</f>
        <v>0</v>
      </c>
      <c r="AO7" s="43" t="n">
        <f aca="false">MAX(0,MIN(AM7-AN7,$B7-(E7+I7+M7+Q7+U7+Y7+AC7+AG7+AK7)))</f>
        <v>0</v>
      </c>
      <c r="AP7" s="43" t="n">
        <f aca="false">MAX(0,AM7-AN7-AO7)</f>
        <v>0</v>
      </c>
      <c r="AQ7" s="43" t="n">
        <f aca="false">F7+J7+N7+R7+V7+Z7+AD7+AH7+AL7+AP7</f>
        <v>10799.34015</v>
      </c>
      <c r="AR7" s="43" t="n">
        <f aca="false">D7+E7+H7+I7+L7+M7+P7+Q7+T7+U7+X7+Y7+AB7+AC7+AF7+AG7+AJ7+AK7+AN7+AO7</f>
        <v>1450</v>
      </c>
    </row>
    <row r="8" customFormat="false" ht="15" hidden="false" customHeight="false" outlineLevel="0" collapsed="false">
      <c r="A8" s="0" t="n">
        <v>4</v>
      </c>
      <c r="B8" s="43" t="n">
        <f aca="false">MAX(0,Dívidas!$C$20-(D8+H8+L8+P8+T8+X8+AB8+AF8+AJ8+AN8))</f>
        <v>400</v>
      </c>
      <c r="C8" s="43" t="n">
        <f aca="false">IF(F7&gt;0.005,F7*(1+Ordem!$E$6),0)</f>
        <v>2075.02848</v>
      </c>
      <c r="D8" s="43" t="n">
        <f aca="false">MIN(C8,Ordem!$F$6)</f>
        <v>300</v>
      </c>
      <c r="E8" s="43" t="n">
        <f aca="false">MAX(0,MIN(C8-D8,$B8-(0)))</f>
        <v>400</v>
      </c>
      <c r="F8" s="43" t="n">
        <f aca="false">MAX(0,C8-D8-E8)</f>
        <v>1375.02848</v>
      </c>
      <c r="G8" s="43" t="n">
        <f aca="false">IF(J7&gt;0.005,J7*(1+Ordem!$E$7),0)</f>
        <v>1106.669952</v>
      </c>
      <c r="H8" s="43" t="n">
        <f aca="false">MIN(G8,Ordem!$F$7)</f>
        <v>150</v>
      </c>
      <c r="I8" s="43" t="n">
        <f aca="false">MAX(0,MIN(G8-H8,$B8-(E8)))</f>
        <v>0</v>
      </c>
      <c r="J8" s="43" t="n">
        <f aca="false">MAX(0,G8-H8-I8)</f>
        <v>956.669952</v>
      </c>
      <c r="K8" s="43" t="n">
        <f aca="false">IF(N7&gt;0.005,N7*(1+Ordem!$E$8),0)</f>
        <v>7733.45971125</v>
      </c>
      <c r="L8" s="43" t="n">
        <f aca="false">MIN(K8,Ordem!$F$8)</f>
        <v>450</v>
      </c>
      <c r="M8" s="43" t="n">
        <f aca="false">MAX(0,MIN(K8-L8,$B8-(E8+I8)))</f>
        <v>0</v>
      </c>
      <c r="N8" s="43" t="n">
        <f aca="false">MAX(0,K8-L8-M8)</f>
        <v>7283.45971125</v>
      </c>
      <c r="O8" s="43" t="n">
        <f aca="false">IF(R7&gt;0.005,R7*(1+Ordem!$E$9),0)</f>
        <v>450</v>
      </c>
      <c r="P8" s="43" t="n">
        <f aca="false">MIN(O8,Ordem!$F$9)</f>
        <v>150</v>
      </c>
      <c r="Q8" s="43" t="n">
        <f aca="false">MAX(0,MIN(O8-P8,$B8-(E8+I8+M8)))</f>
        <v>0</v>
      </c>
      <c r="R8" s="43" t="n">
        <f aca="false">MAX(0,O8-P8-Q8)</f>
        <v>300</v>
      </c>
      <c r="S8" s="43" t="n">
        <f aca="false">IF(V7&gt;0.005,V7*(1+Ordem!$E$10),0)</f>
        <v>0</v>
      </c>
      <c r="T8" s="43" t="n">
        <f aca="false">MIN(S8,Ordem!$F$10)</f>
        <v>0</v>
      </c>
      <c r="U8" s="43" t="n">
        <f aca="false">MAX(0,MIN(S8-T8,$B8-(E8+I8+M8+Q8)))</f>
        <v>0</v>
      </c>
      <c r="V8" s="43" t="n">
        <f aca="false">MAX(0,S8-T8-U8)</f>
        <v>0</v>
      </c>
      <c r="W8" s="43" t="n">
        <f aca="false">IF(Z7&gt;0.005,Z7*(1+Ordem!$E$11),0)</f>
        <v>0</v>
      </c>
      <c r="X8" s="43" t="n">
        <f aca="false">MIN(W8,Ordem!$F$11)</f>
        <v>0</v>
      </c>
      <c r="Y8" s="43" t="n">
        <f aca="false">MAX(0,MIN(W8-X8,$B8-(E8+I8+M8+Q8+U8)))</f>
        <v>0</v>
      </c>
      <c r="Z8" s="43" t="n">
        <f aca="false">MAX(0,W8-X8-Y8)</f>
        <v>0</v>
      </c>
      <c r="AA8" s="43" t="n">
        <f aca="false">IF(AD7&gt;0.005,AD7*(1+Ordem!$E$12),0)</f>
        <v>0</v>
      </c>
      <c r="AB8" s="43" t="n">
        <f aca="false">MIN(AA8,Ordem!$F$12)</f>
        <v>0</v>
      </c>
      <c r="AC8" s="43" t="n">
        <f aca="false">MAX(0,MIN(AA8-AB8,$B8-(E8+I8+M8+Q8+U8+Y8)))</f>
        <v>0</v>
      </c>
      <c r="AD8" s="43" t="n">
        <f aca="false">MAX(0,AA8-AB8-AC8)</f>
        <v>0</v>
      </c>
      <c r="AE8" s="43" t="n">
        <f aca="false">IF(AH7&gt;0.005,AH7*(1+Ordem!$E$13),0)</f>
        <v>0</v>
      </c>
      <c r="AF8" s="43" t="n">
        <f aca="false">MIN(AE8,Ordem!$F$13)</f>
        <v>0</v>
      </c>
      <c r="AG8" s="43" t="n">
        <f aca="false">MAX(0,MIN(AE8-AF8,$B8-(E8+I8+M8+Q8+U8+Y8+AC8)))</f>
        <v>0</v>
      </c>
      <c r="AH8" s="43" t="n">
        <f aca="false">MAX(0,AE8-AF8-AG8)</f>
        <v>0</v>
      </c>
      <c r="AI8" s="43" t="n">
        <f aca="false">IF(AL7&gt;0.005,AL7*(1+Ordem!$E$14),0)</f>
        <v>0</v>
      </c>
      <c r="AJ8" s="43" t="n">
        <f aca="false">MIN(AI8,Ordem!$F$14)</f>
        <v>0</v>
      </c>
      <c r="AK8" s="43" t="n">
        <f aca="false">MAX(0,MIN(AI8-AJ8,$B8-(E8+I8+M8+Q8+U8+Y8+AC8+AG8)))</f>
        <v>0</v>
      </c>
      <c r="AL8" s="43" t="n">
        <f aca="false">MAX(0,AI8-AJ8-AK8)</f>
        <v>0</v>
      </c>
      <c r="AM8" s="43" t="n">
        <f aca="false">IF(AP7&gt;0.005,AP7*(1+Ordem!$E$15),0)</f>
        <v>0</v>
      </c>
      <c r="AN8" s="43" t="n">
        <f aca="false">MIN(AM8,Ordem!$F$15)</f>
        <v>0</v>
      </c>
      <c r="AO8" s="43" t="n">
        <f aca="false">MAX(0,MIN(AM8-AN8,$B8-(E8+I8+M8+Q8+U8+Y8+AC8+AG8+AK8)))</f>
        <v>0</v>
      </c>
      <c r="AP8" s="43" t="n">
        <f aca="false">MAX(0,AM8-AN8-AO8)</f>
        <v>0</v>
      </c>
      <c r="AQ8" s="43" t="n">
        <f aca="false">F8+J8+N8+R8+V8+Z8+AD8+AH8+AL8+AP8</f>
        <v>9915.15814325</v>
      </c>
      <c r="AR8" s="43" t="n">
        <f aca="false">D8+E8+H8+I8+L8+M8+P8+Q8+T8+U8+X8+Y8+AB8+AC8+AF8+AG8+AJ8+AK8+AN8+AO8</f>
        <v>1450</v>
      </c>
    </row>
    <row r="9" customFormat="false" ht="15" hidden="false" customHeight="false" outlineLevel="0" collapsed="false">
      <c r="A9" s="0" t="n">
        <v>5</v>
      </c>
      <c r="B9" s="43" t="n">
        <f aca="false">MAX(0,Dívidas!$C$20-(D9+H9+L9+P9+T9+X9+AB9+AF9+AJ9+AN9))</f>
        <v>400</v>
      </c>
      <c r="C9" s="43" t="n">
        <f aca="false">IF(F8&gt;0.005,F8*(1+Ordem!$E$6),0)</f>
        <v>1540.0318976</v>
      </c>
      <c r="D9" s="43" t="n">
        <f aca="false">MIN(C9,Ordem!$F$6)</f>
        <v>300</v>
      </c>
      <c r="E9" s="43" t="n">
        <f aca="false">MAX(0,MIN(C9-D9,$B9-(0)))</f>
        <v>400</v>
      </c>
      <c r="F9" s="43" t="n">
        <f aca="false">MAX(0,C9-D9-E9)</f>
        <v>840.031897600002</v>
      </c>
      <c r="G9" s="43" t="n">
        <f aca="false">IF(J8&gt;0.005,J8*(1+Ordem!$E$7),0)</f>
        <v>1033.20354816</v>
      </c>
      <c r="H9" s="43" t="n">
        <f aca="false">MIN(G9,Ordem!$F$7)</f>
        <v>150</v>
      </c>
      <c r="I9" s="43" t="n">
        <f aca="false">MAX(0,MIN(G9-H9,$B9-(E9)))</f>
        <v>0</v>
      </c>
      <c r="J9" s="43" t="n">
        <f aca="false">MAX(0,G9-H9-I9)</f>
        <v>883.20354816</v>
      </c>
      <c r="K9" s="43" t="n">
        <f aca="false">IF(N8&gt;0.005,N8*(1+Ordem!$E$8),0)</f>
        <v>7538.38080114375</v>
      </c>
      <c r="L9" s="43" t="n">
        <f aca="false">MIN(K9,Ordem!$F$8)</f>
        <v>450</v>
      </c>
      <c r="M9" s="43" t="n">
        <f aca="false">MAX(0,MIN(K9-L9,$B9-(E9+I9)))</f>
        <v>0</v>
      </c>
      <c r="N9" s="43" t="n">
        <f aca="false">MAX(0,K9-L9-M9)</f>
        <v>7088.38080114375</v>
      </c>
      <c r="O9" s="43" t="n">
        <f aca="false">IF(R8&gt;0.005,R8*(1+Ordem!$E$9),0)</f>
        <v>300</v>
      </c>
      <c r="P9" s="43" t="n">
        <f aca="false">MIN(O9,Ordem!$F$9)</f>
        <v>150</v>
      </c>
      <c r="Q9" s="43" t="n">
        <f aca="false">MAX(0,MIN(O9-P9,$B9-(E9+I9+M9)))</f>
        <v>0</v>
      </c>
      <c r="R9" s="43" t="n">
        <f aca="false">MAX(0,O9-P9-Q9)</f>
        <v>150</v>
      </c>
      <c r="S9" s="43" t="n">
        <f aca="false">IF(V8&gt;0.005,V8*(1+Ordem!$E$10),0)</f>
        <v>0</v>
      </c>
      <c r="T9" s="43" t="n">
        <f aca="false">MIN(S9,Ordem!$F$10)</f>
        <v>0</v>
      </c>
      <c r="U9" s="43" t="n">
        <f aca="false">MAX(0,MIN(S9-T9,$B9-(E9+I9+M9+Q9)))</f>
        <v>0</v>
      </c>
      <c r="V9" s="43" t="n">
        <f aca="false">MAX(0,S9-T9-U9)</f>
        <v>0</v>
      </c>
      <c r="W9" s="43" t="n">
        <f aca="false">IF(Z8&gt;0.005,Z8*(1+Ordem!$E$11),0)</f>
        <v>0</v>
      </c>
      <c r="X9" s="43" t="n">
        <f aca="false">MIN(W9,Ordem!$F$11)</f>
        <v>0</v>
      </c>
      <c r="Y9" s="43" t="n">
        <f aca="false">MAX(0,MIN(W9-X9,$B9-(E9+I9+M9+Q9+U9)))</f>
        <v>0</v>
      </c>
      <c r="Z9" s="43" t="n">
        <f aca="false">MAX(0,W9-X9-Y9)</f>
        <v>0</v>
      </c>
      <c r="AA9" s="43" t="n">
        <f aca="false">IF(AD8&gt;0.005,AD8*(1+Ordem!$E$12),0)</f>
        <v>0</v>
      </c>
      <c r="AB9" s="43" t="n">
        <f aca="false">MIN(AA9,Ordem!$F$12)</f>
        <v>0</v>
      </c>
      <c r="AC9" s="43" t="n">
        <f aca="false">MAX(0,MIN(AA9-AB9,$B9-(E9+I9+M9+Q9+U9+Y9)))</f>
        <v>0</v>
      </c>
      <c r="AD9" s="43" t="n">
        <f aca="false">MAX(0,AA9-AB9-AC9)</f>
        <v>0</v>
      </c>
      <c r="AE9" s="43" t="n">
        <f aca="false">IF(AH8&gt;0.005,AH8*(1+Ordem!$E$13),0)</f>
        <v>0</v>
      </c>
      <c r="AF9" s="43" t="n">
        <f aca="false">MIN(AE9,Ordem!$F$13)</f>
        <v>0</v>
      </c>
      <c r="AG9" s="43" t="n">
        <f aca="false">MAX(0,MIN(AE9-AF9,$B9-(E9+I9+M9+Q9+U9+Y9+AC9)))</f>
        <v>0</v>
      </c>
      <c r="AH9" s="43" t="n">
        <f aca="false">MAX(0,AE9-AF9-AG9)</f>
        <v>0</v>
      </c>
      <c r="AI9" s="43" t="n">
        <f aca="false">IF(AL8&gt;0.005,AL8*(1+Ordem!$E$14),0)</f>
        <v>0</v>
      </c>
      <c r="AJ9" s="43" t="n">
        <f aca="false">MIN(AI9,Ordem!$F$14)</f>
        <v>0</v>
      </c>
      <c r="AK9" s="43" t="n">
        <f aca="false">MAX(0,MIN(AI9-AJ9,$B9-(E9+I9+M9+Q9+U9+Y9+AC9+AG9)))</f>
        <v>0</v>
      </c>
      <c r="AL9" s="43" t="n">
        <f aca="false">MAX(0,AI9-AJ9-AK9)</f>
        <v>0</v>
      </c>
      <c r="AM9" s="43" t="n">
        <f aca="false">IF(AP8&gt;0.005,AP8*(1+Ordem!$E$15),0)</f>
        <v>0</v>
      </c>
      <c r="AN9" s="43" t="n">
        <f aca="false">MIN(AM9,Ordem!$F$15)</f>
        <v>0</v>
      </c>
      <c r="AO9" s="43" t="n">
        <f aca="false">MAX(0,MIN(AM9-AN9,$B9-(E9+I9+M9+Q9+U9+Y9+AC9+AG9+AK9)))</f>
        <v>0</v>
      </c>
      <c r="AP9" s="43" t="n">
        <f aca="false">MAX(0,AM9-AN9-AO9)</f>
        <v>0</v>
      </c>
      <c r="AQ9" s="43" t="n">
        <f aca="false">F9+J9+N9+R9+V9+Z9+AD9+AH9+AL9+AP9</f>
        <v>8961.61624690375</v>
      </c>
      <c r="AR9" s="43" t="n">
        <f aca="false">D9+E9+H9+I9+L9+M9+P9+Q9+T9+U9+X9+Y9+AB9+AC9+AF9+AG9+AJ9+AK9+AN9+AO9</f>
        <v>1450</v>
      </c>
    </row>
    <row r="10" customFormat="false" ht="15" hidden="false" customHeight="false" outlineLevel="0" collapsed="false">
      <c r="A10" s="0" t="n">
        <v>6</v>
      </c>
      <c r="B10" s="43" t="n">
        <f aca="false">MAX(0,Dívidas!$C$20-(D10+H10+L10+P10+T10+X10+AB10+AF10+AJ10+AN10))</f>
        <v>400</v>
      </c>
      <c r="C10" s="43" t="n">
        <f aca="false">IF(F9&gt;0.005,F9*(1+Ordem!$E$6),0)</f>
        <v>940.835725312002</v>
      </c>
      <c r="D10" s="43" t="n">
        <f aca="false">MIN(C10,Ordem!$F$6)</f>
        <v>300</v>
      </c>
      <c r="E10" s="43" t="n">
        <f aca="false">MAX(0,MIN(C10-D10,$B10-(0)))</f>
        <v>400</v>
      </c>
      <c r="F10" s="43" t="n">
        <f aca="false">MAX(0,C10-D10-E10)</f>
        <v>240.835725312002</v>
      </c>
      <c r="G10" s="43" t="n">
        <f aca="false">IF(J9&gt;0.005,J9*(1+Ordem!$E$7),0)</f>
        <v>953.8598320128</v>
      </c>
      <c r="H10" s="43" t="n">
        <f aca="false">MIN(G10,Ordem!$F$7)</f>
        <v>150</v>
      </c>
      <c r="I10" s="43" t="n">
        <f aca="false">MAX(0,MIN(G10-H10,$B10-(E10)))</f>
        <v>0</v>
      </c>
      <c r="J10" s="43" t="n">
        <f aca="false">MAX(0,G10-H10-I10)</f>
        <v>803.8598320128</v>
      </c>
      <c r="K10" s="43" t="n">
        <f aca="false">IF(N9&gt;0.005,N9*(1+Ordem!$E$8),0)</f>
        <v>7336.47412918378</v>
      </c>
      <c r="L10" s="43" t="n">
        <f aca="false">MIN(K10,Ordem!$F$8)</f>
        <v>450</v>
      </c>
      <c r="M10" s="43" t="n">
        <f aca="false">MAX(0,MIN(K10-L10,$B10-(E10+I10)))</f>
        <v>0</v>
      </c>
      <c r="N10" s="43" t="n">
        <f aca="false">MAX(0,K10-L10-M10)</f>
        <v>6886.47412918378</v>
      </c>
      <c r="O10" s="43" t="n">
        <f aca="false">IF(R9&gt;0.005,R9*(1+Ordem!$E$9),0)</f>
        <v>150</v>
      </c>
      <c r="P10" s="43" t="n">
        <f aca="false">MIN(O10,Ordem!$F$9)</f>
        <v>150</v>
      </c>
      <c r="Q10" s="43" t="n">
        <f aca="false">MAX(0,MIN(O10-P10,$B10-(E10+I10+M10)))</f>
        <v>0</v>
      </c>
      <c r="R10" s="43" t="n">
        <f aca="false">MAX(0,O10-P10-Q10)</f>
        <v>0</v>
      </c>
      <c r="S10" s="43" t="n">
        <f aca="false">IF(V9&gt;0.005,V9*(1+Ordem!$E$10),0)</f>
        <v>0</v>
      </c>
      <c r="T10" s="43" t="n">
        <f aca="false">MIN(S10,Ordem!$F$10)</f>
        <v>0</v>
      </c>
      <c r="U10" s="43" t="n">
        <f aca="false">MAX(0,MIN(S10-T10,$B10-(E10+I10+M10+Q10)))</f>
        <v>0</v>
      </c>
      <c r="V10" s="43" t="n">
        <f aca="false">MAX(0,S10-T10-U10)</f>
        <v>0</v>
      </c>
      <c r="W10" s="43" t="n">
        <f aca="false">IF(Z9&gt;0.005,Z9*(1+Ordem!$E$11),0)</f>
        <v>0</v>
      </c>
      <c r="X10" s="43" t="n">
        <f aca="false">MIN(W10,Ordem!$F$11)</f>
        <v>0</v>
      </c>
      <c r="Y10" s="43" t="n">
        <f aca="false">MAX(0,MIN(W10-X10,$B10-(E10+I10+M10+Q10+U10)))</f>
        <v>0</v>
      </c>
      <c r="Z10" s="43" t="n">
        <f aca="false">MAX(0,W10-X10-Y10)</f>
        <v>0</v>
      </c>
      <c r="AA10" s="43" t="n">
        <f aca="false">IF(AD9&gt;0.005,AD9*(1+Ordem!$E$12),0)</f>
        <v>0</v>
      </c>
      <c r="AB10" s="43" t="n">
        <f aca="false">MIN(AA10,Ordem!$F$12)</f>
        <v>0</v>
      </c>
      <c r="AC10" s="43" t="n">
        <f aca="false">MAX(0,MIN(AA10-AB10,$B10-(E10+I10+M10+Q10+U10+Y10)))</f>
        <v>0</v>
      </c>
      <c r="AD10" s="43" t="n">
        <f aca="false">MAX(0,AA10-AB10-AC10)</f>
        <v>0</v>
      </c>
      <c r="AE10" s="43" t="n">
        <f aca="false">IF(AH9&gt;0.005,AH9*(1+Ordem!$E$13),0)</f>
        <v>0</v>
      </c>
      <c r="AF10" s="43" t="n">
        <f aca="false">MIN(AE10,Ordem!$F$13)</f>
        <v>0</v>
      </c>
      <c r="AG10" s="43" t="n">
        <f aca="false">MAX(0,MIN(AE10-AF10,$B10-(E10+I10+M10+Q10+U10+Y10+AC10)))</f>
        <v>0</v>
      </c>
      <c r="AH10" s="43" t="n">
        <f aca="false">MAX(0,AE10-AF10-AG10)</f>
        <v>0</v>
      </c>
      <c r="AI10" s="43" t="n">
        <f aca="false">IF(AL9&gt;0.005,AL9*(1+Ordem!$E$14),0)</f>
        <v>0</v>
      </c>
      <c r="AJ10" s="43" t="n">
        <f aca="false">MIN(AI10,Ordem!$F$14)</f>
        <v>0</v>
      </c>
      <c r="AK10" s="43" t="n">
        <f aca="false">MAX(0,MIN(AI10-AJ10,$B10-(E10+I10+M10+Q10+U10+Y10+AC10+AG10)))</f>
        <v>0</v>
      </c>
      <c r="AL10" s="43" t="n">
        <f aca="false">MAX(0,AI10-AJ10-AK10)</f>
        <v>0</v>
      </c>
      <c r="AM10" s="43" t="n">
        <f aca="false">IF(AP9&gt;0.005,AP9*(1+Ordem!$E$15),0)</f>
        <v>0</v>
      </c>
      <c r="AN10" s="43" t="n">
        <f aca="false">MIN(AM10,Ordem!$F$15)</f>
        <v>0</v>
      </c>
      <c r="AO10" s="43" t="n">
        <f aca="false">MAX(0,MIN(AM10-AN10,$B10-(E10+I10+M10+Q10+U10+Y10+AC10+AG10+AK10)))</f>
        <v>0</v>
      </c>
      <c r="AP10" s="43" t="n">
        <f aca="false">MAX(0,AM10-AN10-AO10)</f>
        <v>0</v>
      </c>
      <c r="AQ10" s="43" t="n">
        <f aca="false">F10+J10+N10+R10+V10+Z10+AD10+AH10+AL10+AP10</f>
        <v>7931.16968650858</v>
      </c>
      <c r="AR10" s="43" t="n">
        <f aca="false">D10+E10+H10+I10+L10+M10+P10+Q10+T10+U10+X10+Y10+AB10+AC10+AF10+AG10+AJ10+AK10+AN10+AO10</f>
        <v>1450</v>
      </c>
    </row>
    <row r="11" customFormat="false" ht="15" hidden="false" customHeight="false" outlineLevel="0" collapsed="false">
      <c r="A11" s="0" t="n">
        <v>7</v>
      </c>
      <c r="B11" s="43" t="n">
        <f aca="false">MAX(0,Dívidas!$C$20-(D11+H11+L11+P11+T11+X11+AB11+AF11+AJ11+AN11))</f>
        <v>580.263987650558</v>
      </c>
      <c r="C11" s="43" t="n">
        <f aca="false">IF(F10&gt;0.005,F10*(1+Ordem!$E$6),0)</f>
        <v>269.736012349442</v>
      </c>
      <c r="D11" s="43" t="n">
        <f aca="false">MIN(C11,Ordem!$F$6)</f>
        <v>269.736012349442</v>
      </c>
      <c r="E11" s="43" t="n">
        <f aca="false">MAX(0,MIN(C11-D11,$B11-(0)))</f>
        <v>0</v>
      </c>
      <c r="F11" s="43" t="n">
        <f aca="false">MAX(0,C11-D11-E11)</f>
        <v>0</v>
      </c>
      <c r="G11" s="43" t="n">
        <f aca="false">IF(J10&gt;0.005,J10*(1+Ordem!$E$7),0)</f>
        <v>868.168618573825</v>
      </c>
      <c r="H11" s="43" t="n">
        <f aca="false">MIN(G11,Ordem!$F$7)</f>
        <v>150</v>
      </c>
      <c r="I11" s="43" t="n">
        <f aca="false">MAX(0,MIN(G11-H11,$B11-(E11)))</f>
        <v>580.263987650558</v>
      </c>
      <c r="J11" s="43" t="n">
        <f aca="false">MAX(0,G11-H11-I11)</f>
        <v>137.904630923267</v>
      </c>
      <c r="K11" s="43" t="n">
        <f aca="false">IF(N10&gt;0.005,N10*(1+Ordem!$E$8),0)</f>
        <v>7127.50072370521</v>
      </c>
      <c r="L11" s="43" t="n">
        <f aca="false">MIN(K11,Ordem!$F$8)</f>
        <v>450</v>
      </c>
      <c r="M11" s="43" t="n">
        <f aca="false">MAX(0,MIN(K11-L11,$B11-(E11+I11)))</f>
        <v>0</v>
      </c>
      <c r="N11" s="43" t="n">
        <f aca="false">MAX(0,K11-L11-M11)</f>
        <v>6677.50072370521</v>
      </c>
      <c r="O11" s="43" t="n">
        <f aca="false">IF(R10&gt;0.005,R10*(1+Ordem!$E$9),0)</f>
        <v>0</v>
      </c>
      <c r="P11" s="43" t="n">
        <f aca="false">MIN(O11,Ordem!$F$9)</f>
        <v>0</v>
      </c>
      <c r="Q11" s="43" t="n">
        <f aca="false">MAX(0,MIN(O11-P11,$B11-(E11+I11+M11)))</f>
        <v>0</v>
      </c>
      <c r="R11" s="43" t="n">
        <f aca="false">MAX(0,O11-P11-Q11)</f>
        <v>0</v>
      </c>
      <c r="S11" s="43" t="n">
        <f aca="false">IF(V10&gt;0.005,V10*(1+Ordem!$E$10),0)</f>
        <v>0</v>
      </c>
      <c r="T11" s="43" t="n">
        <f aca="false">MIN(S11,Ordem!$F$10)</f>
        <v>0</v>
      </c>
      <c r="U11" s="43" t="n">
        <f aca="false">MAX(0,MIN(S11-T11,$B11-(E11+I11+M11+Q11)))</f>
        <v>0</v>
      </c>
      <c r="V11" s="43" t="n">
        <f aca="false">MAX(0,S11-T11-U11)</f>
        <v>0</v>
      </c>
      <c r="W11" s="43" t="n">
        <f aca="false">IF(Z10&gt;0.005,Z10*(1+Ordem!$E$11),0)</f>
        <v>0</v>
      </c>
      <c r="X11" s="43" t="n">
        <f aca="false">MIN(W11,Ordem!$F$11)</f>
        <v>0</v>
      </c>
      <c r="Y11" s="43" t="n">
        <f aca="false">MAX(0,MIN(W11-X11,$B11-(E11+I11+M11+Q11+U11)))</f>
        <v>0</v>
      </c>
      <c r="Z11" s="43" t="n">
        <f aca="false">MAX(0,W11-X11-Y11)</f>
        <v>0</v>
      </c>
      <c r="AA11" s="43" t="n">
        <f aca="false">IF(AD10&gt;0.005,AD10*(1+Ordem!$E$12),0)</f>
        <v>0</v>
      </c>
      <c r="AB11" s="43" t="n">
        <f aca="false">MIN(AA11,Ordem!$F$12)</f>
        <v>0</v>
      </c>
      <c r="AC11" s="43" t="n">
        <f aca="false">MAX(0,MIN(AA11-AB11,$B11-(E11+I11+M11+Q11+U11+Y11)))</f>
        <v>0</v>
      </c>
      <c r="AD11" s="43" t="n">
        <f aca="false">MAX(0,AA11-AB11-AC11)</f>
        <v>0</v>
      </c>
      <c r="AE11" s="43" t="n">
        <f aca="false">IF(AH10&gt;0.005,AH10*(1+Ordem!$E$13),0)</f>
        <v>0</v>
      </c>
      <c r="AF11" s="43" t="n">
        <f aca="false">MIN(AE11,Ordem!$F$13)</f>
        <v>0</v>
      </c>
      <c r="AG11" s="43" t="n">
        <f aca="false">MAX(0,MIN(AE11-AF11,$B11-(E11+I11+M11+Q11+U11+Y11+AC11)))</f>
        <v>0</v>
      </c>
      <c r="AH11" s="43" t="n">
        <f aca="false">MAX(0,AE11-AF11-AG11)</f>
        <v>0</v>
      </c>
      <c r="AI11" s="43" t="n">
        <f aca="false">IF(AL10&gt;0.005,AL10*(1+Ordem!$E$14),0)</f>
        <v>0</v>
      </c>
      <c r="AJ11" s="43" t="n">
        <f aca="false">MIN(AI11,Ordem!$F$14)</f>
        <v>0</v>
      </c>
      <c r="AK11" s="43" t="n">
        <f aca="false">MAX(0,MIN(AI11-AJ11,$B11-(E11+I11+M11+Q11+U11+Y11+AC11+AG11)))</f>
        <v>0</v>
      </c>
      <c r="AL11" s="43" t="n">
        <f aca="false">MAX(0,AI11-AJ11-AK11)</f>
        <v>0</v>
      </c>
      <c r="AM11" s="43" t="n">
        <f aca="false">IF(AP10&gt;0.005,AP10*(1+Ordem!$E$15),0)</f>
        <v>0</v>
      </c>
      <c r="AN11" s="43" t="n">
        <f aca="false">MIN(AM11,Ordem!$F$15)</f>
        <v>0</v>
      </c>
      <c r="AO11" s="43" t="n">
        <f aca="false">MAX(0,MIN(AM11-AN11,$B11-(E11+I11+M11+Q11+U11+Y11+AC11+AG11+AK11)))</f>
        <v>0</v>
      </c>
      <c r="AP11" s="43" t="n">
        <f aca="false">MAX(0,AM11-AN11-AO11)</f>
        <v>0</v>
      </c>
      <c r="AQ11" s="43" t="n">
        <f aca="false">F11+J11+N11+R11+V11+Z11+AD11+AH11+AL11+AP11</f>
        <v>6815.40535462848</v>
      </c>
      <c r="AR11" s="43" t="n">
        <f aca="false">D11+E11+H11+I11+L11+M11+P11+Q11+T11+U11+X11+Y11+AB11+AC11+AF11+AG11+AJ11+AK11+AN11+AO11</f>
        <v>1450</v>
      </c>
    </row>
    <row r="12" customFormat="false" ht="15" hidden="false" customHeight="false" outlineLevel="0" collapsed="false">
      <c r="A12" s="0" t="n">
        <v>8</v>
      </c>
      <c r="B12" s="43" t="n">
        <f aca="false">MAX(0,Dívidas!$C$20-(D12+H12+L12+P12+T12+X12+AB12+AF12+AJ12+AN12))</f>
        <v>851.062998602872</v>
      </c>
      <c r="C12" s="43" t="n">
        <f aca="false">IF(F11&gt;0.005,F11*(1+Ordem!$E$6),0)</f>
        <v>0</v>
      </c>
      <c r="D12" s="43" t="n">
        <f aca="false">MIN(C12,Ordem!$F$6)</f>
        <v>0</v>
      </c>
      <c r="E12" s="43" t="n">
        <f aca="false">MAX(0,MIN(C12-D12,$B12-(0)))</f>
        <v>0</v>
      </c>
      <c r="F12" s="43" t="n">
        <f aca="false">MAX(0,C12-D12-E12)</f>
        <v>0</v>
      </c>
      <c r="G12" s="43" t="n">
        <f aca="false">IF(J11&gt;0.005,J11*(1+Ordem!$E$7),0)</f>
        <v>148.937001397128</v>
      </c>
      <c r="H12" s="43" t="n">
        <f aca="false">MIN(G12,Ordem!$F$7)</f>
        <v>148.937001397128</v>
      </c>
      <c r="I12" s="43" t="n">
        <f aca="false">MAX(0,MIN(G12-H12,$B12-(E12)))</f>
        <v>0</v>
      </c>
      <c r="J12" s="43" t="n">
        <f aca="false">MAX(0,G12-H12-I12)</f>
        <v>0</v>
      </c>
      <c r="K12" s="43" t="n">
        <f aca="false">IF(N11&gt;0.005,N11*(1+Ordem!$E$8),0)</f>
        <v>6911.21324903489</v>
      </c>
      <c r="L12" s="43" t="n">
        <f aca="false">MIN(K12,Ordem!$F$8)</f>
        <v>450</v>
      </c>
      <c r="M12" s="43" t="n">
        <f aca="false">MAX(0,MIN(K12-L12,$B12-(E12+I12)))</f>
        <v>851.062998602872</v>
      </c>
      <c r="N12" s="43" t="n">
        <f aca="false">MAX(0,K12-L12-M12)</f>
        <v>5610.15025043202</v>
      </c>
      <c r="O12" s="43" t="n">
        <f aca="false">IF(R11&gt;0.005,R11*(1+Ordem!$E$9),0)</f>
        <v>0</v>
      </c>
      <c r="P12" s="43" t="n">
        <f aca="false">MIN(O12,Ordem!$F$9)</f>
        <v>0</v>
      </c>
      <c r="Q12" s="43" t="n">
        <f aca="false">MAX(0,MIN(O12-P12,$B12-(E12+I12+M12)))</f>
        <v>0</v>
      </c>
      <c r="R12" s="43" t="n">
        <f aca="false">MAX(0,O12-P12-Q12)</f>
        <v>0</v>
      </c>
      <c r="S12" s="43" t="n">
        <f aca="false">IF(V11&gt;0.005,V11*(1+Ordem!$E$10),0)</f>
        <v>0</v>
      </c>
      <c r="T12" s="43" t="n">
        <f aca="false">MIN(S12,Ordem!$F$10)</f>
        <v>0</v>
      </c>
      <c r="U12" s="43" t="n">
        <f aca="false">MAX(0,MIN(S12-T12,$B12-(E12+I12+M12+Q12)))</f>
        <v>0</v>
      </c>
      <c r="V12" s="43" t="n">
        <f aca="false">MAX(0,S12-T12-U12)</f>
        <v>0</v>
      </c>
      <c r="W12" s="43" t="n">
        <f aca="false">IF(Z11&gt;0.005,Z11*(1+Ordem!$E$11),0)</f>
        <v>0</v>
      </c>
      <c r="X12" s="43" t="n">
        <f aca="false">MIN(W12,Ordem!$F$11)</f>
        <v>0</v>
      </c>
      <c r="Y12" s="43" t="n">
        <f aca="false">MAX(0,MIN(W12-X12,$B12-(E12+I12+M12+Q12+U12)))</f>
        <v>0</v>
      </c>
      <c r="Z12" s="43" t="n">
        <f aca="false">MAX(0,W12-X12-Y12)</f>
        <v>0</v>
      </c>
      <c r="AA12" s="43" t="n">
        <f aca="false">IF(AD11&gt;0.005,AD11*(1+Ordem!$E$12),0)</f>
        <v>0</v>
      </c>
      <c r="AB12" s="43" t="n">
        <f aca="false">MIN(AA12,Ordem!$F$12)</f>
        <v>0</v>
      </c>
      <c r="AC12" s="43" t="n">
        <f aca="false">MAX(0,MIN(AA12-AB12,$B12-(E12+I12+M12+Q12+U12+Y12)))</f>
        <v>0</v>
      </c>
      <c r="AD12" s="43" t="n">
        <f aca="false">MAX(0,AA12-AB12-AC12)</f>
        <v>0</v>
      </c>
      <c r="AE12" s="43" t="n">
        <f aca="false">IF(AH11&gt;0.005,AH11*(1+Ordem!$E$13),0)</f>
        <v>0</v>
      </c>
      <c r="AF12" s="43" t="n">
        <f aca="false">MIN(AE12,Ordem!$F$13)</f>
        <v>0</v>
      </c>
      <c r="AG12" s="43" t="n">
        <f aca="false">MAX(0,MIN(AE12-AF12,$B12-(E12+I12+M12+Q12+U12+Y12+AC12)))</f>
        <v>0</v>
      </c>
      <c r="AH12" s="43" t="n">
        <f aca="false">MAX(0,AE12-AF12-AG12)</f>
        <v>0</v>
      </c>
      <c r="AI12" s="43" t="n">
        <f aca="false">IF(AL11&gt;0.005,AL11*(1+Ordem!$E$14),0)</f>
        <v>0</v>
      </c>
      <c r="AJ12" s="43" t="n">
        <f aca="false">MIN(AI12,Ordem!$F$14)</f>
        <v>0</v>
      </c>
      <c r="AK12" s="43" t="n">
        <f aca="false">MAX(0,MIN(AI12-AJ12,$B12-(E12+I12+M12+Q12+U12+Y12+AC12+AG12)))</f>
        <v>0</v>
      </c>
      <c r="AL12" s="43" t="n">
        <f aca="false">MAX(0,AI12-AJ12-AK12)</f>
        <v>0</v>
      </c>
      <c r="AM12" s="43" t="n">
        <f aca="false">IF(AP11&gt;0.005,AP11*(1+Ordem!$E$15),0)</f>
        <v>0</v>
      </c>
      <c r="AN12" s="43" t="n">
        <f aca="false">MIN(AM12,Ordem!$F$15)</f>
        <v>0</v>
      </c>
      <c r="AO12" s="43" t="n">
        <f aca="false">MAX(0,MIN(AM12-AN12,$B12-(E12+I12+M12+Q12+U12+Y12+AC12+AG12+AK12)))</f>
        <v>0</v>
      </c>
      <c r="AP12" s="43" t="n">
        <f aca="false">MAX(0,AM12-AN12-AO12)</f>
        <v>0</v>
      </c>
      <c r="AQ12" s="43" t="n">
        <f aca="false">F12+J12+N12+R12+V12+Z12+AD12+AH12+AL12+AP12</f>
        <v>5610.15025043202</v>
      </c>
      <c r="AR12" s="43" t="n">
        <f aca="false">D12+E12+H12+I12+L12+M12+P12+Q12+T12+U12+X12+Y12+AB12+AC12+AF12+AG12+AJ12+AK12+AN12+AO12</f>
        <v>1450</v>
      </c>
    </row>
    <row r="13" customFormat="false" ht="15" hidden="false" customHeight="false" outlineLevel="0" collapsed="false">
      <c r="A13" s="0" t="n">
        <v>9</v>
      </c>
      <c r="B13" s="43" t="n">
        <f aca="false">MAX(0,Dívidas!$C$20-(D13+H13+L13+P13+T13+X13+AB13+AF13+AJ13+AN13))</f>
        <v>1000</v>
      </c>
      <c r="C13" s="43" t="n">
        <f aca="false">IF(F12&gt;0.005,F12*(1+Ordem!$E$6),0)</f>
        <v>0</v>
      </c>
      <c r="D13" s="43" t="n">
        <f aca="false">MIN(C13,Ordem!$F$6)</f>
        <v>0</v>
      </c>
      <c r="E13" s="43" t="n">
        <f aca="false">MAX(0,MIN(C13-D13,$B13-(0)))</f>
        <v>0</v>
      </c>
      <c r="F13" s="43" t="n">
        <f aca="false">MAX(0,C13-D13-E13)</f>
        <v>0</v>
      </c>
      <c r="G13" s="43" t="n">
        <f aca="false">IF(J12&gt;0.005,J12*(1+Ordem!$E$7),0)</f>
        <v>0</v>
      </c>
      <c r="H13" s="43" t="n">
        <f aca="false">MIN(G13,Ordem!$F$7)</f>
        <v>0</v>
      </c>
      <c r="I13" s="43" t="n">
        <f aca="false">MAX(0,MIN(G13-H13,$B13-(E13)))</f>
        <v>0</v>
      </c>
      <c r="J13" s="43" t="n">
        <f aca="false">MAX(0,G13-H13-I13)</f>
        <v>0</v>
      </c>
      <c r="K13" s="43" t="n">
        <f aca="false">IF(N12&gt;0.005,N12*(1+Ordem!$E$8),0)</f>
        <v>5806.50550919714</v>
      </c>
      <c r="L13" s="43" t="n">
        <f aca="false">MIN(K13,Ordem!$F$8)</f>
        <v>450</v>
      </c>
      <c r="M13" s="43" t="n">
        <f aca="false">MAX(0,MIN(K13-L13,$B13-(E13+I13)))</f>
        <v>1000</v>
      </c>
      <c r="N13" s="43" t="n">
        <f aca="false">MAX(0,K13-L13-M13)</f>
        <v>4356.50550919714</v>
      </c>
      <c r="O13" s="43" t="n">
        <f aca="false">IF(R12&gt;0.005,R12*(1+Ordem!$E$9),0)</f>
        <v>0</v>
      </c>
      <c r="P13" s="43" t="n">
        <f aca="false">MIN(O13,Ordem!$F$9)</f>
        <v>0</v>
      </c>
      <c r="Q13" s="43" t="n">
        <f aca="false">MAX(0,MIN(O13-P13,$B13-(E13+I13+M13)))</f>
        <v>0</v>
      </c>
      <c r="R13" s="43" t="n">
        <f aca="false">MAX(0,O13-P13-Q13)</f>
        <v>0</v>
      </c>
      <c r="S13" s="43" t="n">
        <f aca="false">IF(V12&gt;0.005,V12*(1+Ordem!$E$10),0)</f>
        <v>0</v>
      </c>
      <c r="T13" s="43" t="n">
        <f aca="false">MIN(S13,Ordem!$F$10)</f>
        <v>0</v>
      </c>
      <c r="U13" s="43" t="n">
        <f aca="false">MAX(0,MIN(S13-T13,$B13-(E13+I13+M13+Q13)))</f>
        <v>0</v>
      </c>
      <c r="V13" s="43" t="n">
        <f aca="false">MAX(0,S13-T13-U13)</f>
        <v>0</v>
      </c>
      <c r="W13" s="43" t="n">
        <f aca="false">IF(Z12&gt;0.005,Z12*(1+Ordem!$E$11),0)</f>
        <v>0</v>
      </c>
      <c r="X13" s="43" t="n">
        <f aca="false">MIN(W13,Ordem!$F$11)</f>
        <v>0</v>
      </c>
      <c r="Y13" s="43" t="n">
        <f aca="false">MAX(0,MIN(W13-X13,$B13-(E13+I13+M13+Q13+U13)))</f>
        <v>0</v>
      </c>
      <c r="Z13" s="43" t="n">
        <f aca="false">MAX(0,W13-X13-Y13)</f>
        <v>0</v>
      </c>
      <c r="AA13" s="43" t="n">
        <f aca="false">IF(AD12&gt;0.005,AD12*(1+Ordem!$E$12),0)</f>
        <v>0</v>
      </c>
      <c r="AB13" s="43" t="n">
        <f aca="false">MIN(AA13,Ordem!$F$12)</f>
        <v>0</v>
      </c>
      <c r="AC13" s="43" t="n">
        <f aca="false">MAX(0,MIN(AA13-AB13,$B13-(E13+I13+M13+Q13+U13+Y13)))</f>
        <v>0</v>
      </c>
      <c r="AD13" s="43" t="n">
        <f aca="false">MAX(0,AA13-AB13-AC13)</f>
        <v>0</v>
      </c>
      <c r="AE13" s="43" t="n">
        <f aca="false">IF(AH12&gt;0.005,AH12*(1+Ordem!$E$13),0)</f>
        <v>0</v>
      </c>
      <c r="AF13" s="43" t="n">
        <f aca="false">MIN(AE13,Ordem!$F$13)</f>
        <v>0</v>
      </c>
      <c r="AG13" s="43" t="n">
        <f aca="false">MAX(0,MIN(AE13-AF13,$B13-(E13+I13+M13+Q13+U13+Y13+AC13)))</f>
        <v>0</v>
      </c>
      <c r="AH13" s="43" t="n">
        <f aca="false">MAX(0,AE13-AF13-AG13)</f>
        <v>0</v>
      </c>
      <c r="AI13" s="43" t="n">
        <f aca="false">IF(AL12&gt;0.005,AL12*(1+Ordem!$E$14),0)</f>
        <v>0</v>
      </c>
      <c r="AJ13" s="43" t="n">
        <f aca="false">MIN(AI13,Ordem!$F$14)</f>
        <v>0</v>
      </c>
      <c r="AK13" s="43" t="n">
        <f aca="false">MAX(0,MIN(AI13-AJ13,$B13-(E13+I13+M13+Q13+U13+Y13+AC13+AG13)))</f>
        <v>0</v>
      </c>
      <c r="AL13" s="43" t="n">
        <f aca="false">MAX(0,AI13-AJ13-AK13)</f>
        <v>0</v>
      </c>
      <c r="AM13" s="43" t="n">
        <f aca="false">IF(AP12&gt;0.005,AP12*(1+Ordem!$E$15),0)</f>
        <v>0</v>
      </c>
      <c r="AN13" s="43" t="n">
        <f aca="false">MIN(AM13,Ordem!$F$15)</f>
        <v>0</v>
      </c>
      <c r="AO13" s="43" t="n">
        <f aca="false">MAX(0,MIN(AM13-AN13,$B13-(E13+I13+M13+Q13+U13+Y13+AC13+AG13+AK13)))</f>
        <v>0</v>
      </c>
      <c r="AP13" s="43" t="n">
        <f aca="false">MAX(0,AM13-AN13-AO13)</f>
        <v>0</v>
      </c>
      <c r="AQ13" s="43" t="n">
        <f aca="false">F13+J13+N13+R13+V13+Z13+AD13+AH13+AL13+AP13</f>
        <v>4356.50550919714</v>
      </c>
      <c r="AR13" s="43" t="n">
        <f aca="false">D13+E13+H13+I13+L13+M13+P13+Q13+T13+U13+X13+Y13+AB13+AC13+AF13+AG13+AJ13+AK13+AN13+AO13</f>
        <v>1450</v>
      </c>
    </row>
    <row r="14" customFormat="false" ht="15" hidden="false" customHeight="false" outlineLevel="0" collapsed="false">
      <c r="A14" s="0" t="n">
        <v>10</v>
      </c>
      <c r="B14" s="43" t="n">
        <f aca="false">MAX(0,Dívidas!$C$20-(D14+H14+L14+P14+T14+X14+AB14+AF14+AJ14+AN14))</f>
        <v>1000</v>
      </c>
      <c r="C14" s="43" t="n">
        <f aca="false">IF(F13&gt;0.005,F13*(1+Ordem!$E$6),0)</f>
        <v>0</v>
      </c>
      <c r="D14" s="43" t="n">
        <f aca="false">MIN(C14,Ordem!$F$6)</f>
        <v>0</v>
      </c>
      <c r="E14" s="43" t="n">
        <f aca="false">MAX(0,MIN(C14-D14,$B14-(0)))</f>
        <v>0</v>
      </c>
      <c r="F14" s="43" t="n">
        <f aca="false">MAX(0,C14-D14-E14)</f>
        <v>0</v>
      </c>
      <c r="G14" s="43" t="n">
        <f aca="false">IF(J13&gt;0.005,J13*(1+Ordem!$E$7),0)</f>
        <v>0</v>
      </c>
      <c r="H14" s="43" t="n">
        <f aca="false">MIN(G14,Ordem!$F$7)</f>
        <v>0</v>
      </c>
      <c r="I14" s="43" t="n">
        <f aca="false">MAX(0,MIN(G14-H14,$B14-(E14)))</f>
        <v>0</v>
      </c>
      <c r="J14" s="43" t="n">
        <f aca="false">MAX(0,G14-H14-I14)</f>
        <v>0</v>
      </c>
      <c r="K14" s="43" t="n">
        <f aca="false">IF(N13&gt;0.005,N13*(1+Ordem!$E$8),0)</f>
        <v>4508.98320201904</v>
      </c>
      <c r="L14" s="43" t="n">
        <f aca="false">MIN(K14,Ordem!$F$8)</f>
        <v>450</v>
      </c>
      <c r="M14" s="43" t="n">
        <f aca="false">MAX(0,MIN(K14-L14,$B14-(E14+I14)))</f>
        <v>1000</v>
      </c>
      <c r="N14" s="43" t="n">
        <f aca="false">MAX(0,K14-L14-M14)</f>
        <v>3058.98320201904</v>
      </c>
      <c r="O14" s="43" t="n">
        <f aca="false">IF(R13&gt;0.005,R13*(1+Ordem!$E$9),0)</f>
        <v>0</v>
      </c>
      <c r="P14" s="43" t="n">
        <f aca="false">MIN(O14,Ordem!$F$9)</f>
        <v>0</v>
      </c>
      <c r="Q14" s="43" t="n">
        <f aca="false">MAX(0,MIN(O14-P14,$B14-(E14+I14+M14)))</f>
        <v>0</v>
      </c>
      <c r="R14" s="43" t="n">
        <f aca="false">MAX(0,O14-P14-Q14)</f>
        <v>0</v>
      </c>
      <c r="S14" s="43" t="n">
        <f aca="false">IF(V13&gt;0.005,V13*(1+Ordem!$E$10),0)</f>
        <v>0</v>
      </c>
      <c r="T14" s="43" t="n">
        <f aca="false">MIN(S14,Ordem!$F$10)</f>
        <v>0</v>
      </c>
      <c r="U14" s="43" t="n">
        <f aca="false">MAX(0,MIN(S14-T14,$B14-(E14+I14+M14+Q14)))</f>
        <v>0</v>
      </c>
      <c r="V14" s="43" t="n">
        <f aca="false">MAX(0,S14-T14-U14)</f>
        <v>0</v>
      </c>
      <c r="W14" s="43" t="n">
        <f aca="false">IF(Z13&gt;0.005,Z13*(1+Ordem!$E$11),0)</f>
        <v>0</v>
      </c>
      <c r="X14" s="43" t="n">
        <f aca="false">MIN(W14,Ordem!$F$11)</f>
        <v>0</v>
      </c>
      <c r="Y14" s="43" t="n">
        <f aca="false">MAX(0,MIN(W14-X14,$B14-(E14+I14+M14+Q14+U14)))</f>
        <v>0</v>
      </c>
      <c r="Z14" s="43" t="n">
        <f aca="false">MAX(0,W14-X14-Y14)</f>
        <v>0</v>
      </c>
      <c r="AA14" s="43" t="n">
        <f aca="false">IF(AD13&gt;0.005,AD13*(1+Ordem!$E$12),0)</f>
        <v>0</v>
      </c>
      <c r="AB14" s="43" t="n">
        <f aca="false">MIN(AA14,Ordem!$F$12)</f>
        <v>0</v>
      </c>
      <c r="AC14" s="43" t="n">
        <f aca="false">MAX(0,MIN(AA14-AB14,$B14-(E14+I14+M14+Q14+U14+Y14)))</f>
        <v>0</v>
      </c>
      <c r="AD14" s="43" t="n">
        <f aca="false">MAX(0,AA14-AB14-AC14)</f>
        <v>0</v>
      </c>
      <c r="AE14" s="43" t="n">
        <f aca="false">IF(AH13&gt;0.005,AH13*(1+Ordem!$E$13),0)</f>
        <v>0</v>
      </c>
      <c r="AF14" s="43" t="n">
        <f aca="false">MIN(AE14,Ordem!$F$13)</f>
        <v>0</v>
      </c>
      <c r="AG14" s="43" t="n">
        <f aca="false">MAX(0,MIN(AE14-AF14,$B14-(E14+I14+M14+Q14+U14+Y14+AC14)))</f>
        <v>0</v>
      </c>
      <c r="AH14" s="43" t="n">
        <f aca="false">MAX(0,AE14-AF14-AG14)</f>
        <v>0</v>
      </c>
      <c r="AI14" s="43" t="n">
        <f aca="false">IF(AL13&gt;0.005,AL13*(1+Ordem!$E$14),0)</f>
        <v>0</v>
      </c>
      <c r="AJ14" s="43" t="n">
        <f aca="false">MIN(AI14,Ordem!$F$14)</f>
        <v>0</v>
      </c>
      <c r="AK14" s="43" t="n">
        <f aca="false">MAX(0,MIN(AI14-AJ14,$B14-(E14+I14+M14+Q14+U14+Y14+AC14+AG14)))</f>
        <v>0</v>
      </c>
      <c r="AL14" s="43" t="n">
        <f aca="false">MAX(0,AI14-AJ14-AK14)</f>
        <v>0</v>
      </c>
      <c r="AM14" s="43" t="n">
        <f aca="false">IF(AP13&gt;0.005,AP13*(1+Ordem!$E$15),0)</f>
        <v>0</v>
      </c>
      <c r="AN14" s="43" t="n">
        <f aca="false">MIN(AM14,Ordem!$F$15)</f>
        <v>0</v>
      </c>
      <c r="AO14" s="43" t="n">
        <f aca="false">MAX(0,MIN(AM14-AN14,$B14-(E14+I14+M14+Q14+U14+Y14+AC14+AG14+AK14)))</f>
        <v>0</v>
      </c>
      <c r="AP14" s="43" t="n">
        <f aca="false">MAX(0,AM14-AN14-AO14)</f>
        <v>0</v>
      </c>
      <c r="AQ14" s="43" t="n">
        <f aca="false">F14+J14+N14+R14+V14+Z14+AD14+AH14+AL14+AP14</f>
        <v>3058.98320201904</v>
      </c>
      <c r="AR14" s="43" t="n">
        <f aca="false">D14+E14+H14+I14+L14+M14+P14+Q14+T14+U14+X14+Y14+AB14+AC14+AF14+AG14+AJ14+AK14+AN14+AO14</f>
        <v>1450</v>
      </c>
    </row>
    <row r="15" customFormat="false" ht="15" hidden="false" customHeight="false" outlineLevel="0" collapsed="false">
      <c r="A15" s="0" t="n">
        <v>11</v>
      </c>
      <c r="B15" s="43" t="n">
        <f aca="false">MAX(0,Dívidas!$C$20-(D15+H15+L15+P15+T15+X15+AB15+AF15+AJ15+AN15))</f>
        <v>1000</v>
      </c>
      <c r="C15" s="43" t="n">
        <f aca="false">IF(F14&gt;0.005,F14*(1+Ordem!$E$6),0)</f>
        <v>0</v>
      </c>
      <c r="D15" s="43" t="n">
        <f aca="false">MIN(C15,Ordem!$F$6)</f>
        <v>0</v>
      </c>
      <c r="E15" s="43" t="n">
        <f aca="false">MAX(0,MIN(C15-D15,$B15-(0)))</f>
        <v>0</v>
      </c>
      <c r="F15" s="43" t="n">
        <f aca="false">MAX(0,C15-D15-E15)</f>
        <v>0</v>
      </c>
      <c r="G15" s="43" t="n">
        <f aca="false">IF(J14&gt;0.005,J14*(1+Ordem!$E$7),0)</f>
        <v>0</v>
      </c>
      <c r="H15" s="43" t="n">
        <f aca="false">MIN(G15,Ordem!$F$7)</f>
        <v>0</v>
      </c>
      <c r="I15" s="43" t="n">
        <f aca="false">MAX(0,MIN(G15-H15,$B15-(E15)))</f>
        <v>0</v>
      </c>
      <c r="J15" s="43" t="n">
        <f aca="false">MAX(0,G15-H15-I15)</f>
        <v>0</v>
      </c>
      <c r="K15" s="43" t="n">
        <f aca="false">IF(N14&gt;0.005,N14*(1+Ordem!$E$8),0)</f>
        <v>3166.04761408971</v>
      </c>
      <c r="L15" s="43" t="n">
        <f aca="false">MIN(K15,Ordem!$F$8)</f>
        <v>450</v>
      </c>
      <c r="M15" s="43" t="n">
        <f aca="false">MAX(0,MIN(K15-L15,$B15-(E15+I15)))</f>
        <v>1000</v>
      </c>
      <c r="N15" s="43" t="n">
        <f aca="false">MAX(0,K15-L15-M15)</f>
        <v>1716.04761408971</v>
      </c>
      <c r="O15" s="43" t="n">
        <f aca="false">IF(R14&gt;0.005,R14*(1+Ordem!$E$9),0)</f>
        <v>0</v>
      </c>
      <c r="P15" s="43" t="n">
        <f aca="false">MIN(O15,Ordem!$F$9)</f>
        <v>0</v>
      </c>
      <c r="Q15" s="43" t="n">
        <f aca="false">MAX(0,MIN(O15-P15,$B15-(E15+I15+M15)))</f>
        <v>0</v>
      </c>
      <c r="R15" s="43" t="n">
        <f aca="false">MAX(0,O15-P15-Q15)</f>
        <v>0</v>
      </c>
      <c r="S15" s="43" t="n">
        <f aca="false">IF(V14&gt;0.005,V14*(1+Ordem!$E$10),0)</f>
        <v>0</v>
      </c>
      <c r="T15" s="43" t="n">
        <f aca="false">MIN(S15,Ordem!$F$10)</f>
        <v>0</v>
      </c>
      <c r="U15" s="43" t="n">
        <f aca="false">MAX(0,MIN(S15-T15,$B15-(E15+I15+M15+Q15)))</f>
        <v>0</v>
      </c>
      <c r="V15" s="43" t="n">
        <f aca="false">MAX(0,S15-T15-U15)</f>
        <v>0</v>
      </c>
      <c r="W15" s="43" t="n">
        <f aca="false">IF(Z14&gt;0.005,Z14*(1+Ordem!$E$11),0)</f>
        <v>0</v>
      </c>
      <c r="X15" s="43" t="n">
        <f aca="false">MIN(W15,Ordem!$F$11)</f>
        <v>0</v>
      </c>
      <c r="Y15" s="43" t="n">
        <f aca="false">MAX(0,MIN(W15-X15,$B15-(E15+I15+M15+Q15+U15)))</f>
        <v>0</v>
      </c>
      <c r="Z15" s="43" t="n">
        <f aca="false">MAX(0,W15-X15-Y15)</f>
        <v>0</v>
      </c>
      <c r="AA15" s="43" t="n">
        <f aca="false">IF(AD14&gt;0.005,AD14*(1+Ordem!$E$12),0)</f>
        <v>0</v>
      </c>
      <c r="AB15" s="43" t="n">
        <f aca="false">MIN(AA15,Ordem!$F$12)</f>
        <v>0</v>
      </c>
      <c r="AC15" s="43" t="n">
        <f aca="false">MAX(0,MIN(AA15-AB15,$B15-(E15+I15+M15+Q15+U15+Y15)))</f>
        <v>0</v>
      </c>
      <c r="AD15" s="43" t="n">
        <f aca="false">MAX(0,AA15-AB15-AC15)</f>
        <v>0</v>
      </c>
      <c r="AE15" s="43" t="n">
        <f aca="false">IF(AH14&gt;0.005,AH14*(1+Ordem!$E$13),0)</f>
        <v>0</v>
      </c>
      <c r="AF15" s="43" t="n">
        <f aca="false">MIN(AE15,Ordem!$F$13)</f>
        <v>0</v>
      </c>
      <c r="AG15" s="43" t="n">
        <f aca="false">MAX(0,MIN(AE15-AF15,$B15-(E15+I15+M15+Q15+U15+Y15+AC15)))</f>
        <v>0</v>
      </c>
      <c r="AH15" s="43" t="n">
        <f aca="false">MAX(0,AE15-AF15-AG15)</f>
        <v>0</v>
      </c>
      <c r="AI15" s="43" t="n">
        <f aca="false">IF(AL14&gt;0.005,AL14*(1+Ordem!$E$14),0)</f>
        <v>0</v>
      </c>
      <c r="AJ15" s="43" t="n">
        <f aca="false">MIN(AI15,Ordem!$F$14)</f>
        <v>0</v>
      </c>
      <c r="AK15" s="43" t="n">
        <f aca="false">MAX(0,MIN(AI15-AJ15,$B15-(E15+I15+M15+Q15+U15+Y15+AC15+AG15)))</f>
        <v>0</v>
      </c>
      <c r="AL15" s="43" t="n">
        <f aca="false">MAX(0,AI15-AJ15-AK15)</f>
        <v>0</v>
      </c>
      <c r="AM15" s="43" t="n">
        <f aca="false">IF(AP14&gt;0.005,AP14*(1+Ordem!$E$15),0)</f>
        <v>0</v>
      </c>
      <c r="AN15" s="43" t="n">
        <f aca="false">MIN(AM15,Ordem!$F$15)</f>
        <v>0</v>
      </c>
      <c r="AO15" s="43" t="n">
        <f aca="false">MAX(0,MIN(AM15-AN15,$B15-(E15+I15+M15+Q15+U15+Y15+AC15+AG15+AK15)))</f>
        <v>0</v>
      </c>
      <c r="AP15" s="43" t="n">
        <f aca="false">MAX(0,AM15-AN15-AO15)</f>
        <v>0</v>
      </c>
      <c r="AQ15" s="43" t="n">
        <f aca="false">F15+J15+N15+R15+V15+Z15+AD15+AH15+AL15+AP15</f>
        <v>1716.04761408971</v>
      </c>
      <c r="AR15" s="43" t="n">
        <f aca="false">D15+E15+H15+I15+L15+M15+P15+Q15+T15+U15+X15+Y15+AB15+AC15+AF15+AG15+AJ15+AK15+AN15+AO15</f>
        <v>1450</v>
      </c>
    </row>
    <row r="16" customFormat="false" ht="15" hidden="false" customHeight="false" outlineLevel="0" collapsed="false">
      <c r="A16" s="0" t="n">
        <v>12</v>
      </c>
      <c r="B16" s="43" t="n">
        <f aca="false">MAX(0,Dívidas!$C$20-(D16+H16+L16+P16+T16+X16+AB16+AF16+AJ16+AN16))</f>
        <v>1000</v>
      </c>
      <c r="C16" s="43" t="n">
        <f aca="false">IF(F15&gt;0.005,F15*(1+Ordem!$E$6),0)</f>
        <v>0</v>
      </c>
      <c r="D16" s="43" t="n">
        <f aca="false">MIN(C16,Ordem!$F$6)</f>
        <v>0</v>
      </c>
      <c r="E16" s="43" t="n">
        <f aca="false">MAX(0,MIN(C16-D16,$B16-(0)))</f>
        <v>0</v>
      </c>
      <c r="F16" s="43" t="n">
        <f aca="false">MAX(0,C16-D16-E16)</f>
        <v>0</v>
      </c>
      <c r="G16" s="43" t="n">
        <f aca="false">IF(J15&gt;0.005,J15*(1+Ordem!$E$7),0)</f>
        <v>0</v>
      </c>
      <c r="H16" s="43" t="n">
        <f aca="false">MIN(G16,Ordem!$F$7)</f>
        <v>0</v>
      </c>
      <c r="I16" s="43" t="n">
        <f aca="false">MAX(0,MIN(G16-H16,$B16-(E16)))</f>
        <v>0</v>
      </c>
      <c r="J16" s="43" t="n">
        <f aca="false">MAX(0,G16-H16-I16)</f>
        <v>0</v>
      </c>
      <c r="K16" s="43" t="n">
        <f aca="false">IF(N15&gt;0.005,N15*(1+Ordem!$E$8),0)</f>
        <v>1776.10928058285</v>
      </c>
      <c r="L16" s="43" t="n">
        <f aca="false">MIN(K16,Ordem!$F$8)</f>
        <v>450</v>
      </c>
      <c r="M16" s="43" t="n">
        <f aca="false">MAX(0,MIN(K16-L16,$B16-(E16+I16)))</f>
        <v>1000</v>
      </c>
      <c r="N16" s="43" t="n">
        <f aca="false">MAX(0,K16-L16-M16)</f>
        <v>326.109280582845</v>
      </c>
      <c r="O16" s="43" t="n">
        <f aca="false">IF(R15&gt;0.005,R15*(1+Ordem!$E$9),0)</f>
        <v>0</v>
      </c>
      <c r="P16" s="43" t="n">
        <f aca="false">MIN(O16,Ordem!$F$9)</f>
        <v>0</v>
      </c>
      <c r="Q16" s="43" t="n">
        <f aca="false">MAX(0,MIN(O16-P16,$B16-(E16+I16+M16)))</f>
        <v>0</v>
      </c>
      <c r="R16" s="43" t="n">
        <f aca="false">MAX(0,O16-P16-Q16)</f>
        <v>0</v>
      </c>
      <c r="S16" s="43" t="n">
        <f aca="false">IF(V15&gt;0.005,V15*(1+Ordem!$E$10),0)</f>
        <v>0</v>
      </c>
      <c r="T16" s="43" t="n">
        <f aca="false">MIN(S16,Ordem!$F$10)</f>
        <v>0</v>
      </c>
      <c r="U16" s="43" t="n">
        <f aca="false">MAX(0,MIN(S16-T16,$B16-(E16+I16+M16+Q16)))</f>
        <v>0</v>
      </c>
      <c r="V16" s="43" t="n">
        <f aca="false">MAX(0,S16-T16-U16)</f>
        <v>0</v>
      </c>
      <c r="W16" s="43" t="n">
        <f aca="false">IF(Z15&gt;0.005,Z15*(1+Ordem!$E$11),0)</f>
        <v>0</v>
      </c>
      <c r="X16" s="43" t="n">
        <f aca="false">MIN(W16,Ordem!$F$11)</f>
        <v>0</v>
      </c>
      <c r="Y16" s="43" t="n">
        <f aca="false">MAX(0,MIN(W16-X16,$B16-(E16+I16+M16+Q16+U16)))</f>
        <v>0</v>
      </c>
      <c r="Z16" s="43" t="n">
        <f aca="false">MAX(0,W16-X16-Y16)</f>
        <v>0</v>
      </c>
      <c r="AA16" s="43" t="n">
        <f aca="false">IF(AD15&gt;0.005,AD15*(1+Ordem!$E$12),0)</f>
        <v>0</v>
      </c>
      <c r="AB16" s="43" t="n">
        <f aca="false">MIN(AA16,Ordem!$F$12)</f>
        <v>0</v>
      </c>
      <c r="AC16" s="43" t="n">
        <f aca="false">MAX(0,MIN(AA16-AB16,$B16-(E16+I16+M16+Q16+U16+Y16)))</f>
        <v>0</v>
      </c>
      <c r="AD16" s="43" t="n">
        <f aca="false">MAX(0,AA16-AB16-AC16)</f>
        <v>0</v>
      </c>
      <c r="AE16" s="43" t="n">
        <f aca="false">IF(AH15&gt;0.005,AH15*(1+Ordem!$E$13),0)</f>
        <v>0</v>
      </c>
      <c r="AF16" s="43" t="n">
        <f aca="false">MIN(AE16,Ordem!$F$13)</f>
        <v>0</v>
      </c>
      <c r="AG16" s="43" t="n">
        <f aca="false">MAX(0,MIN(AE16-AF16,$B16-(E16+I16+M16+Q16+U16+Y16+AC16)))</f>
        <v>0</v>
      </c>
      <c r="AH16" s="43" t="n">
        <f aca="false">MAX(0,AE16-AF16-AG16)</f>
        <v>0</v>
      </c>
      <c r="AI16" s="43" t="n">
        <f aca="false">IF(AL15&gt;0.005,AL15*(1+Ordem!$E$14),0)</f>
        <v>0</v>
      </c>
      <c r="AJ16" s="43" t="n">
        <f aca="false">MIN(AI16,Ordem!$F$14)</f>
        <v>0</v>
      </c>
      <c r="AK16" s="43" t="n">
        <f aca="false">MAX(0,MIN(AI16-AJ16,$B16-(E16+I16+M16+Q16+U16+Y16+AC16+AG16)))</f>
        <v>0</v>
      </c>
      <c r="AL16" s="43" t="n">
        <f aca="false">MAX(0,AI16-AJ16-AK16)</f>
        <v>0</v>
      </c>
      <c r="AM16" s="43" t="n">
        <f aca="false">IF(AP15&gt;0.005,AP15*(1+Ordem!$E$15),0)</f>
        <v>0</v>
      </c>
      <c r="AN16" s="43" t="n">
        <f aca="false">MIN(AM16,Ordem!$F$15)</f>
        <v>0</v>
      </c>
      <c r="AO16" s="43" t="n">
        <f aca="false">MAX(0,MIN(AM16-AN16,$B16-(E16+I16+M16+Q16+U16+Y16+AC16+AG16+AK16)))</f>
        <v>0</v>
      </c>
      <c r="AP16" s="43" t="n">
        <f aca="false">MAX(0,AM16-AN16-AO16)</f>
        <v>0</v>
      </c>
      <c r="AQ16" s="43" t="n">
        <f aca="false">F16+J16+N16+R16+V16+Z16+AD16+AH16+AL16+AP16</f>
        <v>326.109280582845</v>
      </c>
      <c r="AR16" s="43" t="n">
        <f aca="false">D16+E16+H16+I16+L16+M16+P16+Q16+T16+U16+X16+Y16+AB16+AC16+AF16+AG16+AJ16+AK16+AN16+AO16</f>
        <v>1450</v>
      </c>
    </row>
    <row r="17" customFormat="false" ht="15" hidden="false" customHeight="false" outlineLevel="0" collapsed="false">
      <c r="A17" s="0" t="n">
        <v>13</v>
      </c>
      <c r="B17" s="43" t="n">
        <f aca="false">MAX(0,Dívidas!$C$20-(D17+H17+L17+P17+T17+X17+AB17+AF17+AJ17+AN17))</f>
        <v>1112.47689459676</v>
      </c>
      <c r="C17" s="43" t="n">
        <f aca="false">IF(F16&gt;0.005,F16*(1+Ordem!$E$6),0)</f>
        <v>0</v>
      </c>
      <c r="D17" s="43" t="n">
        <f aca="false">MIN(C17,Ordem!$F$6)</f>
        <v>0</v>
      </c>
      <c r="E17" s="43" t="n">
        <f aca="false">MAX(0,MIN(C17-D17,$B17-(0)))</f>
        <v>0</v>
      </c>
      <c r="F17" s="43" t="n">
        <f aca="false">MAX(0,C17-D17-E17)</f>
        <v>0</v>
      </c>
      <c r="G17" s="43" t="n">
        <f aca="false">IF(J16&gt;0.005,J16*(1+Ordem!$E$7),0)</f>
        <v>0</v>
      </c>
      <c r="H17" s="43" t="n">
        <f aca="false">MIN(G17,Ordem!$F$7)</f>
        <v>0</v>
      </c>
      <c r="I17" s="43" t="n">
        <f aca="false">MAX(0,MIN(G17-H17,$B17-(E17)))</f>
        <v>0</v>
      </c>
      <c r="J17" s="43" t="n">
        <f aca="false">MAX(0,G17-H17-I17)</f>
        <v>0</v>
      </c>
      <c r="K17" s="43" t="n">
        <f aca="false">IF(N16&gt;0.005,N16*(1+Ordem!$E$8),0)</f>
        <v>337.523105403245</v>
      </c>
      <c r="L17" s="43" t="n">
        <f aca="false">MIN(K17,Ordem!$F$8)</f>
        <v>337.523105403245</v>
      </c>
      <c r="M17" s="43" t="n">
        <f aca="false">MAX(0,MIN(K17-L17,$B17-(E17+I17)))</f>
        <v>0</v>
      </c>
      <c r="N17" s="43" t="n">
        <f aca="false">MAX(0,K17-L17-M17)</f>
        <v>0</v>
      </c>
      <c r="O17" s="43" t="n">
        <f aca="false">IF(R16&gt;0.005,R16*(1+Ordem!$E$9),0)</f>
        <v>0</v>
      </c>
      <c r="P17" s="43" t="n">
        <f aca="false">MIN(O17,Ordem!$F$9)</f>
        <v>0</v>
      </c>
      <c r="Q17" s="43" t="n">
        <f aca="false">MAX(0,MIN(O17-P17,$B17-(E17+I17+M17)))</f>
        <v>0</v>
      </c>
      <c r="R17" s="43" t="n">
        <f aca="false">MAX(0,O17-P17-Q17)</f>
        <v>0</v>
      </c>
      <c r="S17" s="43" t="n">
        <f aca="false">IF(V16&gt;0.005,V16*(1+Ordem!$E$10),0)</f>
        <v>0</v>
      </c>
      <c r="T17" s="43" t="n">
        <f aca="false">MIN(S17,Ordem!$F$10)</f>
        <v>0</v>
      </c>
      <c r="U17" s="43" t="n">
        <f aca="false">MAX(0,MIN(S17-T17,$B17-(E17+I17+M17+Q17)))</f>
        <v>0</v>
      </c>
      <c r="V17" s="43" t="n">
        <f aca="false">MAX(0,S17-T17-U17)</f>
        <v>0</v>
      </c>
      <c r="W17" s="43" t="n">
        <f aca="false">IF(Z16&gt;0.005,Z16*(1+Ordem!$E$11),0)</f>
        <v>0</v>
      </c>
      <c r="X17" s="43" t="n">
        <f aca="false">MIN(W17,Ordem!$F$11)</f>
        <v>0</v>
      </c>
      <c r="Y17" s="43" t="n">
        <f aca="false">MAX(0,MIN(W17-X17,$B17-(E17+I17+M17+Q17+U17)))</f>
        <v>0</v>
      </c>
      <c r="Z17" s="43" t="n">
        <f aca="false">MAX(0,W17-X17-Y17)</f>
        <v>0</v>
      </c>
      <c r="AA17" s="43" t="n">
        <f aca="false">IF(AD16&gt;0.005,AD16*(1+Ordem!$E$12),0)</f>
        <v>0</v>
      </c>
      <c r="AB17" s="43" t="n">
        <f aca="false">MIN(AA17,Ordem!$F$12)</f>
        <v>0</v>
      </c>
      <c r="AC17" s="43" t="n">
        <f aca="false">MAX(0,MIN(AA17-AB17,$B17-(E17+I17+M17+Q17+U17+Y17)))</f>
        <v>0</v>
      </c>
      <c r="AD17" s="43" t="n">
        <f aca="false">MAX(0,AA17-AB17-AC17)</f>
        <v>0</v>
      </c>
      <c r="AE17" s="43" t="n">
        <f aca="false">IF(AH16&gt;0.005,AH16*(1+Ordem!$E$13),0)</f>
        <v>0</v>
      </c>
      <c r="AF17" s="43" t="n">
        <f aca="false">MIN(AE17,Ordem!$F$13)</f>
        <v>0</v>
      </c>
      <c r="AG17" s="43" t="n">
        <f aca="false">MAX(0,MIN(AE17-AF17,$B17-(E17+I17+M17+Q17+U17+Y17+AC17)))</f>
        <v>0</v>
      </c>
      <c r="AH17" s="43" t="n">
        <f aca="false">MAX(0,AE17-AF17-AG17)</f>
        <v>0</v>
      </c>
      <c r="AI17" s="43" t="n">
        <f aca="false">IF(AL16&gt;0.005,AL16*(1+Ordem!$E$14),0)</f>
        <v>0</v>
      </c>
      <c r="AJ17" s="43" t="n">
        <f aca="false">MIN(AI17,Ordem!$F$14)</f>
        <v>0</v>
      </c>
      <c r="AK17" s="43" t="n">
        <f aca="false">MAX(0,MIN(AI17-AJ17,$B17-(E17+I17+M17+Q17+U17+Y17+AC17+AG17)))</f>
        <v>0</v>
      </c>
      <c r="AL17" s="43" t="n">
        <f aca="false">MAX(0,AI17-AJ17-AK17)</f>
        <v>0</v>
      </c>
      <c r="AM17" s="43" t="n">
        <f aca="false">IF(AP16&gt;0.005,AP16*(1+Ordem!$E$15),0)</f>
        <v>0</v>
      </c>
      <c r="AN17" s="43" t="n">
        <f aca="false">MIN(AM17,Ordem!$F$15)</f>
        <v>0</v>
      </c>
      <c r="AO17" s="43" t="n">
        <f aca="false">MAX(0,MIN(AM17-AN17,$B17-(E17+I17+M17+Q17+U17+Y17+AC17+AG17+AK17)))</f>
        <v>0</v>
      </c>
      <c r="AP17" s="43" t="n">
        <f aca="false">MAX(0,AM17-AN17-AO17)</f>
        <v>0</v>
      </c>
      <c r="AQ17" s="43" t="n">
        <f aca="false">F17+J17+N17+R17+V17+Z17+AD17+AH17+AL17+AP17</f>
        <v>0</v>
      </c>
      <c r="AR17" s="43" t="n">
        <f aca="false">D17+E17+H17+I17+L17+M17+P17+Q17+T17+U17+X17+Y17+AB17+AC17+AF17+AG17+AJ17+AK17+AN17+AO17</f>
        <v>337.523105403245</v>
      </c>
    </row>
    <row r="18" customFormat="false" ht="15" hidden="false" customHeight="false" outlineLevel="0" collapsed="false">
      <c r="A18" s="0" t="n">
        <v>14</v>
      </c>
      <c r="B18" s="43" t="n">
        <f aca="false">MAX(0,Dívidas!$C$20-(D18+H18+L18+P18+T18+X18+AB18+AF18+AJ18+AN18))</f>
        <v>1450</v>
      </c>
      <c r="C18" s="43" t="n">
        <f aca="false">IF(F17&gt;0.005,F17*(1+Ordem!$E$6),0)</f>
        <v>0</v>
      </c>
      <c r="D18" s="43" t="n">
        <f aca="false">MIN(C18,Ordem!$F$6)</f>
        <v>0</v>
      </c>
      <c r="E18" s="43" t="n">
        <f aca="false">MAX(0,MIN(C18-D18,$B18-(0)))</f>
        <v>0</v>
      </c>
      <c r="F18" s="43" t="n">
        <f aca="false">MAX(0,C18-D18-E18)</f>
        <v>0</v>
      </c>
      <c r="G18" s="43" t="n">
        <f aca="false">IF(J17&gt;0.005,J17*(1+Ordem!$E$7),0)</f>
        <v>0</v>
      </c>
      <c r="H18" s="43" t="n">
        <f aca="false">MIN(G18,Ordem!$F$7)</f>
        <v>0</v>
      </c>
      <c r="I18" s="43" t="n">
        <f aca="false">MAX(0,MIN(G18-H18,$B18-(E18)))</f>
        <v>0</v>
      </c>
      <c r="J18" s="43" t="n">
        <f aca="false">MAX(0,G18-H18-I18)</f>
        <v>0</v>
      </c>
      <c r="K18" s="43" t="n">
        <f aca="false">IF(N17&gt;0.005,N17*(1+Ordem!$E$8),0)</f>
        <v>0</v>
      </c>
      <c r="L18" s="43" t="n">
        <f aca="false">MIN(K18,Ordem!$F$8)</f>
        <v>0</v>
      </c>
      <c r="M18" s="43" t="n">
        <f aca="false">MAX(0,MIN(K18-L18,$B18-(E18+I18)))</f>
        <v>0</v>
      </c>
      <c r="N18" s="43" t="n">
        <f aca="false">MAX(0,K18-L18-M18)</f>
        <v>0</v>
      </c>
      <c r="O18" s="43" t="n">
        <f aca="false">IF(R17&gt;0.005,R17*(1+Ordem!$E$9),0)</f>
        <v>0</v>
      </c>
      <c r="P18" s="43" t="n">
        <f aca="false">MIN(O18,Ordem!$F$9)</f>
        <v>0</v>
      </c>
      <c r="Q18" s="43" t="n">
        <f aca="false">MAX(0,MIN(O18-P18,$B18-(E18+I18+M18)))</f>
        <v>0</v>
      </c>
      <c r="R18" s="43" t="n">
        <f aca="false">MAX(0,O18-P18-Q18)</f>
        <v>0</v>
      </c>
      <c r="S18" s="43" t="n">
        <f aca="false">IF(V17&gt;0.005,V17*(1+Ordem!$E$10),0)</f>
        <v>0</v>
      </c>
      <c r="T18" s="43" t="n">
        <f aca="false">MIN(S18,Ordem!$F$10)</f>
        <v>0</v>
      </c>
      <c r="U18" s="43" t="n">
        <f aca="false">MAX(0,MIN(S18-T18,$B18-(E18+I18+M18+Q18)))</f>
        <v>0</v>
      </c>
      <c r="V18" s="43" t="n">
        <f aca="false">MAX(0,S18-T18-U18)</f>
        <v>0</v>
      </c>
      <c r="W18" s="43" t="n">
        <f aca="false">IF(Z17&gt;0.005,Z17*(1+Ordem!$E$11),0)</f>
        <v>0</v>
      </c>
      <c r="X18" s="43" t="n">
        <f aca="false">MIN(W18,Ordem!$F$11)</f>
        <v>0</v>
      </c>
      <c r="Y18" s="43" t="n">
        <f aca="false">MAX(0,MIN(W18-X18,$B18-(E18+I18+M18+Q18+U18)))</f>
        <v>0</v>
      </c>
      <c r="Z18" s="43" t="n">
        <f aca="false">MAX(0,W18-X18-Y18)</f>
        <v>0</v>
      </c>
      <c r="AA18" s="43" t="n">
        <f aca="false">IF(AD17&gt;0.005,AD17*(1+Ordem!$E$12),0)</f>
        <v>0</v>
      </c>
      <c r="AB18" s="43" t="n">
        <f aca="false">MIN(AA18,Ordem!$F$12)</f>
        <v>0</v>
      </c>
      <c r="AC18" s="43" t="n">
        <f aca="false">MAX(0,MIN(AA18-AB18,$B18-(E18+I18+M18+Q18+U18+Y18)))</f>
        <v>0</v>
      </c>
      <c r="AD18" s="43" t="n">
        <f aca="false">MAX(0,AA18-AB18-AC18)</f>
        <v>0</v>
      </c>
      <c r="AE18" s="43" t="n">
        <f aca="false">IF(AH17&gt;0.005,AH17*(1+Ordem!$E$13),0)</f>
        <v>0</v>
      </c>
      <c r="AF18" s="43" t="n">
        <f aca="false">MIN(AE18,Ordem!$F$13)</f>
        <v>0</v>
      </c>
      <c r="AG18" s="43" t="n">
        <f aca="false">MAX(0,MIN(AE18-AF18,$B18-(E18+I18+M18+Q18+U18+Y18+AC18)))</f>
        <v>0</v>
      </c>
      <c r="AH18" s="43" t="n">
        <f aca="false">MAX(0,AE18-AF18-AG18)</f>
        <v>0</v>
      </c>
      <c r="AI18" s="43" t="n">
        <f aca="false">IF(AL17&gt;0.005,AL17*(1+Ordem!$E$14),0)</f>
        <v>0</v>
      </c>
      <c r="AJ18" s="43" t="n">
        <f aca="false">MIN(AI18,Ordem!$F$14)</f>
        <v>0</v>
      </c>
      <c r="AK18" s="43" t="n">
        <f aca="false">MAX(0,MIN(AI18-AJ18,$B18-(E18+I18+M18+Q18+U18+Y18+AC18+AG18)))</f>
        <v>0</v>
      </c>
      <c r="AL18" s="43" t="n">
        <f aca="false">MAX(0,AI18-AJ18-AK18)</f>
        <v>0</v>
      </c>
      <c r="AM18" s="43" t="n">
        <f aca="false">IF(AP17&gt;0.005,AP17*(1+Ordem!$E$15),0)</f>
        <v>0</v>
      </c>
      <c r="AN18" s="43" t="n">
        <f aca="false">MIN(AM18,Ordem!$F$15)</f>
        <v>0</v>
      </c>
      <c r="AO18" s="43" t="n">
        <f aca="false">MAX(0,MIN(AM18-AN18,$B18-(E18+I18+M18+Q18+U18+Y18+AC18+AG18+AK18)))</f>
        <v>0</v>
      </c>
      <c r="AP18" s="43" t="n">
        <f aca="false">MAX(0,AM18-AN18-AO18)</f>
        <v>0</v>
      </c>
      <c r="AQ18" s="43" t="n">
        <f aca="false">F18+J18+N18+R18+V18+Z18+AD18+AH18+AL18+AP18</f>
        <v>0</v>
      </c>
      <c r="AR18" s="43" t="n">
        <f aca="false">D18+E18+H18+I18+L18+M18+P18+Q18+T18+U18+X18+Y18+AB18+AC18+AF18+AG18+AJ18+AK18+AN18+AO18</f>
        <v>0</v>
      </c>
    </row>
    <row r="19" customFormat="false" ht="15" hidden="false" customHeight="false" outlineLevel="0" collapsed="false">
      <c r="A19" s="0" t="n">
        <v>15</v>
      </c>
      <c r="B19" s="43" t="n">
        <f aca="false">MAX(0,Dívidas!$C$20-(D19+H19+L19+P19+T19+X19+AB19+AF19+AJ19+AN19))</f>
        <v>1450</v>
      </c>
      <c r="C19" s="43" t="n">
        <f aca="false">IF(F18&gt;0.005,F18*(1+Ordem!$E$6),0)</f>
        <v>0</v>
      </c>
      <c r="D19" s="43" t="n">
        <f aca="false">MIN(C19,Ordem!$F$6)</f>
        <v>0</v>
      </c>
      <c r="E19" s="43" t="n">
        <f aca="false">MAX(0,MIN(C19-D19,$B19-(0)))</f>
        <v>0</v>
      </c>
      <c r="F19" s="43" t="n">
        <f aca="false">MAX(0,C19-D19-E19)</f>
        <v>0</v>
      </c>
      <c r="G19" s="43" t="n">
        <f aca="false">IF(J18&gt;0.005,J18*(1+Ordem!$E$7),0)</f>
        <v>0</v>
      </c>
      <c r="H19" s="43" t="n">
        <f aca="false">MIN(G19,Ordem!$F$7)</f>
        <v>0</v>
      </c>
      <c r="I19" s="43" t="n">
        <f aca="false">MAX(0,MIN(G19-H19,$B19-(E19)))</f>
        <v>0</v>
      </c>
      <c r="J19" s="43" t="n">
        <f aca="false">MAX(0,G19-H19-I19)</f>
        <v>0</v>
      </c>
      <c r="K19" s="43" t="n">
        <f aca="false">IF(N18&gt;0.005,N18*(1+Ordem!$E$8),0)</f>
        <v>0</v>
      </c>
      <c r="L19" s="43" t="n">
        <f aca="false">MIN(K19,Ordem!$F$8)</f>
        <v>0</v>
      </c>
      <c r="M19" s="43" t="n">
        <f aca="false">MAX(0,MIN(K19-L19,$B19-(E19+I19)))</f>
        <v>0</v>
      </c>
      <c r="N19" s="43" t="n">
        <f aca="false">MAX(0,K19-L19-M19)</f>
        <v>0</v>
      </c>
      <c r="O19" s="43" t="n">
        <f aca="false">IF(R18&gt;0.005,R18*(1+Ordem!$E$9),0)</f>
        <v>0</v>
      </c>
      <c r="P19" s="43" t="n">
        <f aca="false">MIN(O19,Ordem!$F$9)</f>
        <v>0</v>
      </c>
      <c r="Q19" s="43" t="n">
        <f aca="false">MAX(0,MIN(O19-P19,$B19-(E19+I19+M19)))</f>
        <v>0</v>
      </c>
      <c r="R19" s="43" t="n">
        <f aca="false">MAX(0,O19-P19-Q19)</f>
        <v>0</v>
      </c>
      <c r="S19" s="43" t="n">
        <f aca="false">IF(V18&gt;0.005,V18*(1+Ordem!$E$10),0)</f>
        <v>0</v>
      </c>
      <c r="T19" s="43" t="n">
        <f aca="false">MIN(S19,Ordem!$F$10)</f>
        <v>0</v>
      </c>
      <c r="U19" s="43" t="n">
        <f aca="false">MAX(0,MIN(S19-T19,$B19-(E19+I19+M19+Q19)))</f>
        <v>0</v>
      </c>
      <c r="V19" s="43" t="n">
        <f aca="false">MAX(0,S19-T19-U19)</f>
        <v>0</v>
      </c>
      <c r="W19" s="43" t="n">
        <f aca="false">IF(Z18&gt;0.005,Z18*(1+Ordem!$E$11),0)</f>
        <v>0</v>
      </c>
      <c r="X19" s="43" t="n">
        <f aca="false">MIN(W19,Ordem!$F$11)</f>
        <v>0</v>
      </c>
      <c r="Y19" s="43" t="n">
        <f aca="false">MAX(0,MIN(W19-X19,$B19-(E19+I19+M19+Q19+U19)))</f>
        <v>0</v>
      </c>
      <c r="Z19" s="43" t="n">
        <f aca="false">MAX(0,W19-X19-Y19)</f>
        <v>0</v>
      </c>
      <c r="AA19" s="43" t="n">
        <f aca="false">IF(AD18&gt;0.005,AD18*(1+Ordem!$E$12),0)</f>
        <v>0</v>
      </c>
      <c r="AB19" s="43" t="n">
        <f aca="false">MIN(AA19,Ordem!$F$12)</f>
        <v>0</v>
      </c>
      <c r="AC19" s="43" t="n">
        <f aca="false">MAX(0,MIN(AA19-AB19,$B19-(E19+I19+M19+Q19+U19+Y19)))</f>
        <v>0</v>
      </c>
      <c r="AD19" s="43" t="n">
        <f aca="false">MAX(0,AA19-AB19-AC19)</f>
        <v>0</v>
      </c>
      <c r="AE19" s="43" t="n">
        <f aca="false">IF(AH18&gt;0.005,AH18*(1+Ordem!$E$13),0)</f>
        <v>0</v>
      </c>
      <c r="AF19" s="43" t="n">
        <f aca="false">MIN(AE19,Ordem!$F$13)</f>
        <v>0</v>
      </c>
      <c r="AG19" s="43" t="n">
        <f aca="false">MAX(0,MIN(AE19-AF19,$B19-(E19+I19+M19+Q19+U19+Y19+AC19)))</f>
        <v>0</v>
      </c>
      <c r="AH19" s="43" t="n">
        <f aca="false">MAX(0,AE19-AF19-AG19)</f>
        <v>0</v>
      </c>
      <c r="AI19" s="43" t="n">
        <f aca="false">IF(AL18&gt;0.005,AL18*(1+Ordem!$E$14),0)</f>
        <v>0</v>
      </c>
      <c r="AJ19" s="43" t="n">
        <f aca="false">MIN(AI19,Ordem!$F$14)</f>
        <v>0</v>
      </c>
      <c r="AK19" s="43" t="n">
        <f aca="false">MAX(0,MIN(AI19-AJ19,$B19-(E19+I19+M19+Q19+U19+Y19+AC19+AG19)))</f>
        <v>0</v>
      </c>
      <c r="AL19" s="43" t="n">
        <f aca="false">MAX(0,AI19-AJ19-AK19)</f>
        <v>0</v>
      </c>
      <c r="AM19" s="43" t="n">
        <f aca="false">IF(AP18&gt;0.005,AP18*(1+Ordem!$E$15),0)</f>
        <v>0</v>
      </c>
      <c r="AN19" s="43" t="n">
        <f aca="false">MIN(AM19,Ordem!$F$15)</f>
        <v>0</v>
      </c>
      <c r="AO19" s="43" t="n">
        <f aca="false">MAX(0,MIN(AM19-AN19,$B19-(E19+I19+M19+Q19+U19+Y19+AC19+AG19+AK19)))</f>
        <v>0</v>
      </c>
      <c r="AP19" s="43" t="n">
        <f aca="false">MAX(0,AM19-AN19-AO19)</f>
        <v>0</v>
      </c>
      <c r="AQ19" s="43" t="n">
        <f aca="false">F19+J19+N19+R19+V19+Z19+AD19+AH19+AL19+AP19</f>
        <v>0</v>
      </c>
      <c r="AR19" s="43" t="n">
        <f aca="false">D19+E19+H19+I19+L19+M19+P19+Q19+T19+U19+X19+Y19+AB19+AC19+AF19+AG19+AJ19+AK19+AN19+AO19</f>
        <v>0</v>
      </c>
    </row>
    <row r="20" customFormat="false" ht="15" hidden="false" customHeight="false" outlineLevel="0" collapsed="false">
      <c r="A20" s="0" t="n">
        <v>16</v>
      </c>
      <c r="B20" s="43" t="n">
        <f aca="false">MAX(0,Dívidas!$C$20-(D20+H20+L20+P20+T20+X20+AB20+AF20+AJ20+AN20))</f>
        <v>1450</v>
      </c>
      <c r="C20" s="43" t="n">
        <f aca="false">IF(F19&gt;0.005,F19*(1+Ordem!$E$6),0)</f>
        <v>0</v>
      </c>
      <c r="D20" s="43" t="n">
        <f aca="false">MIN(C20,Ordem!$F$6)</f>
        <v>0</v>
      </c>
      <c r="E20" s="43" t="n">
        <f aca="false">MAX(0,MIN(C20-D20,$B20-(0)))</f>
        <v>0</v>
      </c>
      <c r="F20" s="43" t="n">
        <f aca="false">MAX(0,C20-D20-E20)</f>
        <v>0</v>
      </c>
      <c r="G20" s="43" t="n">
        <f aca="false">IF(J19&gt;0.005,J19*(1+Ordem!$E$7),0)</f>
        <v>0</v>
      </c>
      <c r="H20" s="43" t="n">
        <f aca="false">MIN(G20,Ordem!$F$7)</f>
        <v>0</v>
      </c>
      <c r="I20" s="43" t="n">
        <f aca="false">MAX(0,MIN(G20-H20,$B20-(E20)))</f>
        <v>0</v>
      </c>
      <c r="J20" s="43" t="n">
        <f aca="false">MAX(0,G20-H20-I20)</f>
        <v>0</v>
      </c>
      <c r="K20" s="43" t="n">
        <f aca="false">IF(N19&gt;0.005,N19*(1+Ordem!$E$8),0)</f>
        <v>0</v>
      </c>
      <c r="L20" s="43" t="n">
        <f aca="false">MIN(K20,Ordem!$F$8)</f>
        <v>0</v>
      </c>
      <c r="M20" s="43" t="n">
        <f aca="false">MAX(0,MIN(K20-L20,$B20-(E20+I20)))</f>
        <v>0</v>
      </c>
      <c r="N20" s="43" t="n">
        <f aca="false">MAX(0,K20-L20-M20)</f>
        <v>0</v>
      </c>
      <c r="O20" s="43" t="n">
        <f aca="false">IF(R19&gt;0.005,R19*(1+Ordem!$E$9),0)</f>
        <v>0</v>
      </c>
      <c r="P20" s="43" t="n">
        <f aca="false">MIN(O20,Ordem!$F$9)</f>
        <v>0</v>
      </c>
      <c r="Q20" s="43" t="n">
        <f aca="false">MAX(0,MIN(O20-P20,$B20-(E20+I20+M20)))</f>
        <v>0</v>
      </c>
      <c r="R20" s="43" t="n">
        <f aca="false">MAX(0,O20-P20-Q20)</f>
        <v>0</v>
      </c>
      <c r="S20" s="43" t="n">
        <f aca="false">IF(V19&gt;0.005,V19*(1+Ordem!$E$10),0)</f>
        <v>0</v>
      </c>
      <c r="T20" s="43" t="n">
        <f aca="false">MIN(S20,Ordem!$F$10)</f>
        <v>0</v>
      </c>
      <c r="U20" s="43" t="n">
        <f aca="false">MAX(0,MIN(S20-T20,$B20-(E20+I20+M20+Q20)))</f>
        <v>0</v>
      </c>
      <c r="V20" s="43" t="n">
        <f aca="false">MAX(0,S20-T20-U20)</f>
        <v>0</v>
      </c>
      <c r="W20" s="43" t="n">
        <f aca="false">IF(Z19&gt;0.005,Z19*(1+Ordem!$E$11),0)</f>
        <v>0</v>
      </c>
      <c r="X20" s="43" t="n">
        <f aca="false">MIN(W20,Ordem!$F$11)</f>
        <v>0</v>
      </c>
      <c r="Y20" s="43" t="n">
        <f aca="false">MAX(0,MIN(W20-X20,$B20-(E20+I20+M20+Q20+U20)))</f>
        <v>0</v>
      </c>
      <c r="Z20" s="43" t="n">
        <f aca="false">MAX(0,W20-X20-Y20)</f>
        <v>0</v>
      </c>
      <c r="AA20" s="43" t="n">
        <f aca="false">IF(AD19&gt;0.005,AD19*(1+Ordem!$E$12),0)</f>
        <v>0</v>
      </c>
      <c r="AB20" s="43" t="n">
        <f aca="false">MIN(AA20,Ordem!$F$12)</f>
        <v>0</v>
      </c>
      <c r="AC20" s="43" t="n">
        <f aca="false">MAX(0,MIN(AA20-AB20,$B20-(E20+I20+M20+Q20+U20+Y20)))</f>
        <v>0</v>
      </c>
      <c r="AD20" s="43" t="n">
        <f aca="false">MAX(0,AA20-AB20-AC20)</f>
        <v>0</v>
      </c>
      <c r="AE20" s="43" t="n">
        <f aca="false">IF(AH19&gt;0.005,AH19*(1+Ordem!$E$13),0)</f>
        <v>0</v>
      </c>
      <c r="AF20" s="43" t="n">
        <f aca="false">MIN(AE20,Ordem!$F$13)</f>
        <v>0</v>
      </c>
      <c r="AG20" s="43" t="n">
        <f aca="false">MAX(0,MIN(AE20-AF20,$B20-(E20+I20+M20+Q20+U20+Y20+AC20)))</f>
        <v>0</v>
      </c>
      <c r="AH20" s="43" t="n">
        <f aca="false">MAX(0,AE20-AF20-AG20)</f>
        <v>0</v>
      </c>
      <c r="AI20" s="43" t="n">
        <f aca="false">IF(AL19&gt;0.005,AL19*(1+Ordem!$E$14),0)</f>
        <v>0</v>
      </c>
      <c r="AJ20" s="43" t="n">
        <f aca="false">MIN(AI20,Ordem!$F$14)</f>
        <v>0</v>
      </c>
      <c r="AK20" s="43" t="n">
        <f aca="false">MAX(0,MIN(AI20-AJ20,$B20-(E20+I20+M20+Q20+U20+Y20+AC20+AG20)))</f>
        <v>0</v>
      </c>
      <c r="AL20" s="43" t="n">
        <f aca="false">MAX(0,AI20-AJ20-AK20)</f>
        <v>0</v>
      </c>
      <c r="AM20" s="43" t="n">
        <f aca="false">IF(AP19&gt;0.005,AP19*(1+Ordem!$E$15),0)</f>
        <v>0</v>
      </c>
      <c r="AN20" s="43" t="n">
        <f aca="false">MIN(AM20,Ordem!$F$15)</f>
        <v>0</v>
      </c>
      <c r="AO20" s="43" t="n">
        <f aca="false">MAX(0,MIN(AM20-AN20,$B20-(E20+I20+M20+Q20+U20+Y20+AC20+AG20+AK20)))</f>
        <v>0</v>
      </c>
      <c r="AP20" s="43" t="n">
        <f aca="false">MAX(0,AM20-AN20-AO20)</f>
        <v>0</v>
      </c>
      <c r="AQ20" s="43" t="n">
        <f aca="false">F20+J20+N20+R20+V20+Z20+AD20+AH20+AL20+AP20</f>
        <v>0</v>
      </c>
      <c r="AR20" s="43" t="n">
        <f aca="false">D20+E20+H20+I20+L20+M20+P20+Q20+T20+U20+X20+Y20+AB20+AC20+AF20+AG20+AJ20+AK20+AN20+AO20</f>
        <v>0</v>
      </c>
    </row>
    <row r="21" customFormat="false" ht="15" hidden="false" customHeight="false" outlineLevel="0" collapsed="false">
      <c r="A21" s="0" t="n">
        <v>17</v>
      </c>
      <c r="B21" s="43" t="n">
        <f aca="false">MAX(0,Dívidas!$C$20-(D21+H21+L21+P21+T21+X21+AB21+AF21+AJ21+AN21))</f>
        <v>1450</v>
      </c>
      <c r="C21" s="43" t="n">
        <f aca="false">IF(F20&gt;0.005,F20*(1+Ordem!$E$6),0)</f>
        <v>0</v>
      </c>
      <c r="D21" s="43" t="n">
        <f aca="false">MIN(C21,Ordem!$F$6)</f>
        <v>0</v>
      </c>
      <c r="E21" s="43" t="n">
        <f aca="false">MAX(0,MIN(C21-D21,$B21-(0)))</f>
        <v>0</v>
      </c>
      <c r="F21" s="43" t="n">
        <f aca="false">MAX(0,C21-D21-E21)</f>
        <v>0</v>
      </c>
      <c r="G21" s="43" t="n">
        <f aca="false">IF(J20&gt;0.005,J20*(1+Ordem!$E$7),0)</f>
        <v>0</v>
      </c>
      <c r="H21" s="43" t="n">
        <f aca="false">MIN(G21,Ordem!$F$7)</f>
        <v>0</v>
      </c>
      <c r="I21" s="43" t="n">
        <f aca="false">MAX(0,MIN(G21-H21,$B21-(E21)))</f>
        <v>0</v>
      </c>
      <c r="J21" s="43" t="n">
        <f aca="false">MAX(0,G21-H21-I21)</f>
        <v>0</v>
      </c>
      <c r="K21" s="43" t="n">
        <f aca="false">IF(N20&gt;0.005,N20*(1+Ordem!$E$8),0)</f>
        <v>0</v>
      </c>
      <c r="L21" s="43" t="n">
        <f aca="false">MIN(K21,Ordem!$F$8)</f>
        <v>0</v>
      </c>
      <c r="M21" s="43" t="n">
        <f aca="false">MAX(0,MIN(K21-L21,$B21-(E21+I21)))</f>
        <v>0</v>
      </c>
      <c r="N21" s="43" t="n">
        <f aca="false">MAX(0,K21-L21-M21)</f>
        <v>0</v>
      </c>
      <c r="O21" s="43" t="n">
        <f aca="false">IF(R20&gt;0.005,R20*(1+Ordem!$E$9),0)</f>
        <v>0</v>
      </c>
      <c r="P21" s="43" t="n">
        <f aca="false">MIN(O21,Ordem!$F$9)</f>
        <v>0</v>
      </c>
      <c r="Q21" s="43" t="n">
        <f aca="false">MAX(0,MIN(O21-P21,$B21-(E21+I21+M21)))</f>
        <v>0</v>
      </c>
      <c r="R21" s="43" t="n">
        <f aca="false">MAX(0,O21-P21-Q21)</f>
        <v>0</v>
      </c>
      <c r="S21" s="43" t="n">
        <f aca="false">IF(V20&gt;0.005,V20*(1+Ordem!$E$10),0)</f>
        <v>0</v>
      </c>
      <c r="T21" s="43" t="n">
        <f aca="false">MIN(S21,Ordem!$F$10)</f>
        <v>0</v>
      </c>
      <c r="U21" s="43" t="n">
        <f aca="false">MAX(0,MIN(S21-T21,$B21-(E21+I21+M21+Q21)))</f>
        <v>0</v>
      </c>
      <c r="V21" s="43" t="n">
        <f aca="false">MAX(0,S21-T21-U21)</f>
        <v>0</v>
      </c>
      <c r="W21" s="43" t="n">
        <f aca="false">IF(Z20&gt;0.005,Z20*(1+Ordem!$E$11),0)</f>
        <v>0</v>
      </c>
      <c r="X21" s="43" t="n">
        <f aca="false">MIN(W21,Ordem!$F$11)</f>
        <v>0</v>
      </c>
      <c r="Y21" s="43" t="n">
        <f aca="false">MAX(0,MIN(W21-X21,$B21-(E21+I21+M21+Q21+U21)))</f>
        <v>0</v>
      </c>
      <c r="Z21" s="43" t="n">
        <f aca="false">MAX(0,W21-X21-Y21)</f>
        <v>0</v>
      </c>
      <c r="AA21" s="43" t="n">
        <f aca="false">IF(AD20&gt;0.005,AD20*(1+Ordem!$E$12),0)</f>
        <v>0</v>
      </c>
      <c r="AB21" s="43" t="n">
        <f aca="false">MIN(AA21,Ordem!$F$12)</f>
        <v>0</v>
      </c>
      <c r="AC21" s="43" t="n">
        <f aca="false">MAX(0,MIN(AA21-AB21,$B21-(E21+I21+M21+Q21+U21+Y21)))</f>
        <v>0</v>
      </c>
      <c r="AD21" s="43" t="n">
        <f aca="false">MAX(0,AA21-AB21-AC21)</f>
        <v>0</v>
      </c>
      <c r="AE21" s="43" t="n">
        <f aca="false">IF(AH20&gt;0.005,AH20*(1+Ordem!$E$13),0)</f>
        <v>0</v>
      </c>
      <c r="AF21" s="43" t="n">
        <f aca="false">MIN(AE21,Ordem!$F$13)</f>
        <v>0</v>
      </c>
      <c r="AG21" s="43" t="n">
        <f aca="false">MAX(0,MIN(AE21-AF21,$B21-(E21+I21+M21+Q21+U21+Y21+AC21)))</f>
        <v>0</v>
      </c>
      <c r="AH21" s="43" t="n">
        <f aca="false">MAX(0,AE21-AF21-AG21)</f>
        <v>0</v>
      </c>
      <c r="AI21" s="43" t="n">
        <f aca="false">IF(AL20&gt;0.005,AL20*(1+Ordem!$E$14),0)</f>
        <v>0</v>
      </c>
      <c r="AJ21" s="43" t="n">
        <f aca="false">MIN(AI21,Ordem!$F$14)</f>
        <v>0</v>
      </c>
      <c r="AK21" s="43" t="n">
        <f aca="false">MAX(0,MIN(AI21-AJ21,$B21-(E21+I21+M21+Q21+U21+Y21+AC21+AG21)))</f>
        <v>0</v>
      </c>
      <c r="AL21" s="43" t="n">
        <f aca="false">MAX(0,AI21-AJ21-AK21)</f>
        <v>0</v>
      </c>
      <c r="AM21" s="43" t="n">
        <f aca="false">IF(AP20&gt;0.005,AP20*(1+Ordem!$E$15),0)</f>
        <v>0</v>
      </c>
      <c r="AN21" s="43" t="n">
        <f aca="false">MIN(AM21,Ordem!$F$15)</f>
        <v>0</v>
      </c>
      <c r="AO21" s="43" t="n">
        <f aca="false">MAX(0,MIN(AM21-AN21,$B21-(E21+I21+M21+Q21+U21+Y21+AC21+AG21+AK21)))</f>
        <v>0</v>
      </c>
      <c r="AP21" s="43" t="n">
        <f aca="false">MAX(0,AM21-AN21-AO21)</f>
        <v>0</v>
      </c>
      <c r="AQ21" s="43" t="n">
        <f aca="false">F21+J21+N21+R21+V21+Z21+AD21+AH21+AL21+AP21</f>
        <v>0</v>
      </c>
      <c r="AR21" s="43" t="n">
        <f aca="false">D21+E21+H21+I21+L21+M21+P21+Q21+T21+U21+X21+Y21+AB21+AC21+AF21+AG21+AJ21+AK21+AN21+AO21</f>
        <v>0</v>
      </c>
    </row>
    <row r="22" customFormat="false" ht="15" hidden="false" customHeight="false" outlineLevel="0" collapsed="false">
      <c r="A22" s="0" t="n">
        <v>18</v>
      </c>
      <c r="B22" s="43" t="n">
        <f aca="false">MAX(0,Dívidas!$C$20-(D22+H22+L22+P22+T22+X22+AB22+AF22+AJ22+AN22))</f>
        <v>1450</v>
      </c>
      <c r="C22" s="43" t="n">
        <f aca="false">IF(F21&gt;0.005,F21*(1+Ordem!$E$6),0)</f>
        <v>0</v>
      </c>
      <c r="D22" s="43" t="n">
        <f aca="false">MIN(C22,Ordem!$F$6)</f>
        <v>0</v>
      </c>
      <c r="E22" s="43" t="n">
        <f aca="false">MAX(0,MIN(C22-D22,$B22-(0)))</f>
        <v>0</v>
      </c>
      <c r="F22" s="43" t="n">
        <f aca="false">MAX(0,C22-D22-E22)</f>
        <v>0</v>
      </c>
      <c r="G22" s="43" t="n">
        <f aca="false">IF(J21&gt;0.005,J21*(1+Ordem!$E$7),0)</f>
        <v>0</v>
      </c>
      <c r="H22" s="43" t="n">
        <f aca="false">MIN(G22,Ordem!$F$7)</f>
        <v>0</v>
      </c>
      <c r="I22" s="43" t="n">
        <f aca="false">MAX(0,MIN(G22-H22,$B22-(E22)))</f>
        <v>0</v>
      </c>
      <c r="J22" s="43" t="n">
        <f aca="false">MAX(0,G22-H22-I22)</f>
        <v>0</v>
      </c>
      <c r="K22" s="43" t="n">
        <f aca="false">IF(N21&gt;0.005,N21*(1+Ordem!$E$8),0)</f>
        <v>0</v>
      </c>
      <c r="L22" s="43" t="n">
        <f aca="false">MIN(K22,Ordem!$F$8)</f>
        <v>0</v>
      </c>
      <c r="M22" s="43" t="n">
        <f aca="false">MAX(0,MIN(K22-L22,$B22-(E22+I22)))</f>
        <v>0</v>
      </c>
      <c r="N22" s="43" t="n">
        <f aca="false">MAX(0,K22-L22-M22)</f>
        <v>0</v>
      </c>
      <c r="O22" s="43" t="n">
        <f aca="false">IF(R21&gt;0.005,R21*(1+Ordem!$E$9),0)</f>
        <v>0</v>
      </c>
      <c r="P22" s="43" t="n">
        <f aca="false">MIN(O22,Ordem!$F$9)</f>
        <v>0</v>
      </c>
      <c r="Q22" s="43" t="n">
        <f aca="false">MAX(0,MIN(O22-P22,$B22-(E22+I22+M22)))</f>
        <v>0</v>
      </c>
      <c r="R22" s="43" t="n">
        <f aca="false">MAX(0,O22-P22-Q22)</f>
        <v>0</v>
      </c>
      <c r="S22" s="43" t="n">
        <f aca="false">IF(V21&gt;0.005,V21*(1+Ordem!$E$10),0)</f>
        <v>0</v>
      </c>
      <c r="T22" s="43" t="n">
        <f aca="false">MIN(S22,Ordem!$F$10)</f>
        <v>0</v>
      </c>
      <c r="U22" s="43" t="n">
        <f aca="false">MAX(0,MIN(S22-T22,$B22-(E22+I22+M22+Q22)))</f>
        <v>0</v>
      </c>
      <c r="V22" s="43" t="n">
        <f aca="false">MAX(0,S22-T22-U22)</f>
        <v>0</v>
      </c>
      <c r="W22" s="43" t="n">
        <f aca="false">IF(Z21&gt;0.005,Z21*(1+Ordem!$E$11),0)</f>
        <v>0</v>
      </c>
      <c r="X22" s="43" t="n">
        <f aca="false">MIN(W22,Ordem!$F$11)</f>
        <v>0</v>
      </c>
      <c r="Y22" s="43" t="n">
        <f aca="false">MAX(0,MIN(W22-X22,$B22-(E22+I22+M22+Q22+U22)))</f>
        <v>0</v>
      </c>
      <c r="Z22" s="43" t="n">
        <f aca="false">MAX(0,W22-X22-Y22)</f>
        <v>0</v>
      </c>
      <c r="AA22" s="43" t="n">
        <f aca="false">IF(AD21&gt;0.005,AD21*(1+Ordem!$E$12),0)</f>
        <v>0</v>
      </c>
      <c r="AB22" s="43" t="n">
        <f aca="false">MIN(AA22,Ordem!$F$12)</f>
        <v>0</v>
      </c>
      <c r="AC22" s="43" t="n">
        <f aca="false">MAX(0,MIN(AA22-AB22,$B22-(E22+I22+M22+Q22+U22+Y22)))</f>
        <v>0</v>
      </c>
      <c r="AD22" s="43" t="n">
        <f aca="false">MAX(0,AA22-AB22-AC22)</f>
        <v>0</v>
      </c>
      <c r="AE22" s="43" t="n">
        <f aca="false">IF(AH21&gt;0.005,AH21*(1+Ordem!$E$13),0)</f>
        <v>0</v>
      </c>
      <c r="AF22" s="43" t="n">
        <f aca="false">MIN(AE22,Ordem!$F$13)</f>
        <v>0</v>
      </c>
      <c r="AG22" s="43" t="n">
        <f aca="false">MAX(0,MIN(AE22-AF22,$B22-(E22+I22+M22+Q22+U22+Y22+AC22)))</f>
        <v>0</v>
      </c>
      <c r="AH22" s="43" t="n">
        <f aca="false">MAX(0,AE22-AF22-AG22)</f>
        <v>0</v>
      </c>
      <c r="AI22" s="43" t="n">
        <f aca="false">IF(AL21&gt;0.005,AL21*(1+Ordem!$E$14),0)</f>
        <v>0</v>
      </c>
      <c r="AJ22" s="43" t="n">
        <f aca="false">MIN(AI22,Ordem!$F$14)</f>
        <v>0</v>
      </c>
      <c r="AK22" s="43" t="n">
        <f aca="false">MAX(0,MIN(AI22-AJ22,$B22-(E22+I22+M22+Q22+U22+Y22+AC22+AG22)))</f>
        <v>0</v>
      </c>
      <c r="AL22" s="43" t="n">
        <f aca="false">MAX(0,AI22-AJ22-AK22)</f>
        <v>0</v>
      </c>
      <c r="AM22" s="43" t="n">
        <f aca="false">IF(AP21&gt;0.005,AP21*(1+Ordem!$E$15),0)</f>
        <v>0</v>
      </c>
      <c r="AN22" s="43" t="n">
        <f aca="false">MIN(AM22,Ordem!$F$15)</f>
        <v>0</v>
      </c>
      <c r="AO22" s="43" t="n">
        <f aca="false">MAX(0,MIN(AM22-AN22,$B22-(E22+I22+M22+Q22+U22+Y22+AC22+AG22+AK22)))</f>
        <v>0</v>
      </c>
      <c r="AP22" s="43" t="n">
        <f aca="false">MAX(0,AM22-AN22-AO22)</f>
        <v>0</v>
      </c>
      <c r="AQ22" s="43" t="n">
        <f aca="false">F22+J22+N22+R22+V22+Z22+AD22+AH22+AL22+AP22</f>
        <v>0</v>
      </c>
      <c r="AR22" s="43" t="n">
        <f aca="false">D22+E22+H22+I22+L22+M22+P22+Q22+T22+U22+X22+Y22+AB22+AC22+AF22+AG22+AJ22+AK22+AN22+AO22</f>
        <v>0</v>
      </c>
    </row>
    <row r="23" customFormat="false" ht="15" hidden="false" customHeight="false" outlineLevel="0" collapsed="false">
      <c r="A23" s="0" t="n">
        <v>19</v>
      </c>
      <c r="B23" s="43" t="n">
        <f aca="false">MAX(0,Dívidas!$C$20-(D23+H23+L23+P23+T23+X23+AB23+AF23+AJ23+AN23))</f>
        <v>1450</v>
      </c>
      <c r="C23" s="43" t="n">
        <f aca="false">IF(F22&gt;0.005,F22*(1+Ordem!$E$6),0)</f>
        <v>0</v>
      </c>
      <c r="D23" s="43" t="n">
        <f aca="false">MIN(C23,Ordem!$F$6)</f>
        <v>0</v>
      </c>
      <c r="E23" s="43" t="n">
        <f aca="false">MAX(0,MIN(C23-D23,$B23-(0)))</f>
        <v>0</v>
      </c>
      <c r="F23" s="43" t="n">
        <f aca="false">MAX(0,C23-D23-E23)</f>
        <v>0</v>
      </c>
      <c r="G23" s="43" t="n">
        <f aca="false">IF(J22&gt;0.005,J22*(1+Ordem!$E$7),0)</f>
        <v>0</v>
      </c>
      <c r="H23" s="43" t="n">
        <f aca="false">MIN(G23,Ordem!$F$7)</f>
        <v>0</v>
      </c>
      <c r="I23" s="43" t="n">
        <f aca="false">MAX(0,MIN(G23-H23,$B23-(E23)))</f>
        <v>0</v>
      </c>
      <c r="J23" s="43" t="n">
        <f aca="false">MAX(0,G23-H23-I23)</f>
        <v>0</v>
      </c>
      <c r="K23" s="43" t="n">
        <f aca="false">IF(N22&gt;0.005,N22*(1+Ordem!$E$8),0)</f>
        <v>0</v>
      </c>
      <c r="L23" s="43" t="n">
        <f aca="false">MIN(K23,Ordem!$F$8)</f>
        <v>0</v>
      </c>
      <c r="M23" s="43" t="n">
        <f aca="false">MAX(0,MIN(K23-L23,$B23-(E23+I23)))</f>
        <v>0</v>
      </c>
      <c r="N23" s="43" t="n">
        <f aca="false">MAX(0,K23-L23-M23)</f>
        <v>0</v>
      </c>
      <c r="O23" s="43" t="n">
        <f aca="false">IF(R22&gt;0.005,R22*(1+Ordem!$E$9),0)</f>
        <v>0</v>
      </c>
      <c r="P23" s="43" t="n">
        <f aca="false">MIN(O23,Ordem!$F$9)</f>
        <v>0</v>
      </c>
      <c r="Q23" s="43" t="n">
        <f aca="false">MAX(0,MIN(O23-P23,$B23-(E23+I23+M23)))</f>
        <v>0</v>
      </c>
      <c r="R23" s="43" t="n">
        <f aca="false">MAX(0,O23-P23-Q23)</f>
        <v>0</v>
      </c>
      <c r="S23" s="43" t="n">
        <f aca="false">IF(V22&gt;0.005,V22*(1+Ordem!$E$10),0)</f>
        <v>0</v>
      </c>
      <c r="T23" s="43" t="n">
        <f aca="false">MIN(S23,Ordem!$F$10)</f>
        <v>0</v>
      </c>
      <c r="U23" s="43" t="n">
        <f aca="false">MAX(0,MIN(S23-T23,$B23-(E23+I23+M23+Q23)))</f>
        <v>0</v>
      </c>
      <c r="V23" s="43" t="n">
        <f aca="false">MAX(0,S23-T23-U23)</f>
        <v>0</v>
      </c>
      <c r="W23" s="43" t="n">
        <f aca="false">IF(Z22&gt;0.005,Z22*(1+Ordem!$E$11),0)</f>
        <v>0</v>
      </c>
      <c r="X23" s="43" t="n">
        <f aca="false">MIN(W23,Ordem!$F$11)</f>
        <v>0</v>
      </c>
      <c r="Y23" s="43" t="n">
        <f aca="false">MAX(0,MIN(W23-X23,$B23-(E23+I23+M23+Q23+U23)))</f>
        <v>0</v>
      </c>
      <c r="Z23" s="43" t="n">
        <f aca="false">MAX(0,W23-X23-Y23)</f>
        <v>0</v>
      </c>
      <c r="AA23" s="43" t="n">
        <f aca="false">IF(AD22&gt;0.005,AD22*(1+Ordem!$E$12),0)</f>
        <v>0</v>
      </c>
      <c r="AB23" s="43" t="n">
        <f aca="false">MIN(AA23,Ordem!$F$12)</f>
        <v>0</v>
      </c>
      <c r="AC23" s="43" t="n">
        <f aca="false">MAX(0,MIN(AA23-AB23,$B23-(E23+I23+M23+Q23+U23+Y23)))</f>
        <v>0</v>
      </c>
      <c r="AD23" s="43" t="n">
        <f aca="false">MAX(0,AA23-AB23-AC23)</f>
        <v>0</v>
      </c>
      <c r="AE23" s="43" t="n">
        <f aca="false">IF(AH22&gt;0.005,AH22*(1+Ordem!$E$13),0)</f>
        <v>0</v>
      </c>
      <c r="AF23" s="43" t="n">
        <f aca="false">MIN(AE23,Ordem!$F$13)</f>
        <v>0</v>
      </c>
      <c r="AG23" s="43" t="n">
        <f aca="false">MAX(0,MIN(AE23-AF23,$B23-(E23+I23+M23+Q23+U23+Y23+AC23)))</f>
        <v>0</v>
      </c>
      <c r="AH23" s="43" t="n">
        <f aca="false">MAX(0,AE23-AF23-AG23)</f>
        <v>0</v>
      </c>
      <c r="AI23" s="43" t="n">
        <f aca="false">IF(AL22&gt;0.005,AL22*(1+Ordem!$E$14),0)</f>
        <v>0</v>
      </c>
      <c r="AJ23" s="43" t="n">
        <f aca="false">MIN(AI23,Ordem!$F$14)</f>
        <v>0</v>
      </c>
      <c r="AK23" s="43" t="n">
        <f aca="false">MAX(0,MIN(AI23-AJ23,$B23-(E23+I23+M23+Q23+U23+Y23+AC23+AG23)))</f>
        <v>0</v>
      </c>
      <c r="AL23" s="43" t="n">
        <f aca="false">MAX(0,AI23-AJ23-AK23)</f>
        <v>0</v>
      </c>
      <c r="AM23" s="43" t="n">
        <f aca="false">IF(AP22&gt;0.005,AP22*(1+Ordem!$E$15),0)</f>
        <v>0</v>
      </c>
      <c r="AN23" s="43" t="n">
        <f aca="false">MIN(AM23,Ordem!$F$15)</f>
        <v>0</v>
      </c>
      <c r="AO23" s="43" t="n">
        <f aca="false">MAX(0,MIN(AM23-AN23,$B23-(E23+I23+M23+Q23+U23+Y23+AC23+AG23+AK23)))</f>
        <v>0</v>
      </c>
      <c r="AP23" s="43" t="n">
        <f aca="false">MAX(0,AM23-AN23-AO23)</f>
        <v>0</v>
      </c>
      <c r="AQ23" s="43" t="n">
        <f aca="false">F23+J23+N23+R23+V23+Z23+AD23+AH23+AL23+AP23</f>
        <v>0</v>
      </c>
      <c r="AR23" s="43" t="n">
        <f aca="false">D23+E23+H23+I23+L23+M23+P23+Q23+T23+U23+X23+Y23+AB23+AC23+AF23+AG23+AJ23+AK23+AN23+AO23</f>
        <v>0</v>
      </c>
    </row>
    <row r="24" customFormat="false" ht="15" hidden="false" customHeight="false" outlineLevel="0" collapsed="false">
      <c r="A24" s="0" t="n">
        <v>20</v>
      </c>
      <c r="B24" s="43" t="n">
        <f aca="false">MAX(0,Dívidas!$C$20-(D24+H24+L24+P24+T24+X24+AB24+AF24+AJ24+AN24))</f>
        <v>1450</v>
      </c>
      <c r="C24" s="43" t="n">
        <f aca="false">IF(F23&gt;0.005,F23*(1+Ordem!$E$6),0)</f>
        <v>0</v>
      </c>
      <c r="D24" s="43" t="n">
        <f aca="false">MIN(C24,Ordem!$F$6)</f>
        <v>0</v>
      </c>
      <c r="E24" s="43" t="n">
        <f aca="false">MAX(0,MIN(C24-D24,$B24-(0)))</f>
        <v>0</v>
      </c>
      <c r="F24" s="43" t="n">
        <f aca="false">MAX(0,C24-D24-E24)</f>
        <v>0</v>
      </c>
      <c r="G24" s="43" t="n">
        <f aca="false">IF(J23&gt;0.005,J23*(1+Ordem!$E$7),0)</f>
        <v>0</v>
      </c>
      <c r="H24" s="43" t="n">
        <f aca="false">MIN(G24,Ordem!$F$7)</f>
        <v>0</v>
      </c>
      <c r="I24" s="43" t="n">
        <f aca="false">MAX(0,MIN(G24-H24,$B24-(E24)))</f>
        <v>0</v>
      </c>
      <c r="J24" s="43" t="n">
        <f aca="false">MAX(0,G24-H24-I24)</f>
        <v>0</v>
      </c>
      <c r="K24" s="43" t="n">
        <f aca="false">IF(N23&gt;0.005,N23*(1+Ordem!$E$8),0)</f>
        <v>0</v>
      </c>
      <c r="L24" s="43" t="n">
        <f aca="false">MIN(K24,Ordem!$F$8)</f>
        <v>0</v>
      </c>
      <c r="M24" s="43" t="n">
        <f aca="false">MAX(0,MIN(K24-L24,$B24-(E24+I24)))</f>
        <v>0</v>
      </c>
      <c r="N24" s="43" t="n">
        <f aca="false">MAX(0,K24-L24-M24)</f>
        <v>0</v>
      </c>
      <c r="O24" s="43" t="n">
        <f aca="false">IF(R23&gt;0.005,R23*(1+Ordem!$E$9),0)</f>
        <v>0</v>
      </c>
      <c r="P24" s="43" t="n">
        <f aca="false">MIN(O24,Ordem!$F$9)</f>
        <v>0</v>
      </c>
      <c r="Q24" s="43" t="n">
        <f aca="false">MAX(0,MIN(O24-P24,$B24-(E24+I24+M24)))</f>
        <v>0</v>
      </c>
      <c r="R24" s="43" t="n">
        <f aca="false">MAX(0,O24-P24-Q24)</f>
        <v>0</v>
      </c>
      <c r="S24" s="43" t="n">
        <f aca="false">IF(V23&gt;0.005,V23*(1+Ordem!$E$10),0)</f>
        <v>0</v>
      </c>
      <c r="T24" s="43" t="n">
        <f aca="false">MIN(S24,Ordem!$F$10)</f>
        <v>0</v>
      </c>
      <c r="U24" s="43" t="n">
        <f aca="false">MAX(0,MIN(S24-T24,$B24-(E24+I24+M24+Q24)))</f>
        <v>0</v>
      </c>
      <c r="V24" s="43" t="n">
        <f aca="false">MAX(0,S24-T24-U24)</f>
        <v>0</v>
      </c>
      <c r="W24" s="43" t="n">
        <f aca="false">IF(Z23&gt;0.005,Z23*(1+Ordem!$E$11),0)</f>
        <v>0</v>
      </c>
      <c r="X24" s="43" t="n">
        <f aca="false">MIN(W24,Ordem!$F$11)</f>
        <v>0</v>
      </c>
      <c r="Y24" s="43" t="n">
        <f aca="false">MAX(0,MIN(W24-X24,$B24-(E24+I24+M24+Q24+U24)))</f>
        <v>0</v>
      </c>
      <c r="Z24" s="43" t="n">
        <f aca="false">MAX(0,W24-X24-Y24)</f>
        <v>0</v>
      </c>
      <c r="AA24" s="43" t="n">
        <f aca="false">IF(AD23&gt;0.005,AD23*(1+Ordem!$E$12),0)</f>
        <v>0</v>
      </c>
      <c r="AB24" s="43" t="n">
        <f aca="false">MIN(AA24,Ordem!$F$12)</f>
        <v>0</v>
      </c>
      <c r="AC24" s="43" t="n">
        <f aca="false">MAX(0,MIN(AA24-AB24,$B24-(E24+I24+M24+Q24+U24+Y24)))</f>
        <v>0</v>
      </c>
      <c r="AD24" s="43" t="n">
        <f aca="false">MAX(0,AA24-AB24-AC24)</f>
        <v>0</v>
      </c>
      <c r="AE24" s="43" t="n">
        <f aca="false">IF(AH23&gt;0.005,AH23*(1+Ordem!$E$13),0)</f>
        <v>0</v>
      </c>
      <c r="AF24" s="43" t="n">
        <f aca="false">MIN(AE24,Ordem!$F$13)</f>
        <v>0</v>
      </c>
      <c r="AG24" s="43" t="n">
        <f aca="false">MAX(0,MIN(AE24-AF24,$B24-(E24+I24+M24+Q24+U24+Y24+AC24)))</f>
        <v>0</v>
      </c>
      <c r="AH24" s="43" t="n">
        <f aca="false">MAX(0,AE24-AF24-AG24)</f>
        <v>0</v>
      </c>
      <c r="AI24" s="43" t="n">
        <f aca="false">IF(AL23&gt;0.005,AL23*(1+Ordem!$E$14),0)</f>
        <v>0</v>
      </c>
      <c r="AJ24" s="43" t="n">
        <f aca="false">MIN(AI24,Ordem!$F$14)</f>
        <v>0</v>
      </c>
      <c r="AK24" s="43" t="n">
        <f aca="false">MAX(0,MIN(AI24-AJ24,$B24-(E24+I24+M24+Q24+U24+Y24+AC24+AG24)))</f>
        <v>0</v>
      </c>
      <c r="AL24" s="43" t="n">
        <f aca="false">MAX(0,AI24-AJ24-AK24)</f>
        <v>0</v>
      </c>
      <c r="AM24" s="43" t="n">
        <f aca="false">IF(AP23&gt;0.005,AP23*(1+Ordem!$E$15),0)</f>
        <v>0</v>
      </c>
      <c r="AN24" s="43" t="n">
        <f aca="false">MIN(AM24,Ordem!$F$15)</f>
        <v>0</v>
      </c>
      <c r="AO24" s="43" t="n">
        <f aca="false">MAX(0,MIN(AM24-AN24,$B24-(E24+I24+M24+Q24+U24+Y24+AC24+AG24+AK24)))</f>
        <v>0</v>
      </c>
      <c r="AP24" s="43" t="n">
        <f aca="false">MAX(0,AM24-AN24-AO24)</f>
        <v>0</v>
      </c>
      <c r="AQ24" s="43" t="n">
        <f aca="false">F24+J24+N24+R24+V24+Z24+AD24+AH24+AL24+AP24</f>
        <v>0</v>
      </c>
      <c r="AR24" s="43" t="n">
        <f aca="false">D24+E24+H24+I24+L24+M24+P24+Q24+T24+U24+X24+Y24+AB24+AC24+AF24+AG24+AJ24+AK24+AN24+AO24</f>
        <v>0</v>
      </c>
    </row>
    <row r="25" customFormat="false" ht="15" hidden="false" customHeight="false" outlineLevel="0" collapsed="false">
      <c r="A25" s="0" t="n">
        <v>21</v>
      </c>
      <c r="B25" s="43" t="n">
        <f aca="false">MAX(0,Dívidas!$C$20-(D25+H25+L25+P25+T25+X25+AB25+AF25+AJ25+AN25))</f>
        <v>1450</v>
      </c>
      <c r="C25" s="43" t="n">
        <f aca="false">IF(F24&gt;0.005,F24*(1+Ordem!$E$6),0)</f>
        <v>0</v>
      </c>
      <c r="D25" s="43" t="n">
        <f aca="false">MIN(C25,Ordem!$F$6)</f>
        <v>0</v>
      </c>
      <c r="E25" s="43" t="n">
        <f aca="false">MAX(0,MIN(C25-D25,$B25-(0)))</f>
        <v>0</v>
      </c>
      <c r="F25" s="43" t="n">
        <f aca="false">MAX(0,C25-D25-E25)</f>
        <v>0</v>
      </c>
      <c r="G25" s="43" t="n">
        <f aca="false">IF(J24&gt;0.005,J24*(1+Ordem!$E$7),0)</f>
        <v>0</v>
      </c>
      <c r="H25" s="43" t="n">
        <f aca="false">MIN(G25,Ordem!$F$7)</f>
        <v>0</v>
      </c>
      <c r="I25" s="43" t="n">
        <f aca="false">MAX(0,MIN(G25-H25,$B25-(E25)))</f>
        <v>0</v>
      </c>
      <c r="J25" s="43" t="n">
        <f aca="false">MAX(0,G25-H25-I25)</f>
        <v>0</v>
      </c>
      <c r="K25" s="43" t="n">
        <f aca="false">IF(N24&gt;0.005,N24*(1+Ordem!$E$8),0)</f>
        <v>0</v>
      </c>
      <c r="L25" s="43" t="n">
        <f aca="false">MIN(K25,Ordem!$F$8)</f>
        <v>0</v>
      </c>
      <c r="M25" s="43" t="n">
        <f aca="false">MAX(0,MIN(K25-L25,$B25-(E25+I25)))</f>
        <v>0</v>
      </c>
      <c r="N25" s="43" t="n">
        <f aca="false">MAX(0,K25-L25-M25)</f>
        <v>0</v>
      </c>
      <c r="O25" s="43" t="n">
        <f aca="false">IF(R24&gt;0.005,R24*(1+Ordem!$E$9),0)</f>
        <v>0</v>
      </c>
      <c r="P25" s="43" t="n">
        <f aca="false">MIN(O25,Ordem!$F$9)</f>
        <v>0</v>
      </c>
      <c r="Q25" s="43" t="n">
        <f aca="false">MAX(0,MIN(O25-P25,$B25-(E25+I25+M25)))</f>
        <v>0</v>
      </c>
      <c r="R25" s="43" t="n">
        <f aca="false">MAX(0,O25-P25-Q25)</f>
        <v>0</v>
      </c>
      <c r="S25" s="43" t="n">
        <f aca="false">IF(V24&gt;0.005,V24*(1+Ordem!$E$10),0)</f>
        <v>0</v>
      </c>
      <c r="T25" s="43" t="n">
        <f aca="false">MIN(S25,Ordem!$F$10)</f>
        <v>0</v>
      </c>
      <c r="U25" s="43" t="n">
        <f aca="false">MAX(0,MIN(S25-T25,$B25-(E25+I25+M25+Q25)))</f>
        <v>0</v>
      </c>
      <c r="V25" s="43" t="n">
        <f aca="false">MAX(0,S25-T25-U25)</f>
        <v>0</v>
      </c>
      <c r="W25" s="43" t="n">
        <f aca="false">IF(Z24&gt;0.005,Z24*(1+Ordem!$E$11),0)</f>
        <v>0</v>
      </c>
      <c r="X25" s="43" t="n">
        <f aca="false">MIN(W25,Ordem!$F$11)</f>
        <v>0</v>
      </c>
      <c r="Y25" s="43" t="n">
        <f aca="false">MAX(0,MIN(W25-X25,$B25-(E25+I25+M25+Q25+U25)))</f>
        <v>0</v>
      </c>
      <c r="Z25" s="43" t="n">
        <f aca="false">MAX(0,W25-X25-Y25)</f>
        <v>0</v>
      </c>
      <c r="AA25" s="43" t="n">
        <f aca="false">IF(AD24&gt;0.005,AD24*(1+Ordem!$E$12),0)</f>
        <v>0</v>
      </c>
      <c r="AB25" s="43" t="n">
        <f aca="false">MIN(AA25,Ordem!$F$12)</f>
        <v>0</v>
      </c>
      <c r="AC25" s="43" t="n">
        <f aca="false">MAX(0,MIN(AA25-AB25,$B25-(E25+I25+M25+Q25+U25+Y25)))</f>
        <v>0</v>
      </c>
      <c r="AD25" s="43" t="n">
        <f aca="false">MAX(0,AA25-AB25-AC25)</f>
        <v>0</v>
      </c>
      <c r="AE25" s="43" t="n">
        <f aca="false">IF(AH24&gt;0.005,AH24*(1+Ordem!$E$13),0)</f>
        <v>0</v>
      </c>
      <c r="AF25" s="43" t="n">
        <f aca="false">MIN(AE25,Ordem!$F$13)</f>
        <v>0</v>
      </c>
      <c r="AG25" s="43" t="n">
        <f aca="false">MAX(0,MIN(AE25-AF25,$B25-(E25+I25+M25+Q25+U25+Y25+AC25)))</f>
        <v>0</v>
      </c>
      <c r="AH25" s="43" t="n">
        <f aca="false">MAX(0,AE25-AF25-AG25)</f>
        <v>0</v>
      </c>
      <c r="AI25" s="43" t="n">
        <f aca="false">IF(AL24&gt;0.005,AL24*(1+Ordem!$E$14),0)</f>
        <v>0</v>
      </c>
      <c r="AJ25" s="43" t="n">
        <f aca="false">MIN(AI25,Ordem!$F$14)</f>
        <v>0</v>
      </c>
      <c r="AK25" s="43" t="n">
        <f aca="false">MAX(0,MIN(AI25-AJ25,$B25-(E25+I25+M25+Q25+U25+Y25+AC25+AG25)))</f>
        <v>0</v>
      </c>
      <c r="AL25" s="43" t="n">
        <f aca="false">MAX(0,AI25-AJ25-AK25)</f>
        <v>0</v>
      </c>
      <c r="AM25" s="43" t="n">
        <f aca="false">IF(AP24&gt;0.005,AP24*(1+Ordem!$E$15),0)</f>
        <v>0</v>
      </c>
      <c r="AN25" s="43" t="n">
        <f aca="false">MIN(AM25,Ordem!$F$15)</f>
        <v>0</v>
      </c>
      <c r="AO25" s="43" t="n">
        <f aca="false">MAX(0,MIN(AM25-AN25,$B25-(E25+I25+M25+Q25+U25+Y25+AC25+AG25+AK25)))</f>
        <v>0</v>
      </c>
      <c r="AP25" s="43" t="n">
        <f aca="false">MAX(0,AM25-AN25-AO25)</f>
        <v>0</v>
      </c>
      <c r="AQ25" s="43" t="n">
        <f aca="false">F25+J25+N25+R25+V25+Z25+AD25+AH25+AL25+AP25</f>
        <v>0</v>
      </c>
      <c r="AR25" s="43" t="n">
        <f aca="false">D25+E25+H25+I25+L25+M25+P25+Q25+T25+U25+X25+Y25+AB25+AC25+AF25+AG25+AJ25+AK25+AN25+AO25</f>
        <v>0</v>
      </c>
    </row>
    <row r="26" customFormat="false" ht="15" hidden="false" customHeight="false" outlineLevel="0" collapsed="false">
      <c r="A26" s="0" t="n">
        <v>22</v>
      </c>
      <c r="B26" s="43" t="n">
        <f aca="false">MAX(0,Dívidas!$C$20-(D26+H26+L26+P26+T26+X26+AB26+AF26+AJ26+AN26))</f>
        <v>1450</v>
      </c>
      <c r="C26" s="43" t="n">
        <f aca="false">IF(F25&gt;0.005,F25*(1+Ordem!$E$6),0)</f>
        <v>0</v>
      </c>
      <c r="D26" s="43" t="n">
        <f aca="false">MIN(C26,Ordem!$F$6)</f>
        <v>0</v>
      </c>
      <c r="E26" s="43" t="n">
        <f aca="false">MAX(0,MIN(C26-D26,$B26-(0)))</f>
        <v>0</v>
      </c>
      <c r="F26" s="43" t="n">
        <f aca="false">MAX(0,C26-D26-E26)</f>
        <v>0</v>
      </c>
      <c r="G26" s="43" t="n">
        <f aca="false">IF(J25&gt;0.005,J25*(1+Ordem!$E$7),0)</f>
        <v>0</v>
      </c>
      <c r="H26" s="43" t="n">
        <f aca="false">MIN(G26,Ordem!$F$7)</f>
        <v>0</v>
      </c>
      <c r="I26" s="43" t="n">
        <f aca="false">MAX(0,MIN(G26-H26,$B26-(E26)))</f>
        <v>0</v>
      </c>
      <c r="J26" s="43" t="n">
        <f aca="false">MAX(0,G26-H26-I26)</f>
        <v>0</v>
      </c>
      <c r="K26" s="43" t="n">
        <f aca="false">IF(N25&gt;0.005,N25*(1+Ordem!$E$8),0)</f>
        <v>0</v>
      </c>
      <c r="L26" s="43" t="n">
        <f aca="false">MIN(K26,Ordem!$F$8)</f>
        <v>0</v>
      </c>
      <c r="M26" s="43" t="n">
        <f aca="false">MAX(0,MIN(K26-L26,$B26-(E26+I26)))</f>
        <v>0</v>
      </c>
      <c r="N26" s="43" t="n">
        <f aca="false">MAX(0,K26-L26-M26)</f>
        <v>0</v>
      </c>
      <c r="O26" s="43" t="n">
        <f aca="false">IF(R25&gt;0.005,R25*(1+Ordem!$E$9),0)</f>
        <v>0</v>
      </c>
      <c r="P26" s="43" t="n">
        <f aca="false">MIN(O26,Ordem!$F$9)</f>
        <v>0</v>
      </c>
      <c r="Q26" s="43" t="n">
        <f aca="false">MAX(0,MIN(O26-P26,$B26-(E26+I26+M26)))</f>
        <v>0</v>
      </c>
      <c r="R26" s="43" t="n">
        <f aca="false">MAX(0,O26-P26-Q26)</f>
        <v>0</v>
      </c>
      <c r="S26" s="43" t="n">
        <f aca="false">IF(V25&gt;0.005,V25*(1+Ordem!$E$10),0)</f>
        <v>0</v>
      </c>
      <c r="T26" s="43" t="n">
        <f aca="false">MIN(S26,Ordem!$F$10)</f>
        <v>0</v>
      </c>
      <c r="U26" s="43" t="n">
        <f aca="false">MAX(0,MIN(S26-T26,$B26-(E26+I26+M26+Q26)))</f>
        <v>0</v>
      </c>
      <c r="V26" s="43" t="n">
        <f aca="false">MAX(0,S26-T26-U26)</f>
        <v>0</v>
      </c>
      <c r="W26" s="43" t="n">
        <f aca="false">IF(Z25&gt;0.005,Z25*(1+Ordem!$E$11),0)</f>
        <v>0</v>
      </c>
      <c r="X26" s="43" t="n">
        <f aca="false">MIN(W26,Ordem!$F$11)</f>
        <v>0</v>
      </c>
      <c r="Y26" s="43" t="n">
        <f aca="false">MAX(0,MIN(W26-X26,$B26-(E26+I26+M26+Q26+U26)))</f>
        <v>0</v>
      </c>
      <c r="Z26" s="43" t="n">
        <f aca="false">MAX(0,W26-X26-Y26)</f>
        <v>0</v>
      </c>
      <c r="AA26" s="43" t="n">
        <f aca="false">IF(AD25&gt;0.005,AD25*(1+Ordem!$E$12),0)</f>
        <v>0</v>
      </c>
      <c r="AB26" s="43" t="n">
        <f aca="false">MIN(AA26,Ordem!$F$12)</f>
        <v>0</v>
      </c>
      <c r="AC26" s="43" t="n">
        <f aca="false">MAX(0,MIN(AA26-AB26,$B26-(E26+I26+M26+Q26+U26+Y26)))</f>
        <v>0</v>
      </c>
      <c r="AD26" s="43" t="n">
        <f aca="false">MAX(0,AA26-AB26-AC26)</f>
        <v>0</v>
      </c>
      <c r="AE26" s="43" t="n">
        <f aca="false">IF(AH25&gt;0.005,AH25*(1+Ordem!$E$13),0)</f>
        <v>0</v>
      </c>
      <c r="AF26" s="43" t="n">
        <f aca="false">MIN(AE26,Ordem!$F$13)</f>
        <v>0</v>
      </c>
      <c r="AG26" s="43" t="n">
        <f aca="false">MAX(0,MIN(AE26-AF26,$B26-(E26+I26+M26+Q26+U26+Y26+AC26)))</f>
        <v>0</v>
      </c>
      <c r="AH26" s="43" t="n">
        <f aca="false">MAX(0,AE26-AF26-AG26)</f>
        <v>0</v>
      </c>
      <c r="AI26" s="43" t="n">
        <f aca="false">IF(AL25&gt;0.005,AL25*(1+Ordem!$E$14),0)</f>
        <v>0</v>
      </c>
      <c r="AJ26" s="43" t="n">
        <f aca="false">MIN(AI26,Ordem!$F$14)</f>
        <v>0</v>
      </c>
      <c r="AK26" s="43" t="n">
        <f aca="false">MAX(0,MIN(AI26-AJ26,$B26-(E26+I26+M26+Q26+U26+Y26+AC26+AG26)))</f>
        <v>0</v>
      </c>
      <c r="AL26" s="43" t="n">
        <f aca="false">MAX(0,AI26-AJ26-AK26)</f>
        <v>0</v>
      </c>
      <c r="AM26" s="43" t="n">
        <f aca="false">IF(AP25&gt;0.005,AP25*(1+Ordem!$E$15),0)</f>
        <v>0</v>
      </c>
      <c r="AN26" s="43" t="n">
        <f aca="false">MIN(AM26,Ordem!$F$15)</f>
        <v>0</v>
      </c>
      <c r="AO26" s="43" t="n">
        <f aca="false">MAX(0,MIN(AM26-AN26,$B26-(E26+I26+M26+Q26+U26+Y26+AC26+AG26+AK26)))</f>
        <v>0</v>
      </c>
      <c r="AP26" s="43" t="n">
        <f aca="false">MAX(0,AM26-AN26-AO26)</f>
        <v>0</v>
      </c>
      <c r="AQ26" s="43" t="n">
        <f aca="false">F26+J26+N26+R26+V26+Z26+AD26+AH26+AL26+AP26</f>
        <v>0</v>
      </c>
      <c r="AR26" s="43" t="n">
        <f aca="false">D26+E26+H26+I26+L26+M26+P26+Q26+T26+U26+X26+Y26+AB26+AC26+AF26+AG26+AJ26+AK26+AN26+AO26</f>
        <v>0</v>
      </c>
    </row>
    <row r="27" customFormat="false" ht="15" hidden="false" customHeight="false" outlineLevel="0" collapsed="false">
      <c r="A27" s="0" t="n">
        <v>23</v>
      </c>
      <c r="B27" s="43" t="n">
        <f aca="false">MAX(0,Dívidas!$C$20-(D27+H27+L27+P27+T27+X27+AB27+AF27+AJ27+AN27))</f>
        <v>1450</v>
      </c>
      <c r="C27" s="43" t="n">
        <f aca="false">IF(F26&gt;0.005,F26*(1+Ordem!$E$6),0)</f>
        <v>0</v>
      </c>
      <c r="D27" s="43" t="n">
        <f aca="false">MIN(C27,Ordem!$F$6)</f>
        <v>0</v>
      </c>
      <c r="E27" s="43" t="n">
        <f aca="false">MAX(0,MIN(C27-D27,$B27-(0)))</f>
        <v>0</v>
      </c>
      <c r="F27" s="43" t="n">
        <f aca="false">MAX(0,C27-D27-E27)</f>
        <v>0</v>
      </c>
      <c r="G27" s="43" t="n">
        <f aca="false">IF(J26&gt;0.005,J26*(1+Ordem!$E$7),0)</f>
        <v>0</v>
      </c>
      <c r="H27" s="43" t="n">
        <f aca="false">MIN(G27,Ordem!$F$7)</f>
        <v>0</v>
      </c>
      <c r="I27" s="43" t="n">
        <f aca="false">MAX(0,MIN(G27-H27,$B27-(E27)))</f>
        <v>0</v>
      </c>
      <c r="J27" s="43" t="n">
        <f aca="false">MAX(0,G27-H27-I27)</f>
        <v>0</v>
      </c>
      <c r="K27" s="43" t="n">
        <f aca="false">IF(N26&gt;0.005,N26*(1+Ordem!$E$8),0)</f>
        <v>0</v>
      </c>
      <c r="L27" s="43" t="n">
        <f aca="false">MIN(K27,Ordem!$F$8)</f>
        <v>0</v>
      </c>
      <c r="M27" s="43" t="n">
        <f aca="false">MAX(0,MIN(K27-L27,$B27-(E27+I27)))</f>
        <v>0</v>
      </c>
      <c r="N27" s="43" t="n">
        <f aca="false">MAX(0,K27-L27-M27)</f>
        <v>0</v>
      </c>
      <c r="O27" s="43" t="n">
        <f aca="false">IF(R26&gt;0.005,R26*(1+Ordem!$E$9),0)</f>
        <v>0</v>
      </c>
      <c r="P27" s="43" t="n">
        <f aca="false">MIN(O27,Ordem!$F$9)</f>
        <v>0</v>
      </c>
      <c r="Q27" s="43" t="n">
        <f aca="false">MAX(0,MIN(O27-P27,$B27-(E27+I27+M27)))</f>
        <v>0</v>
      </c>
      <c r="R27" s="43" t="n">
        <f aca="false">MAX(0,O27-P27-Q27)</f>
        <v>0</v>
      </c>
      <c r="S27" s="43" t="n">
        <f aca="false">IF(V26&gt;0.005,V26*(1+Ordem!$E$10),0)</f>
        <v>0</v>
      </c>
      <c r="T27" s="43" t="n">
        <f aca="false">MIN(S27,Ordem!$F$10)</f>
        <v>0</v>
      </c>
      <c r="U27" s="43" t="n">
        <f aca="false">MAX(0,MIN(S27-T27,$B27-(E27+I27+M27+Q27)))</f>
        <v>0</v>
      </c>
      <c r="V27" s="43" t="n">
        <f aca="false">MAX(0,S27-T27-U27)</f>
        <v>0</v>
      </c>
      <c r="W27" s="43" t="n">
        <f aca="false">IF(Z26&gt;0.005,Z26*(1+Ordem!$E$11),0)</f>
        <v>0</v>
      </c>
      <c r="X27" s="43" t="n">
        <f aca="false">MIN(W27,Ordem!$F$11)</f>
        <v>0</v>
      </c>
      <c r="Y27" s="43" t="n">
        <f aca="false">MAX(0,MIN(W27-X27,$B27-(E27+I27+M27+Q27+U27)))</f>
        <v>0</v>
      </c>
      <c r="Z27" s="43" t="n">
        <f aca="false">MAX(0,W27-X27-Y27)</f>
        <v>0</v>
      </c>
      <c r="AA27" s="43" t="n">
        <f aca="false">IF(AD26&gt;0.005,AD26*(1+Ordem!$E$12),0)</f>
        <v>0</v>
      </c>
      <c r="AB27" s="43" t="n">
        <f aca="false">MIN(AA27,Ordem!$F$12)</f>
        <v>0</v>
      </c>
      <c r="AC27" s="43" t="n">
        <f aca="false">MAX(0,MIN(AA27-AB27,$B27-(E27+I27+M27+Q27+U27+Y27)))</f>
        <v>0</v>
      </c>
      <c r="AD27" s="43" t="n">
        <f aca="false">MAX(0,AA27-AB27-AC27)</f>
        <v>0</v>
      </c>
      <c r="AE27" s="43" t="n">
        <f aca="false">IF(AH26&gt;0.005,AH26*(1+Ordem!$E$13),0)</f>
        <v>0</v>
      </c>
      <c r="AF27" s="43" t="n">
        <f aca="false">MIN(AE27,Ordem!$F$13)</f>
        <v>0</v>
      </c>
      <c r="AG27" s="43" t="n">
        <f aca="false">MAX(0,MIN(AE27-AF27,$B27-(E27+I27+M27+Q27+U27+Y27+AC27)))</f>
        <v>0</v>
      </c>
      <c r="AH27" s="43" t="n">
        <f aca="false">MAX(0,AE27-AF27-AG27)</f>
        <v>0</v>
      </c>
      <c r="AI27" s="43" t="n">
        <f aca="false">IF(AL26&gt;0.005,AL26*(1+Ordem!$E$14),0)</f>
        <v>0</v>
      </c>
      <c r="AJ27" s="43" t="n">
        <f aca="false">MIN(AI27,Ordem!$F$14)</f>
        <v>0</v>
      </c>
      <c r="AK27" s="43" t="n">
        <f aca="false">MAX(0,MIN(AI27-AJ27,$B27-(E27+I27+M27+Q27+U27+Y27+AC27+AG27)))</f>
        <v>0</v>
      </c>
      <c r="AL27" s="43" t="n">
        <f aca="false">MAX(0,AI27-AJ27-AK27)</f>
        <v>0</v>
      </c>
      <c r="AM27" s="43" t="n">
        <f aca="false">IF(AP26&gt;0.005,AP26*(1+Ordem!$E$15),0)</f>
        <v>0</v>
      </c>
      <c r="AN27" s="43" t="n">
        <f aca="false">MIN(AM27,Ordem!$F$15)</f>
        <v>0</v>
      </c>
      <c r="AO27" s="43" t="n">
        <f aca="false">MAX(0,MIN(AM27-AN27,$B27-(E27+I27+M27+Q27+U27+Y27+AC27+AG27+AK27)))</f>
        <v>0</v>
      </c>
      <c r="AP27" s="43" t="n">
        <f aca="false">MAX(0,AM27-AN27-AO27)</f>
        <v>0</v>
      </c>
      <c r="AQ27" s="43" t="n">
        <f aca="false">F27+J27+N27+R27+V27+Z27+AD27+AH27+AL27+AP27</f>
        <v>0</v>
      </c>
      <c r="AR27" s="43" t="n">
        <f aca="false">D27+E27+H27+I27+L27+M27+P27+Q27+T27+U27+X27+Y27+AB27+AC27+AF27+AG27+AJ27+AK27+AN27+AO27</f>
        <v>0</v>
      </c>
    </row>
    <row r="28" customFormat="false" ht="15" hidden="false" customHeight="false" outlineLevel="0" collapsed="false">
      <c r="A28" s="0" t="n">
        <v>24</v>
      </c>
      <c r="B28" s="43" t="n">
        <f aca="false">MAX(0,Dívidas!$C$20-(D28+H28+L28+P28+T28+X28+AB28+AF28+AJ28+AN28))</f>
        <v>1450</v>
      </c>
      <c r="C28" s="43" t="n">
        <f aca="false">IF(F27&gt;0.005,F27*(1+Ordem!$E$6),0)</f>
        <v>0</v>
      </c>
      <c r="D28" s="43" t="n">
        <f aca="false">MIN(C28,Ordem!$F$6)</f>
        <v>0</v>
      </c>
      <c r="E28" s="43" t="n">
        <f aca="false">MAX(0,MIN(C28-D28,$B28-(0)))</f>
        <v>0</v>
      </c>
      <c r="F28" s="43" t="n">
        <f aca="false">MAX(0,C28-D28-E28)</f>
        <v>0</v>
      </c>
      <c r="G28" s="43" t="n">
        <f aca="false">IF(J27&gt;0.005,J27*(1+Ordem!$E$7),0)</f>
        <v>0</v>
      </c>
      <c r="H28" s="43" t="n">
        <f aca="false">MIN(G28,Ordem!$F$7)</f>
        <v>0</v>
      </c>
      <c r="I28" s="43" t="n">
        <f aca="false">MAX(0,MIN(G28-H28,$B28-(E28)))</f>
        <v>0</v>
      </c>
      <c r="J28" s="43" t="n">
        <f aca="false">MAX(0,G28-H28-I28)</f>
        <v>0</v>
      </c>
      <c r="K28" s="43" t="n">
        <f aca="false">IF(N27&gt;0.005,N27*(1+Ordem!$E$8),0)</f>
        <v>0</v>
      </c>
      <c r="L28" s="43" t="n">
        <f aca="false">MIN(K28,Ordem!$F$8)</f>
        <v>0</v>
      </c>
      <c r="M28" s="43" t="n">
        <f aca="false">MAX(0,MIN(K28-L28,$B28-(E28+I28)))</f>
        <v>0</v>
      </c>
      <c r="N28" s="43" t="n">
        <f aca="false">MAX(0,K28-L28-M28)</f>
        <v>0</v>
      </c>
      <c r="O28" s="43" t="n">
        <f aca="false">IF(R27&gt;0.005,R27*(1+Ordem!$E$9),0)</f>
        <v>0</v>
      </c>
      <c r="P28" s="43" t="n">
        <f aca="false">MIN(O28,Ordem!$F$9)</f>
        <v>0</v>
      </c>
      <c r="Q28" s="43" t="n">
        <f aca="false">MAX(0,MIN(O28-P28,$B28-(E28+I28+M28)))</f>
        <v>0</v>
      </c>
      <c r="R28" s="43" t="n">
        <f aca="false">MAX(0,O28-P28-Q28)</f>
        <v>0</v>
      </c>
      <c r="S28" s="43" t="n">
        <f aca="false">IF(V27&gt;0.005,V27*(1+Ordem!$E$10),0)</f>
        <v>0</v>
      </c>
      <c r="T28" s="43" t="n">
        <f aca="false">MIN(S28,Ordem!$F$10)</f>
        <v>0</v>
      </c>
      <c r="U28" s="43" t="n">
        <f aca="false">MAX(0,MIN(S28-T28,$B28-(E28+I28+M28+Q28)))</f>
        <v>0</v>
      </c>
      <c r="V28" s="43" t="n">
        <f aca="false">MAX(0,S28-T28-U28)</f>
        <v>0</v>
      </c>
      <c r="W28" s="43" t="n">
        <f aca="false">IF(Z27&gt;0.005,Z27*(1+Ordem!$E$11),0)</f>
        <v>0</v>
      </c>
      <c r="X28" s="43" t="n">
        <f aca="false">MIN(W28,Ordem!$F$11)</f>
        <v>0</v>
      </c>
      <c r="Y28" s="43" t="n">
        <f aca="false">MAX(0,MIN(W28-X28,$B28-(E28+I28+M28+Q28+U28)))</f>
        <v>0</v>
      </c>
      <c r="Z28" s="43" t="n">
        <f aca="false">MAX(0,W28-X28-Y28)</f>
        <v>0</v>
      </c>
      <c r="AA28" s="43" t="n">
        <f aca="false">IF(AD27&gt;0.005,AD27*(1+Ordem!$E$12),0)</f>
        <v>0</v>
      </c>
      <c r="AB28" s="43" t="n">
        <f aca="false">MIN(AA28,Ordem!$F$12)</f>
        <v>0</v>
      </c>
      <c r="AC28" s="43" t="n">
        <f aca="false">MAX(0,MIN(AA28-AB28,$B28-(E28+I28+M28+Q28+U28+Y28)))</f>
        <v>0</v>
      </c>
      <c r="AD28" s="43" t="n">
        <f aca="false">MAX(0,AA28-AB28-AC28)</f>
        <v>0</v>
      </c>
      <c r="AE28" s="43" t="n">
        <f aca="false">IF(AH27&gt;0.005,AH27*(1+Ordem!$E$13),0)</f>
        <v>0</v>
      </c>
      <c r="AF28" s="43" t="n">
        <f aca="false">MIN(AE28,Ordem!$F$13)</f>
        <v>0</v>
      </c>
      <c r="AG28" s="43" t="n">
        <f aca="false">MAX(0,MIN(AE28-AF28,$B28-(E28+I28+M28+Q28+U28+Y28+AC28)))</f>
        <v>0</v>
      </c>
      <c r="AH28" s="43" t="n">
        <f aca="false">MAX(0,AE28-AF28-AG28)</f>
        <v>0</v>
      </c>
      <c r="AI28" s="43" t="n">
        <f aca="false">IF(AL27&gt;0.005,AL27*(1+Ordem!$E$14),0)</f>
        <v>0</v>
      </c>
      <c r="AJ28" s="43" t="n">
        <f aca="false">MIN(AI28,Ordem!$F$14)</f>
        <v>0</v>
      </c>
      <c r="AK28" s="43" t="n">
        <f aca="false">MAX(0,MIN(AI28-AJ28,$B28-(E28+I28+M28+Q28+U28+Y28+AC28+AG28)))</f>
        <v>0</v>
      </c>
      <c r="AL28" s="43" t="n">
        <f aca="false">MAX(0,AI28-AJ28-AK28)</f>
        <v>0</v>
      </c>
      <c r="AM28" s="43" t="n">
        <f aca="false">IF(AP27&gt;0.005,AP27*(1+Ordem!$E$15),0)</f>
        <v>0</v>
      </c>
      <c r="AN28" s="43" t="n">
        <f aca="false">MIN(AM28,Ordem!$F$15)</f>
        <v>0</v>
      </c>
      <c r="AO28" s="43" t="n">
        <f aca="false">MAX(0,MIN(AM28-AN28,$B28-(E28+I28+M28+Q28+U28+Y28+AC28+AG28+AK28)))</f>
        <v>0</v>
      </c>
      <c r="AP28" s="43" t="n">
        <f aca="false">MAX(0,AM28-AN28-AO28)</f>
        <v>0</v>
      </c>
      <c r="AQ28" s="43" t="n">
        <f aca="false">F28+J28+N28+R28+V28+Z28+AD28+AH28+AL28+AP28</f>
        <v>0</v>
      </c>
      <c r="AR28" s="43" t="n">
        <f aca="false">D28+E28+H28+I28+L28+M28+P28+Q28+T28+U28+X28+Y28+AB28+AC28+AF28+AG28+AJ28+AK28+AN28+AO28</f>
        <v>0</v>
      </c>
    </row>
    <row r="29" customFormat="false" ht="15" hidden="false" customHeight="false" outlineLevel="0" collapsed="false">
      <c r="A29" s="0" t="n">
        <v>25</v>
      </c>
      <c r="B29" s="43" t="n">
        <f aca="false">MAX(0,Dívidas!$C$20-(D29+H29+L29+P29+T29+X29+AB29+AF29+AJ29+AN29))</f>
        <v>1450</v>
      </c>
      <c r="C29" s="43" t="n">
        <f aca="false">IF(F28&gt;0.005,F28*(1+Ordem!$E$6),0)</f>
        <v>0</v>
      </c>
      <c r="D29" s="43" t="n">
        <f aca="false">MIN(C29,Ordem!$F$6)</f>
        <v>0</v>
      </c>
      <c r="E29" s="43" t="n">
        <f aca="false">MAX(0,MIN(C29-D29,$B29-(0)))</f>
        <v>0</v>
      </c>
      <c r="F29" s="43" t="n">
        <f aca="false">MAX(0,C29-D29-E29)</f>
        <v>0</v>
      </c>
      <c r="G29" s="43" t="n">
        <f aca="false">IF(J28&gt;0.005,J28*(1+Ordem!$E$7),0)</f>
        <v>0</v>
      </c>
      <c r="H29" s="43" t="n">
        <f aca="false">MIN(G29,Ordem!$F$7)</f>
        <v>0</v>
      </c>
      <c r="I29" s="43" t="n">
        <f aca="false">MAX(0,MIN(G29-H29,$B29-(E29)))</f>
        <v>0</v>
      </c>
      <c r="J29" s="43" t="n">
        <f aca="false">MAX(0,G29-H29-I29)</f>
        <v>0</v>
      </c>
      <c r="K29" s="43" t="n">
        <f aca="false">IF(N28&gt;0.005,N28*(1+Ordem!$E$8),0)</f>
        <v>0</v>
      </c>
      <c r="L29" s="43" t="n">
        <f aca="false">MIN(K29,Ordem!$F$8)</f>
        <v>0</v>
      </c>
      <c r="M29" s="43" t="n">
        <f aca="false">MAX(0,MIN(K29-L29,$B29-(E29+I29)))</f>
        <v>0</v>
      </c>
      <c r="N29" s="43" t="n">
        <f aca="false">MAX(0,K29-L29-M29)</f>
        <v>0</v>
      </c>
      <c r="O29" s="43" t="n">
        <f aca="false">IF(R28&gt;0.005,R28*(1+Ordem!$E$9),0)</f>
        <v>0</v>
      </c>
      <c r="P29" s="43" t="n">
        <f aca="false">MIN(O29,Ordem!$F$9)</f>
        <v>0</v>
      </c>
      <c r="Q29" s="43" t="n">
        <f aca="false">MAX(0,MIN(O29-P29,$B29-(E29+I29+M29)))</f>
        <v>0</v>
      </c>
      <c r="R29" s="43" t="n">
        <f aca="false">MAX(0,O29-P29-Q29)</f>
        <v>0</v>
      </c>
      <c r="S29" s="43" t="n">
        <f aca="false">IF(V28&gt;0.005,V28*(1+Ordem!$E$10),0)</f>
        <v>0</v>
      </c>
      <c r="T29" s="43" t="n">
        <f aca="false">MIN(S29,Ordem!$F$10)</f>
        <v>0</v>
      </c>
      <c r="U29" s="43" t="n">
        <f aca="false">MAX(0,MIN(S29-T29,$B29-(E29+I29+M29+Q29)))</f>
        <v>0</v>
      </c>
      <c r="V29" s="43" t="n">
        <f aca="false">MAX(0,S29-T29-U29)</f>
        <v>0</v>
      </c>
      <c r="W29" s="43" t="n">
        <f aca="false">IF(Z28&gt;0.005,Z28*(1+Ordem!$E$11),0)</f>
        <v>0</v>
      </c>
      <c r="X29" s="43" t="n">
        <f aca="false">MIN(W29,Ordem!$F$11)</f>
        <v>0</v>
      </c>
      <c r="Y29" s="43" t="n">
        <f aca="false">MAX(0,MIN(W29-X29,$B29-(E29+I29+M29+Q29+U29)))</f>
        <v>0</v>
      </c>
      <c r="Z29" s="43" t="n">
        <f aca="false">MAX(0,W29-X29-Y29)</f>
        <v>0</v>
      </c>
      <c r="AA29" s="43" t="n">
        <f aca="false">IF(AD28&gt;0.005,AD28*(1+Ordem!$E$12),0)</f>
        <v>0</v>
      </c>
      <c r="AB29" s="43" t="n">
        <f aca="false">MIN(AA29,Ordem!$F$12)</f>
        <v>0</v>
      </c>
      <c r="AC29" s="43" t="n">
        <f aca="false">MAX(0,MIN(AA29-AB29,$B29-(E29+I29+M29+Q29+U29+Y29)))</f>
        <v>0</v>
      </c>
      <c r="AD29" s="43" t="n">
        <f aca="false">MAX(0,AA29-AB29-AC29)</f>
        <v>0</v>
      </c>
      <c r="AE29" s="43" t="n">
        <f aca="false">IF(AH28&gt;0.005,AH28*(1+Ordem!$E$13),0)</f>
        <v>0</v>
      </c>
      <c r="AF29" s="43" t="n">
        <f aca="false">MIN(AE29,Ordem!$F$13)</f>
        <v>0</v>
      </c>
      <c r="AG29" s="43" t="n">
        <f aca="false">MAX(0,MIN(AE29-AF29,$B29-(E29+I29+M29+Q29+U29+Y29+AC29)))</f>
        <v>0</v>
      </c>
      <c r="AH29" s="43" t="n">
        <f aca="false">MAX(0,AE29-AF29-AG29)</f>
        <v>0</v>
      </c>
      <c r="AI29" s="43" t="n">
        <f aca="false">IF(AL28&gt;0.005,AL28*(1+Ordem!$E$14),0)</f>
        <v>0</v>
      </c>
      <c r="AJ29" s="43" t="n">
        <f aca="false">MIN(AI29,Ordem!$F$14)</f>
        <v>0</v>
      </c>
      <c r="AK29" s="43" t="n">
        <f aca="false">MAX(0,MIN(AI29-AJ29,$B29-(E29+I29+M29+Q29+U29+Y29+AC29+AG29)))</f>
        <v>0</v>
      </c>
      <c r="AL29" s="43" t="n">
        <f aca="false">MAX(0,AI29-AJ29-AK29)</f>
        <v>0</v>
      </c>
      <c r="AM29" s="43" t="n">
        <f aca="false">IF(AP28&gt;0.005,AP28*(1+Ordem!$E$15),0)</f>
        <v>0</v>
      </c>
      <c r="AN29" s="43" t="n">
        <f aca="false">MIN(AM29,Ordem!$F$15)</f>
        <v>0</v>
      </c>
      <c r="AO29" s="43" t="n">
        <f aca="false">MAX(0,MIN(AM29-AN29,$B29-(E29+I29+M29+Q29+U29+Y29+AC29+AG29+AK29)))</f>
        <v>0</v>
      </c>
      <c r="AP29" s="43" t="n">
        <f aca="false">MAX(0,AM29-AN29-AO29)</f>
        <v>0</v>
      </c>
      <c r="AQ29" s="43" t="n">
        <f aca="false">F29+J29+N29+R29+V29+Z29+AD29+AH29+AL29+AP29</f>
        <v>0</v>
      </c>
      <c r="AR29" s="43" t="n">
        <f aca="false">D29+E29+H29+I29+L29+M29+P29+Q29+T29+U29+X29+Y29+AB29+AC29+AF29+AG29+AJ29+AK29+AN29+AO29</f>
        <v>0</v>
      </c>
    </row>
    <row r="30" customFormat="false" ht="15" hidden="false" customHeight="false" outlineLevel="0" collapsed="false">
      <c r="A30" s="0" t="n">
        <v>26</v>
      </c>
      <c r="B30" s="43" t="n">
        <f aca="false">MAX(0,Dívidas!$C$20-(D30+H30+L30+P30+T30+X30+AB30+AF30+AJ30+AN30))</f>
        <v>1450</v>
      </c>
      <c r="C30" s="43" t="n">
        <f aca="false">IF(F29&gt;0.005,F29*(1+Ordem!$E$6),0)</f>
        <v>0</v>
      </c>
      <c r="D30" s="43" t="n">
        <f aca="false">MIN(C30,Ordem!$F$6)</f>
        <v>0</v>
      </c>
      <c r="E30" s="43" t="n">
        <f aca="false">MAX(0,MIN(C30-D30,$B30-(0)))</f>
        <v>0</v>
      </c>
      <c r="F30" s="43" t="n">
        <f aca="false">MAX(0,C30-D30-E30)</f>
        <v>0</v>
      </c>
      <c r="G30" s="43" t="n">
        <f aca="false">IF(J29&gt;0.005,J29*(1+Ordem!$E$7),0)</f>
        <v>0</v>
      </c>
      <c r="H30" s="43" t="n">
        <f aca="false">MIN(G30,Ordem!$F$7)</f>
        <v>0</v>
      </c>
      <c r="I30" s="43" t="n">
        <f aca="false">MAX(0,MIN(G30-H30,$B30-(E30)))</f>
        <v>0</v>
      </c>
      <c r="J30" s="43" t="n">
        <f aca="false">MAX(0,G30-H30-I30)</f>
        <v>0</v>
      </c>
      <c r="K30" s="43" t="n">
        <f aca="false">IF(N29&gt;0.005,N29*(1+Ordem!$E$8),0)</f>
        <v>0</v>
      </c>
      <c r="L30" s="43" t="n">
        <f aca="false">MIN(K30,Ordem!$F$8)</f>
        <v>0</v>
      </c>
      <c r="M30" s="43" t="n">
        <f aca="false">MAX(0,MIN(K30-L30,$B30-(E30+I30)))</f>
        <v>0</v>
      </c>
      <c r="N30" s="43" t="n">
        <f aca="false">MAX(0,K30-L30-M30)</f>
        <v>0</v>
      </c>
      <c r="O30" s="43" t="n">
        <f aca="false">IF(R29&gt;0.005,R29*(1+Ordem!$E$9),0)</f>
        <v>0</v>
      </c>
      <c r="P30" s="43" t="n">
        <f aca="false">MIN(O30,Ordem!$F$9)</f>
        <v>0</v>
      </c>
      <c r="Q30" s="43" t="n">
        <f aca="false">MAX(0,MIN(O30-P30,$B30-(E30+I30+M30)))</f>
        <v>0</v>
      </c>
      <c r="R30" s="43" t="n">
        <f aca="false">MAX(0,O30-P30-Q30)</f>
        <v>0</v>
      </c>
      <c r="S30" s="43" t="n">
        <f aca="false">IF(V29&gt;0.005,V29*(1+Ordem!$E$10),0)</f>
        <v>0</v>
      </c>
      <c r="T30" s="43" t="n">
        <f aca="false">MIN(S30,Ordem!$F$10)</f>
        <v>0</v>
      </c>
      <c r="U30" s="43" t="n">
        <f aca="false">MAX(0,MIN(S30-T30,$B30-(E30+I30+M30+Q30)))</f>
        <v>0</v>
      </c>
      <c r="V30" s="43" t="n">
        <f aca="false">MAX(0,S30-T30-U30)</f>
        <v>0</v>
      </c>
      <c r="W30" s="43" t="n">
        <f aca="false">IF(Z29&gt;0.005,Z29*(1+Ordem!$E$11),0)</f>
        <v>0</v>
      </c>
      <c r="X30" s="43" t="n">
        <f aca="false">MIN(W30,Ordem!$F$11)</f>
        <v>0</v>
      </c>
      <c r="Y30" s="43" t="n">
        <f aca="false">MAX(0,MIN(W30-X30,$B30-(E30+I30+M30+Q30+U30)))</f>
        <v>0</v>
      </c>
      <c r="Z30" s="43" t="n">
        <f aca="false">MAX(0,W30-X30-Y30)</f>
        <v>0</v>
      </c>
      <c r="AA30" s="43" t="n">
        <f aca="false">IF(AD29&gt;0.005,AD29*(1+Ordem!$E$12),0)</f>
        <v>0</v>
      </c>
      <c r="AB30" s="43" t="n">
        <f aca="false">MIN(AA30,Ordem!$F$12)</f>
        <v>0</v>
      </c>
      <c r="AC30" s="43" t="n">
        <f aca="false">MAX(0,MIN(AA30-AB30,$B30-(E30+I30+M30+Q30+U30+Y30)))</f>
        <v>0</v>
      </c>
      <c r="AD30" s="43" t="n">
        <f aca="false">MAX(0,AA30-AB30-AC30)</f>
        <v>0</v>
      </c>
      <c r="AE30" s="43" t="n">
        <f aca="false">IF(AH29&gt;0.005,AH29*(1+Ordem!$E$13),0)</f>
        <v>0</v>
      </c>
      <c r="AF30" s="43" t="n">
        <f aca="false">MIN(AE30,Ordem!$F$13)</f>
        <v>0</v>
      </c>
      <c r="AG30" s="43" t="n">
        <f aca="false">MAX(0,MIN(AE30-AF30,$B30-(E30+I30+M30+Q30+U30+Y30+AC30)))</f>
        <v>0</v>
      </c>
      <c r="AH30" s="43" t="n">
        <f aca="false">MAX(0,AE30-AF30-AG30)</f>
        <v>0</v>
      </c>
      <c r="AI30" s="43" t="n">
        <f aca="false">IF(AL29&gt;0.005,AL29*(1+Ordem!$E$14),0)</f>
        <v>0</v>
      </c>
      <c r="AJ30" s="43" t="n">
        <f aca="false">MIN(AI30,Ordem!$F$14)</f>
        <v>0</v>
      </c>
      <c r="AK30" s="43" t="n">
        <f aca="false">MAX(0,MIN(AI30-AJ30,$B30-(E30+I30+M30+Q30+U30+Y30+AC30+AG30)))</f>
        <v>0</v>
      </c>
      <c r="AL30" s="43" t="n">
        <f aca="false">MAX(0,AI30-AJ30-AK30)</f>
        <v>0</v>
      </c>
      <c r="AM30" s="43" t="n">
        <f aca="false">IF(AP29&gt;0.005,AP29*(1+Ordem!$E$15),0)</f>
        <v>0</v>
      </c>
      <c r="AN30" s="43" t="n">
        <f aca="false">MIN(AM30,Ordem!$F$15)</f>
        <v>0</v>
      </c>
      <c r="AO30" s="43" t="n">
        <f aca="false">MAX(0,MIN(AM30-AN30,$B30-(E30+I30+M30+Q30+U30+Y30+AC30+AG30+AK30)))</f>
        <v>0</v>
      </c>
      <c r="AP30" s="43" t="n">
        <f aca="false">MAX(0,AM30-AN30-AO30)</f>
        <v>0</v>
      </c>
      <c r="AQ30" s="43" t="n">
        <f aca="false">F30+J30+N30+R30+V30+Z30+AD30+AH30+AL30+AP30</f>
        <v>0</v>
      </c>
      <c r="AR30" s="43" t="n">
        <f aca="false">D30+E30+H30+I30+L30+M30+P30+Q30+T30+U30+X30+Y30+AB30+AC30+AF30+AG30+AJ30+AK30+AN30+AO30</f>
        <v>0</v>
      </c>
    </row>
    <row r="31" customFormat="false" ht="15" hidden="false" customHeight="false" outlineLevel="0" collapsed="false">
      <c r="A31" s="0" t="n">
        <v>27</v>
      </c>
      <c r="B31" s="43" t="n">
        <f aca="false">MAX(0,Dívidas!$C$20-(D31+H31+L31+P31+T31+X31+AB31+AF31+AJ31+AN31))</f>
        <v>1450</v>
      </c>
      <c r="C31" s="43" t="n">
        <f aca="false">IF(F30&gt;0.005,F30*(1+Ordem!$E$6),0)</f>
        <v>0</v>
      </c>
      <c r="D31" s="43" t="n">
        <f aca="false">MIN(C31,Ordem!$F$6)</f>
        <v>0</v>
      </c>
      <c r="E31" s="43" t="n">
        <f aca="false">MAX(0,MIN(C31-D31,$B31-(0)))</f>
        <v>0</v>
      </c>
      <c r="F31" s="43" t="n">
        <f aca="false">MAX(0,C31-D31-E31)</f>
        <v>0</v>
      </c>
      <c r="G31" s="43" t="n">
        <f aca="false">IF(J30&gt;0.005,J30*(1+Ordem!$E$7),0)</f>
        <v>0</v>
      </c>
      <c r="H31" s="43" t="n">
        <f aca="false">MIN(G31,Ordem!$F$7)</f>
        <v>0</v>
      </c>
      <c r="I31" s="43" t="n">
        <f aca="false">MAX(0,MIN(G31-H31,$B31-(E31)))</f>
        <v>0</v>
      </c>
      <c r="J31" s="43" t="n">
        <f aca="false">MAX(0,G31-H31-I31)</f>
        <v>0</v>
      </c>
      <c r="K31" s="43" t="n">
        <f aca="false">IF(N30&gt;0.005,N30*(1+Ordem!$E$8),0)</f>
        <v>0</v>
      </c>
      <c r="L31" s="43" t="n">
        <f aca="false">MIN(K31,Ordem!$F$8)</f>
        <v>0</v>
      </c>
      <c r="M31" s="43" t="n">
        <f aca="false">MAX(0,MIN(K31-L31,$B31-(E31+I31)))</f>
        <v>0</v>
      </c>
      <c r="N31" s="43" t="n">
        <f aca="false">MAX(0,K31-L31-M31)</f>
        <v>0</v>
      </c>
      <c r="O31" s="43" t="n">
        <f aca="false">IF(R30&gt;0.005,R30*(1+Ordem!$E$9),0)</f>
        <v>0</v>
      </c>
      <c r="P31" s="43" t="n">
        <f aca="false">MIN(O31,Ordem!$F$9)</f>
        <v>0</v>
      </c>
      <c r="Q31" s="43" t="n">
        <f aca="false">MAX(0,MIN(O31-P31,$B31-(E31+I31+M31)))</f>
        <v>0</v>
      </c>
      <c r="R31" s="43" t="n">
        <f aca="false">MAX(0,O31-P31-Q31)</f>
        <v>0</v>
      </c>
      <c r="S31" s="43" t="n">
        <f aca="false">IF(V30&gt;0.005,V30*(1+Ordem!$E$10),0)</f>
        <v>0</v>
      </c>
      <c r="T31" s="43" t="n">
        <f aca="false">MIN(S31,Ordem!$F$10)</f>
        <v>0</v>
      </c>
      <c r="U31" s="43" t="n">
        <f aca="false">MAX(0,MIN(S31-T31,$B31-(E31+I31+M31+Q31)))</f>
        <v>0</v>
      </c>
      <c r="V31" s="43" t="n">
        <f aca="false">MAX(0,S31-T31-U31)</f>
        <v>0</v>
      </c>
      <c r="W31" s="43" t="n">
        <f aca="false">IF(Z30&gt;0.005,Z30*(1+Ordem!$E$11),0)</f>
        <v>0</v>
      </c>
      <c r="X31" s="43" t="n">
        <f aca="false">MIN(W31,Ordem!$F$11)</f>
        <v>0</v>
      </c>
      <c r="Y31" s="43" t="n">
        <f aca="false">MAX(0,MIN(W31-X31,$B31-(E31+I31+M31+Q31+U31)))</f>
        <v>0</v>
      </c>
      <c r="Z31" s="43" t="n">
        <f aca="false">MAX(0,W31-X31-Y31)</f>
        <v>0</v>
      </c>
      <c r="AA31" s="43" t="n">
        <f aca="false">IF(AD30&gt;0.005,AD30*(1+Ordem!$E$12),0)</f>
        <v>0</v>
      </c>
      <c r="AB31" s="43" t="n">
        <f aca="false">MIN(AA31,Ordem!$F$12)</f>
        <v>0</v>
      </c>
      <c r="AC31" s="43" t="n">
        <f aca="false">MAX(0,MIN(AA31-AB31,$B31-(E31+I31+M31+Q31+U31+Y31)))</f>
        <v>0</v>
      </c>
      <c r="AD31" s="43" t="n">
        <f aca="false">MAX(0,AA31-AB31-AC31)</f>
        <v>0</v>
      </c>
      <c r="AE31" s="43" t="n">
        <f aca="false">IF(AH30&gt;0.005,AH30*(1+Ordem!$E$13),0)</f>
        <v>0</v>
      </c>
      <c r="AF31" s="43" t="n">
        <f aca="false">MIN(AE31,Ordem!$F$13)</f>
        <v>0</v>
      </c>
      <c r="AG31" s="43" t="n">
        <f aca="false">MAX(0,MIN(AE31-AF31,$B31-(E31+I31+M31+Q31+U31+Y31+AC31)))</f>
        <v>0</v>
      </c>
      <c r="AH31" s="43" t="n">
        <f aca="false">MAX(0,AE31-AF31-AG31)</f>
        <v>0</v>
      </c>
      <c r="AI31" s="43" t="n">
        <f aca="false">IF(AL30&gt;0.005,AL30*(1+Ordem!$E$14),0)</f>
        <v>0</v>
      </c>
      <c r="AJ31" s="43" t="n">
        <f aca="false">MIN(AI31,Ordem!$F$14)</f>
        <v>0</v>
      </c>
      <c r="AK31" s="43" t="n">
        <f aca="false">MAX(0,MIN(AI31-AJ31,$B31-(E31+I31+M31+Q31+U31+Y31+AC31+AG31)))</f>
        <v>0</v>
      </c>
      <c r="AL31" s="43" t="n">
        <f aca="false">MAX(0,AI31-AJ31-AK31)</f>
        <v>0</v>
      </c>
      <c r="AM31" s="43" t="n">
        <f aca="false">IF(AP30&gt;0.005,AP30*(1+Ordem!$E$15),0)</f>
        <v>0</v>
      </c>
      <c r="AN31" s="43" t="n">
        <f aca="false">MIN(AM31,Ordem!$F$15)</f>
        <v>0</v>
      </c>
      <c r="AO31" s="43" t="n">
        <f aca="false">MAX(0,MIN(AM31-AN31,$B31-(E31+I31+M31+Q31+U31+Y31+AC31+AG31+AK31)))</f>
        <v>0</v>
      </c>
      <c r="AP31" s="43" t="n">
        <f aca="false">MAX(0,AM31-AN31-AO31)</f>
        <v>0</v>
      </c>
      <c r="AQ31" s="43" t="n">
        <f aca="false">F31+J31+N31+R31+V31+Z31+AD31+AH31+AL31+AP31</f>
        <v>0</v>
      </c>
      <c r="AR31" s="43" t="n">
        <f aca="false">D31+E31+H31+I31+L31+M31+P31+Q31+T31+U31+X31+Y31+AB31+AC31+AF31+AG31+AJ31+AK31+AN31+AO31</f>
        <v>0</v>
      </c>
    </row>
    <row r="32" customFormat="false" ht="15" hidden="false" customHeight="false" outlineLevel="0" collapsed="false">
      <c r="A32" s="0" t="n">
        <v>28</v>
      </c>
      <c r="B32" s="43" t="n">
        <f aca="false">MAX(0,Dívidas!$C$20-(D32+H32+L32+P32+T32+X32+AB32+AF32+AJ32+AN32))</f>
        <v>1450</v>
      </c>
      <c r="C32" s="43" t="n">
        <f aca="false">IF(F31&gt;0.005,F31*(1+Ordem!$E$6),0)</f>
        <v>0</v>
      </c>
      <c r="D32" s="43" t="n">
        <f aca="false">MIN(C32,Ordem!$F$6)</f>
        <v>0</v>
      </c>
      <c r="E32" s="43" t="n">
        <f aca="false">MAX(0,MIN(C32-D32,$B32-(0)))</f>
        <v>0</v>
      </c>
      <c r="F32" s="43" t="n">
        <f aca="false">MAX(0,C32-D32-E32)</f>
        <v>0</v>
      </c>
      <c r="G32" s="43" t="n">
        <f aca="false">IF(J31&gt;0.005,J31*(1+Ordem!$E$7),0)</f>
        <v>0</v>
      </c>
      <c r="H32" s="43" t="n">
        <f aca="false">MIN(G32,Ordem!$F$7)</f>
        <v>0</v>
      </c>
      <c r="I32" s="43" t="n">
        <f aca="false">MAX(0,MIN(G32-H32,$B32-(E32)))</f>
        <v>0</v>
      </c>
      <c r="J32" s="43" t="n">
        <f aca="false">MAX(0,G32-H32-I32)</f>
        <v>0</v>
      </c>
      <c r="K32" s="43" t="n">
        <f aca="false">IF(N31&gt;0.005,N31*(1+Ordem!$E$8),0)</f>
        <v>0</v>
      </c>
      <c r="L32" s="43" t="n">
        <f aca="false">MIN(K32,Ordem!$F$8)</f>
        <v>0</v>
      </c>
      <c r="M32" s="43" t="n">
        <f aca="false">MAX(0,MIN(K32-L32,$B32-(E32+I32)))</f>
        <v>0</v>
      </c>
      <c r="N32" s="43" t="n">
        <f aca="false">MAX(0,K32-L32-M32)</f>
        <v>0</v>
      </c>
      <c r="O32" s="43" t="n">
        <f aca="false">IF(R31&gt;0.005,R31*(1+Ordem!$E$9),0)</f>
        <v>0</v>
      </c>
      <c r="P32" s="43" t="n">
        <f aca="false">MIN(O32,Ordem!$F$9)</f>
        <v>0</v>
      </c>
      <c r="Q32" s="43" t="n">
        <f aca="false">MAX(0,MIN(O32-P32,$B32-(E32+I32+M32)))</f>
        <v>0</v>
      </c>
      <c r="R32" s="43" t="n">
        <f aca="false">MAX(0,O32-P32-Q32)</f>
        <v>0</v>
      </c>
      <c r="S32" s="43" t="n">
        <f aca="false">IF(V31&gt;0.005,V31*(1+Ordem!$E$10),0)</f>
        <v>0</v>
      </c>
      <c r="T32" s="43" t="n">
        <f aca="false">MIN(S32,Ordem!$F$10)</f>
        <v>0</v>
      </c>
      <c r="U32" s="43" t="n">
        <f aca="false">MAX(0,MIN(S32-T32,$B32-(E32+I32+M32+Q32)))</f>
        <v>0</v>
      </c>
      <c r="V32" s="43" t="n">
        <f aca="false">MAX(0,S32-T32-U32)</f>
        <v>0</v>
      </c>
      <c r="W32" s="43" t="n">
        <f aca="false">IF(Z31&gt;0.005,Z31*(1+Ordem!$E$11),0)</f>
        <v>0</v>
      </c>
      <c r="X32" s="43" t="n">
        <f aca="false">MIN(W32,Ordem!$F$11)</f>
        <v>0</v>
      </c>
      <c r="Y32" s="43" t="n">
        <f aca="false">MAX(0,MIN(W32-X32,$B32-(E32+I32+M32+Q32+U32)))</f>
        <v>0</v>
      </c>
      <c r="Z32" s="43" t="n">
        <f aca="false">MAX(0,W32-X32-Y32)</f>
        <v>0</v>
      </c>
      <c r="AA32" s="43" t="n">
        <f aca="false">IF(AD31&gt;0.005,AD31*(1+Ordem!$E$12),0)</f>
        <v>0</v>
      </c>
      <c r="AB32" s="43" t="n">
        <f aca="false">MIN(AA32,Ordem!$F$12)</f>
        <v>0</v>
      </c>
      <c r="AC32" s="43" t="n">
        <f aca="false">MAX(0,MIN(AA32-AB32,$B32-(E32+I32+M32+Q32+U32+Y32)))</f>
        <v>0</v>
      </c>
      <c r="AD32" s="43" t="n">
        <f aca="false">MAX(0,AA32-AB32-AC32)</f>
        <v>0</v>
      </c>
      <c r="AE32" s="43" t="n">
        <f aca="false">IF(AH31&gt;0.005,AH31*(1+Ordem!$E$13),0)</f>
        <v>0</v>
      </c>
      <c r="AF32" s="43" t="n">
        <f aca="false">MIN(AE32,Ordem!$F$13)</f>
        <v>0</v>
      </c>
      <c r="AG32" s="43" t="n">
        <f aca="false">MAX(0,MIN(AE32-AF32,$B32-(E32+I32+M32+Q32+U32+Y32+AC32)))</f>
        <v>0</v>
      </c>
      <c r="AH32" s="43" t="n">
        <f aca="false">MAX(0,AE32-AF32-AG32)</f>
        <v>0</v>
      </c>
      <c r="AI32" s="43" t="n">
        <f aca="false">IF(AL31&gt;0.005,AL31*(1+Ordem!$E$14),0)</f>
        <v>0</v>
      </c>
      <c r="AJ32" s="43" t="n">
        <f aca="false">MIN(AI32,Ordem!$F$14)</f>
        <v>0</v>
      </c>
      <c r="AK32" s="43" t="n">
        <f aca="false">MAX(0,MIN(AI32-AJ32,$B32-(E32+I32+M32+Q32+U32+Y32+AC32+AG32)))</f>
        <v>0</v>
      </c>
      <c r="AL32" s="43" t="n">
        <f aca="false">MAX(0,AI32-AJ32-AK32)</f>
        <v>0</v>
      </c>
      <c r="AM32" s="43" t="n">
        <f aca="false">IF(AP31&gt;0.005,AP31*(1+Ordem!$E$15),0)</f>
        <v>0</v>
      </c>
      <c r="AN32" s="43" t="n">
        <f aca="false">MIN(AM32,Ordem!$F$15)</f>
        <v>0</v>
      </c>
      <c r="AO32" s="43" t="n">
        <f aca="false">MAX(0,MIN(AM32-AN32,$B32-(E32+I32+M32+Q32+U32+Y32+AC32+AG32+AK32)))</f>
        <v>0</v>
      </c>
      <c r="AP32" s="43" t="n">
        <f aca="false">MAX(0,AM32-AN32-AO32)</f>
        <v>0</v>
      </c>
      <c r="AQ32" s="43" t="n">
        <f aca="false">F32+J32+N32+R32+V32+Z32+AD32+AH32+AL32+AP32</f>
        <v>0</v>
      </c>
      <c r="AR32" s="43" t="n">
        <f aca="false">D32+E32+H32+I32+L32+M32+P32+Q32+T32+U32+X32+Y32+AB32+AC32+AF32+AG32+AJ32+AK32+AN32+AO32</f>
        <v>0</v>
      </c>
    </row>
    <row r="33" customFormat="false" ht="15" hidden="false" customHeight="false" outlineLevel="0" collapsed="false">
      <c r="A33" s="0" t="n">
        <v>29</v>
      </c>
      <c r="B33" s="43" t="n">
        <f aca="false">MAX(0,Dívidas!$C$20-(D33+H33+L33+P33+T33+X33+AB33+AF33+AJ33+AN33))</f>
        <v>1450</v>
      </c>
      <c r="C33" s="43" t="n">
        <f aca="false">IF(F32&gt;0.005,F32*(1+Ordem!$E$6),0)</f>
        <v>0</v>
      </c>
      <c r="D33" s="43" t="n">
        <f aca="false">MIN(C33,Ordem!$F$6)</f>
        <v>0</v>
      </c>
      <c r="E33" s="43" t="n">
        <f aca="false">MAX(0,MIN(C33-D33,$B33-(0)))</f>
        <v>0</v>
      </c>
      <c r="F33" s="43" t="n">
        <f aca="false">MAX(0,C33-D33-E33)</f>
        <v>0</v>
      </c>
      <c r="G33" s="43" t="n">
        <f aca="false">IF(J32&gt;0.005,J32*(1+Ordem!$E$7),0)</f>
        <v>0</v>
      </c>
      <c r="H33" s="43" t="n">
        <f aca="false">MIN(G33,Ordem!$F$7)</f>
        <v>0</v>
      </c>
      <c r="I33" s="43" t="n">
        <f aca="false">MAX(0,MIN(G33-H33,$B33-(E33)))</f>
        <v>0</v>
      </c>
      <c r="J33" s="43" t="n">
        <f aca="false">MAX(0,G33-H33-I33)</f>
        <v>0</v>
      </c>
      <c r="K33" s="43" t="n">
        <f aca="false">IF(N32&gt;0.005,N32*(1+Ordem!$E$8),0)</f>
        <v>0</v>
      </c>
      <c r="L33" s="43" t="n">
        <f aca="false">MIN(K33,Ordem!$F$8)</f>
        <v>0</v>
      </c>
      <c r="M33" s="43" t="n">
        <f aca="false">MAX(0,MIN(K33-L33,$B33-(E33+I33)))</f>
        <v>0</v>
      </c>
      <c r="N33" s="43" t="n">
        <f aca="false">MAX(0,K33-L33-M33)</f>
        <v>0</v>
      </c>
      <c r="O33" s="43" t="n">
        <f aca="false">IF(R32&gt;0.005,R32*(1+Ordem!$E$9),0)</f>
        <v>0</v>
      </c>
      <c r="P33" s="43" t="n">
        <f aca="false">MIN(O33,Ordem!$F$9)</f>
        <v>0</v>
      </c>
      <c r="Q33" s="43" t="n">
        <f aca="false">MAX(0,MIN(O33-P33,$B33-(E33+I33+M33)))</f>
        <v>0</v>
      </c>
      <c r="R33" s="43" t="n">
        <f aca="false">MAX(0,O33-P33-Q33)</f>
        <v>0</v>
      </c>
      <c r="S33" s="43" t="n">
        <f aca="false">IF(V32&gt;0.005,V32*(1+Ordem!$E$10),0)</f>
        <v>0</v>
      </c>
      <c r="T33" s="43" t="n">
        <f aca="false">MIN(S33,Ordem!$F$10)</f>
        <v>0</v>
      </c>
      <c r="U33" s="43" t="n">
        <f aca="false">MAX(0,MIN(S33-T33,$B33-(E33+I33+M33+Q33)))</f>
        <v>0</v>
      </c>
      <c r="V33" s="43" t="n">
        <f aca="false">MAX(0,S33-T33-U33)</f>
        <v>0</v>
      </c>
      <c r="W33" s="43" t="n">
        <f aca="false">IF(Z32&gt;0.005,Z32*(1+Ordem!$E$11),0)</f>
        <v>0</v>
      </c>
      <c r="X33" s="43" t="n">
        <f aca="false">MIN(W33,Ordem!$F$11)</f>
        <v>0</v>
      </c>
      <c r="Y33" s="43" t="n">
        <f aca="false">MAX(0,MIN(W33-X33,$B33-(E33+I33+M33+Q33+U33)))</f>
        <v>0</v>
      </c>
      <c r="Z33" s="43" t="n">
        <f aca="false">MAX(0,W33-X33-Y33)</f>
        <v>0</v>
      </c>
      <c r="AA33" s="43" t="n">
        <f aca="false">IF(AD32&gt;0.005,AD32*(1+Ordem!$E$12),0)</f>
        <v>0</v>
      </c>
      <c r="AB33" s="43" t="n">
        <f aca="false">MIN(AA33,Ordem!$F$12)</f>
        <v>0</v>
      </c>
      <c r="AC33" s="43" t="n">
        <f aca="false">MAX(0,MIN(AA33-AB33,$B33-(E33+I33+M33+Q33+U33+Y33)))</f>
        <v>0</v>
      </c>
      <c r="AD33" s="43" t="n">
        <f aca="false">MAX(0,AA33-AB33-AC33)</f>
        <v>0</v>
      </c>
      <c r="AE33" s="43" t="n">
        <f aca="false">IF(AH32&gt;0.005,AH32*(1+Ordem!$E$13),0)</f>
        <v>0</v>
      </c>
      <c r="AF33" s="43" t="n">
        <f aca="false">MIN(AE33,Ordem!$F$13)</f>
        <v>0</v>
      </c>
      <c r="AG33" s="43" t="n">
        <f aca="false">MAX(0,MIN(AE33-AF33,$B33-(E33+I33+M33+Q33+U33+Y33+AC33)))</f>
        <v>0</v>
      </c>
      <c r="AH33" s="43" t="n">
        <f aca="false">MAX(0,AE33-AF33-AG33)</f>
        <v>0</v>
      </c>
      <c r="AI33" s="43" t="n">
        <f aca="false">IF(AL32&gt;0.005,AL32*(1+Ordem!$E$14),0)</f>
        <v>0</v>
      </c>
      <c r="AJ33" s="43" t="n">
        <f aca="false">MIN(AI33,Ordem!$F$14)</f>
        <v>0</v>
      </c>
      <c r="AK33" s="43" t="n">
        <f aca="false">MAX(0,MIN(AI33-AJ33,$B33-(E33+I33+M33+Q33+U33+Y33+AC33+AG33)))</f>
        <v>0</v>
      </c>
      <c r="AL33" s="43" t="n">
        <f aca="false">MAX(0,AI33-AJ33-AK33)</f>
        <v>0</v>
      </c>
      <c r="AM33" s="43" t="n">
        <f aca="false">IF(AP32&gt;0.005,AP32*(1+Ordem!$E$15),0)</f>
        <v>0</v>
      </c>
      <c r="AN33" s="43" t="n">
        <f aca="false">MIN(AM33,Ordem!$F$15)</f>
        <v>0</v>
      </c>
      <c r="AO33" s="43" t="n">
        <f aca="false">MAX(0,MIN(AM33-AN33,$B33-(E33+I33+M33+Q33+U33+Y33+AC33+AG33+AK33)))</f>
        <v>0</v>
      </c>
      <c r="AP33" s="43" t="n">
        <f aca="false">MAX(0,AM33-AN33-AO33)</f>
        <v>0</v>
      </c>
      <c r="AQ33" s="43" t="n">
        <f aca="false">F33+J33+N33+R33+V33+Z33+AD33+AH33+AL33+AP33</f>
        <v>0</v>
      </c>
      <c r="AR33" s="43" t="n">
        <f aca="false">D33+E33+H33+I33+L33+M33+P33+Q33+T33+U33+X33+Y33+AB33+AC33+AF33+AG33+AJ33+AK33+AN33+AO33</f>
        <v>0</v>
      </c>
    </row>
    <row r="34" customFormat="false" ht="15" hidden="false" customHeight="false" outlineLevel="0" collapsed="false">
      <c r="A34" s="0" t="n">
        <v>30</v>
      </c>
      <c r="B34" s="43" t="n">
        <f aca="false">MAX(0,Dívidas!$C$20-(D34+H34+L34+P34+T34+X34+AB34+AF34+AJ34+AN34))</f>
        <v>1450</v>
      </c>
      <c r="C34" s="43" t="n">
        <f aca="false">IF(F33&gt;0.005,F33*(1+Ordem!$E$6),0)</f>
        <v>0</v>
      </c>
      <c r="D34" s="43" t="n">
        <f aca="false">MIN(C34,Ordem!$F$6)</f>
        <v>0</v>
      </c>
      <c r="E34" s="43" t="n">
        <f aca="false">MAX(0,MIN(C34-D34,$B34-(0)))</f>
        <v>0</v>
      </c>
      <c r="F34" s="43" t="n">
        <f aca="false">MAX(0,C34-D34-E34)</f>
        <v>0</v>
      </c>
      <c r="G34" s="43" t="n">
        <f aca="false">IF(J33&gt;0.005,J33*(1+Ordem!$E$7),0)</f>
        <v>0</v>
      </c>
      <c r="H34" s="43" t="n">
        <f aca="false">MIN(G34,Ordem!$F$7)</f>
        <v>0</v>
      </c>
      <c r="I34" s="43" t="n">
        <f aca="false">MAX(0,MIN(G34-H34,$B34-(E34)))</f>
        <v>0</v>
      </c>
      <c r="J34" s="43" t="n">
        <f aca="false">MAX(0,G34-H34-I34)</f>
        <v>0</v>
      </c>
      <c r="K34" s="43" t="n">
        <f aca="false">IF(N33&gt;0.005,N33*(1+Ordem!$E$8),0)</f>
        <v>0</v>
      </c>
      <c r="L34" s="43" t="n">
        <f aca="false">MIN(K34,Ordem!$F$8)</f>
        <v>0</v>
      </c>
      <c r="M34" s="43" t="n">
        <f aca="false">MAX(0,MIN(K34-L34,$B34-(E34+I34)))</f>
        <v>0</v>
      </c>
      <c r="N34" s="43" t="n">
        <f aca="false">MAX(0,K34-L34-M34)</f>
        <v>0</v>
      </c>
      <c r="O34" s="43" t="n">
        <f aca="false">IF(R33&gt;0.005,R33*(1+Ordem!$E$9),0)</f>
        <v>0</v>
      </c>
      <c r="P34" s="43" t="n">
        <f aca="false">MIN(O34,Ordem!$F$9)</f>
        <v>0</v>
      </c>
      <c r="Q34" s="43" t="n">
        <f aca="false">MAX(0,MIN(O34-P34,$B34-(E34+I34+M34)))</f>
        <v>0</v>
      </c>
      <c r="R34" s="43" t="n">
        <f aca="false">MAX(0,O34-P34-Q34)</f>
        <v>0</v>
      </c>
      <c r="S34" s="43" t="n">
        <f aca="false">IF(V33&gt;0.005,V33*(1+Ordem!$E$10),0)</f>
        <v>0</v>
      </c>
      <c r="T34" s="43" t="n">
        <f aca="false">MIN(S34,Ordem!$F$10)</f>
        <v>0</v>
      </c>
      <c r="U34" s="43" t="n">
        <f aca="false">MAX(0,MIN(S34-T34,$B34-(E34+I34+M34+Q34)))</f>
        <v>0</v>
      </c>
      <c r="V34" s="43" t="n">
        <f aca="false">MAX(0,S34-T34-U34)</f>
        <v>0</v>
      </c>
      <c r="W34" s="43" t="n">
        <f aca="false">IF(Z33&gt;0.005,Z33*(1+Ordem!$E$11),0)</f>
        <v>0</v>
      </c>
      <c r="X34" s="43" t="n">
        <f aca="false">MIN(W34,Ordem!$F$11)</f>
        <v>0</v>
      </c>
      <c r="Y34" s="43" t="n">
        <f aca="false">MAX(0,MIN(W34-X34,$B34-(E34+I34+M34+Q34+U34)))</f>
        <v>0</v>
      </c>
      <c r="Z34" s="43" t="n">
        <f aca="false">MAX(0,W34-X34-Y34)</f>
        <v>0</v>
      </c>
      <c r="AA34" s="43" t="n">
        <f aca="false">IF(AD33&gt;0.005,AD33*(1+Ordem!$E$12),0)</f>
        <v>0</v>
      </c>
      <c r="AB34" s="43" t="n">
        <f aca="false">MIN(AA34,Ordem!$F$12)</f>
        <v>0</v>
      </c>
      <c r="AC34" s="43" t="n">
        <f aca="false">MAX(0,MIN(AA34-AB34,$B34-(E34+I34+M34+Q34+U34+Y34)))</f>
        <v>0</v>
      </c>
      <c r="AD34" s="43" t="n">
        <f aca="false">MAX(0,AA34-AB34-AC34)</f>
        <v>0</v>
      </c>
      <c r="AE34" s="43" t="n">
        <f aca="false">IF(AH33&gt;0.005,AH33*(1+Ordem!$E$13),0)</f>
        <v>0</v>
      </c>
      <c r="AF34" s="43" t="n">
        <f aca="false">MIN(AE34,Ordem!$F$13)</f>
        <v>0</v>
      </c>
      <c r="AG34" s="43" t="n">
        <f aca="false">MAX(0,MIN(AE34-AF34,$B34-(E34+I34+M34+Q34+U34+Y34+AC34)))</f>
        <v>0</v>
      </c>
      <c r="AH34" s="43" t="n">
        <f aca="false">MAX(0,AE34-AF34-AG34)</f>
        <v>0</v>
      </c>
      <c r="AI34" s="43" t="n">
        <f aca="false">IF(AL33&gt;0.005,AL33*(1+Ordem!$E$14),0)</f>
        <v>0</v>
      </c>
      <c r="AJ34" s="43" t="n">
        <f aca="false">MIN(AI34,Ordem!$F$14)</f>
        <v>0</v>
      </c>
      <c r="AK34" s="43" t="n">
        <f aca="false">MAX(0,MIN(AI34-AJ34,$B34-(E34+I34+M34+Q34+U34+Y34+AC34+AG34)))</f>
        <v>0</v>
      </c>
      <c r="AL34" s="43" t="n">
        <f aca="false">MAX(0,AI34-AJ34-AK34)</f>
        <v>0</v>
      </c>
      <c r="AM34" s="43" t="n">
        <f aca="false">IF(AP33&gt;0.005,AP33*(1+Ordem!$E$15),0)</f>
        <v>0</v>
      </c>
      <c r="AN34" s="43" t="n">
        <f aca="false">MIN(AM34,Ordem!$F$15)</f>
        <v>0</v>
      </c>
      <c r="AO34" s="43" t="n">
        <f aca="false">MAX(0,MIN(AM34-AN34,$B34-(E34+I34+M34+Q34+U34+Y34+AC34+AG34+AK34)))</f>
        <v>0</v>
      </c>
      <c r="AP34" s="43" t="n">
        <f aca="false">MAX(0,AM34-AN34-AO34)</f>
        <v>0</v>
      </c>
      <c r="AQ34" s="43" t="n">
        <f aca="false">F34+J34+N34+R34+V34+Z34+AD34+AH34+AL34+AP34</f>
        <v>0</v>
      </c>
      <c r="AR34" s="43" t="n">
        <f aca="false">D34+E34+H34+I34+L34+M34+P34+Q34+T34+U34+X34+Y34+AB34+AC34+AF34+AG34+AJ34+AK34+AN34+AO34</f>
        <v>0</v>
      </c>
    </row>
    <row r="35" customFormat="false" ht="15" hidden="false" customHeight="false" outlineLevel="0" collapsed="false">
      <c r="A35" s="0" t="n">
        <v>31</v>
      </c>
      <c r="B35" s="43" t="n">
        <f aca="false">MAX(0,Dívidas!$C$20-(D35+H35+L35+P35+T35+X35+AB35+AF35+AJ35+AN35))</f>
        <v>1450</v>
      </c>
      <c r="C35" s="43" t="n">
        <f aca="false">IF(F34&gt;0.005,F34*(1+Ordem!$E$6),0)</f>
        <v>0</v>
      </c>
      <c r="D35" s="43" t="n">
        <f aca="false">MIN(C35,Ordem!$F$6)</f>
        <v>0</v>
      </c>
      <c r="E35" s="43" t="n">
        <f aca="false">MAX(0,MIN(C35-D35,$B35-(0)))</f>
        <v>0</v>
      </c>
      <c r="F35" s="43" t="n">
        <f aca="false">MAX(0,C35-D35-E35)</f>
        <v>0</v>
      </c>
      <c r="G35" s="43" t="n">
        <f aca="false">IF(J34&gt;0.005,J34*(1+Ordem!$E$7),0)</f>
        <v>0</v>
      </c>
      <c r="H35" s="43" t="n">
        <f aca="false">MIN(G35,Ordem!$F$7)</f>
        <v>0</v>
      </c>
      <c r="I35" s="43" t="n">
        <f aca="false">MAX(0,MIN(G35-H35,$B35-(E35)))</f>
        <v>0</v>
      </c>
      <c r="J35" s="43" t="n">
        <f aca="false">MAX(0,G35-H35-I35)</f>
        <v>0</v>
      </c>
      <c r="K35" s="43" t="n">
        <f aca="false">IF(N34&gt;0.005,N34*(1+Ordem!$E$8),0)</f>
        <v>0</v>
      </c>
      <c r="L35" s="43" t="n">
        <f aca="false">MIN(K35,Ordem!$F$8)</f>
        <v>0</v>
      </c>
      <c r="M35" s="43" t="n">
        <f aca="false">MAX(0,MIN(K35-L35,$B35-(E35+I35)))</f>
        <v>0</v>
      </c>
      <c r="N35" s="43" t="n">
        <f aca="false">MAX(0,K35-L35-M35)</f>
        <v>0</v>
      </c>
      <c r="O35" s="43" t="n">
        <f aca="false">IF(R34&gt;0.005,R34*(1+Ordem!$E$9),0)</f>
        <v>0</v>
      </c>
      <c r="P35" s="43" t="n">
        <f aca="false">MIN(O35,Ordem!$F$9)</f>
        <v>0</v>
      </c>
      <c r="Q35" s="43" t="n">
        <f aca="false">MAX(0,MIN(O35-P35,$B35-(E35+I35+M35)))</f>
        <v>0</v>
      </c>
      <c r="R35" s="43" t="n">
        <f aca="false">MAX(0,O35-P35-Q35)</f>
        <v>0</v>
      </c>
      <c r="S35" s="43" t="n">
        <f aca="false">IF(V34&gt;0.005,V34*(1+Ordem!$E$10),0)</f>
        <v>0</v>
      </c>
      <c r="T35" s="43" t="n">
        <f aca="false">MIN(S35,Ordem!$F$10)</f>
        <v>0</v>
      </c>
      <c r="U35" s="43" t="n">
        <f aca="false">MAX(0,MIN(S35-T35,$B35-(E35+I35+M35+Q35)))</f>
        <v>0</v>
      </c>
      <c r="V35" s="43" t="n">
        <f aca="false">MAX(0,S35-T35-U35)</f>
        <v>0</v>
      </c>
      <c r="W35" s="43" t="n">
        <f aca="false">IF(Z34&gt;0.005,Z34*(1+Ordem!$E$11),0)</f>
        <v>0</v>
      </c>
      <c r="X35" s="43" t="n">
        <f aca="false">MIN(W35,Ordem!$F$11)</f>
        <v>0</v>
      </c>
      <c r="Y35" s="43" t="n">
        <f aca="false">MAX(0,MIN(W35-X35,$B35-(E35+I35+M35+Q35+U35)))</f>
        <v>0</v>
      </c>
      <c r="Z35" s="43" t="n">
        <f aca="false">MAX(0,W35-X35-Y35)</f>
        <v>0</v>
      </c>
      <c r="AA35" s="43" t="n">
        <f aca="false">IF(AD34&gt;0.005,AD34*(1+Ordem!$E$12),0)</f>
        <v>0</v>
      </c>
      <c r="AB35" s="43" t="n">
        <f aca="false">MIN(AA35,Ordem!$F$12)</f>
        <v>0</v>
      </c>
      <c r="AC35" s="43" t="n">
        <f aca="false">MAX(0,MIN(AA35-AB35,$B35-(E35+I35+M35+Q35+U35+Y35)))</f>
        <v>0</v>
      </c>
      <c r="AD35" s="43" t="n">
        <f aca="false">MAX(0,AA35-AB35-AC35)</f>
        <v>0</v>
      </c>
      <c r="AE35" s="43" t="n">
        <f aca="false">IF(AH34&gt;0.005,AH34*(1+Ordem!$E$13),0)</f>
        <v>0</v>
      </c>
      <c r="AF35" s="43" t="n">
        <f aca="false">MIN(AE35,Ordem!$F$13)</f>
        <v>0</v>
      </c>
      <c r="AG35" s="43" t="n">
        <f aca="false">MAX(0,MIN(AE35-AF35,$B35-(E35+I35+M35+Q35+U35+Y35+AC35)))</f>
        <v>0</v>
      </c>
      <c r="AH35" s="43" t="n">
        <f aca="false">MAX(0,AE35-AF35-AG35)</f>
        <v>0</v>
      </c>
      <c r="AI35" s="43" t="n">
        <f aca="false">IF(AL34&gt;0.005,AL34*(1+Ordem!$E$14),0)</f>
        <v>0</v>
      </c>
      <c r="AJ35" s="43" t="n">
        <f aca="false">MIN(AI35,Ordem!$F$14)</f>
        <v>0</v>
      </c>
      <c r="AK35" s="43" t="n">
        <f aca="false">MAX(0,MIN(AI35-AJ35,$B35-(E35+I35+M35+Q35+U35+Y35+AC35+AG35)))</f>
        <v>0</v>
      </c>
      <c r="AL35" s="43" t="n">
        <f aca="false">MAX(0,AI35-AJ35-AK35)</f>
        <v>0</v>
      </c>
      <c r="AM35" s="43" t="n">
        <f aca="false">IF(AP34&gt;0.005,AP34*(1+Ordem!$E$15),0)</f>
        <v>0</v>
      </c>
      <c r="AN35" s="43" t="n">
        <f aca="false">MIN(AM35,Ordem!$F$15)</f>
        <v>0</v>
      </c>
      <c r="AO35" s="43" t="n">
        <f aca="false">MAX(0,MIN(AM35-AN35,$B35-(E35+I35+M35+Q35+U35+Y35+AC35+AG35+AK35)))</f>
        <v>0</v>
      </c>
      <c r="AP35" s="43" t="n">
        <f aca="false">MAX(0,AM35-AN35-AO35)</f>
        <v>0</v>
      </c>
      <c r="AQ35" s="43" t="n">
        <f aca="false">F35+J35+N35+R35+V35+Z35+AD35+AH35+AL35+AP35</f>
        <v>0</v>
      </c>
      <c r="AR35" s="43" t="n">
        <f aca="false">D35+E35+H35+I35+L35+M35+P35+Q35+T35+U35+X35+Y35+AB35+AC35+AF35+AG35+AJ35+AK35+AN35+AO35</f>
        <v>0</v>
      </c>
    </row>
    <row r="36" customFormat="false" ht="15" hidden="false" customHeight="false" outlineLevel="0" collapsed="false">
      <c r="A36" s="0" t="n">
        <v>32</v>
      </c>
      <c r="B36" s="43" t="n">
        <f aca="false">MAX(0,Dívidas!$C$20-(D36+H36+L36+P36+T36+X36+AB36+AF36+AJ36+AN36))</f>
        <v>1450</v>
      </c>
      <c r="C36" s="43" t="n">
        <f aca="false">IF(F35&gt;0.005,F35*(1+Ordem!$E$6),0)</f>
        <v>0</v>
      </c>
      <c r="D36" s="43" t="n">
        <f aca="false">MIN(C36,Ordem!$F$6)</f>
        <v>0</v>
      </c>
      <c r="E36" s="43" t="n">
        <f aca="false">MAX(0,MIN(C36-D36,$B36-(0)))</f>
        <v>0</v>
      </c>
      <c r="F36" s="43" t="n">
        <f aca="false">MAX(0,C36-D36-E36)</f>
        <v>0</v>
      </c>
      <c r="G36" s="43" t="n">
        <f aca="false">IF(J35&gt;0.005,J35*(1+Ordem!$E$7),0)</f>
        <v>0</v>
      </c>
      <c r="H36" s="43" t="n">
        <f aca="false">MIN(G36,Ordem!$F$7)</f>
        <v>0</v>
      </c>
      <c r="I36" s="43" t="n">
        <f aca="false">MAX(0,MIN(G36-H36,$B36-(E36)))</f>
        <v>0</v>
      </c>
      <c r="J36" s="43" t="n">
        <f aca="false">MAX(0,G36-H36-I36)</f>
        <v>0</v>
      </c>
      <c r="K36" s="43" t="n">
        <f aca="false">IF(N35&gt;0.005,N35*(1+Ordem!$E$8),0)</f>
        <v>0</v>
      </c>
      <c r="L36" s="43" t="n">
        <f aca="false">MIN(K36,Ordem!$F$8)</f>
        <v>0</v>
      </c>
      <c r="M36" s="43" t="n">
        <f aca="false">MAX(0,MIN(K36-L36,$B36-(E36+I36)))</f>
        <v>0</v>
      </c>
      <c r="N36" s="43" t="n">
        <f aca="false">MAX(0,K36-L36-M36)</f>
        <v>0</v>
      </c>
      <c r="O36" s="43" t="n">
        <f aca="false">IF(R35&gt;0.005,R35*(1+Ordem!$E$9),0)</f>
        <v>0</v>
      </c>
      <c r="P36" s="43" t="n">
        <f aca="false">MIN(O36,Ordem!$F$9)</f>
        <v>0</v>
      </c>
      <c r="Q36" s="43" t="n">
        <f aca="false">MAX(0,MIN(O36-P36,$B36-(E36+I36+M36)))</f>
        <v>0</v>
      </c>
      <c r="R36" s="43" t="n">
        <f aca="false">MAX(0,O36-P36-Q36)</f>
        <v>0</v>
      </c>
      <c r="S36" s="43" t="n">
        <f aca="false">IF(V35&gt;0.005,V35*(1+Ordem!$E$10),0)</f>
        <v>0</v>
      </c>
      <c r="T36" s="43" t="n">
        <f aca="false">MIN(S36,Ordem!$F$10)</f>
        <v>0</v>
      </c>
      <c r="U36" s="43" t="n">
        <f aca="false">MAX(0,MIN(S36-T36,$B36-(E36+I36+M36+Q36)))</f>
        <v>0</v>
      </c>
      <c r="V36" s="43" t="n">
        <f aca="false">MAX(0,S36-T36-U36)</f>
        <v>0</v>
      </c>
      <c r="W36" s="43" t="n">
        <f aca="false">IF(Z35&gt;0.005,Z35*(1+Ordem!$E$11),0)</f>
        <v>0</v>
      </c>
      <c r="X36" s="43" t="n">
        <f aca="false">MIN(W36,Ordem!$F$11)</f>
        <v>0</v>
      </c>
      <c r="Y36" s="43" t="n">
        <f aca="false">MAX(0,MIN(W36-X36,$B36-(E36+I36+M36+Q36+U36)))</f>
        <v>0</v>
      </c>
      <c r="Z36" s="43" t="n">
        <f aca="false">MAX(0,W36-X36-Y36)</f>
        <v>0</v>
      </c>
      <c r="AA36" s="43" t="n">
        <f aca="false">IF(AD35&gt;0.005,AD35*(1+Ordem!$E$12),0)</f>
        <v>0</v>
      </c>
      <c r="AB36" s="43" t="n">
        <f aca="false">MIN(AA36,Ordem!$F$12)</f>
        <v>0</v>
      </c>
      <c r="AC36" s="43" t="n">
        <f aca="false">MAX(0,MIN(AA36-AB36,$B36-(E36+I36+M36+Q36+U36+Y36)))</f>
        <v>0</v>
      </c>
      <c r="AD36" s="43" t="n">
        <f aca="false">MAX(0,AA36-AB36-AC36)</f>
        <v>0</v>
      </c>
      <c r="AE36" s="43" t="n">
        <f aca="false">IF(AH35&gt;0.005,AH35*(1+Ordem!$E$13),0)</f>
        <v>0</v>
      </c>
      <c r="AF36" s="43" t="n">
        <f aca="false">MIN(AE36,Ordem!$F$13)</f>
        <v>0</v>
      </c>
      <c r="AG36" s="43" t="n">
        <f aca="false">MAX(0,MIN(AE36-AF36,$B36-(E36+I36+M36+Q36+U36+Y36+AC36)))</f>
        <v>0</v>
      </c>
      <c r="AH36" s="43" t="n">
        <f aca="false">MAX(0,AE36-AF36-AG36)</f>
        <v>0</v>
      </c>
      <c r="AI36" s="43" t="n">
        <f aca="false">IF(AL35&gt;0.005,AL35*(1+Ordem!$E$14),0)</f>
        <v>0</v>
      </c>
      <c r="AJ36" s="43" t="n">
        <f aca="false">MIN(AI36,Ordem!$F$14)</f>
        <v>0</v>
      </c>
      <c r="AK36" s="43" t="n">
        <f aca="false">MAX(0,MIN(AI36-AJ36,$B36-(E36+I36+M36+Q36+U36+Y36+AC36+AG36)))</f>
        <v>0</v>
      </c>
      <c r="AL36" s="43" t="n">
        <f aca="false">MAX(0,AI36-AJ36-AK36)</f>
        <v>0</v>
      </c>
      <c r="AM36" s="43" t="n">
        <f aca="false">IF(AP35&gt;0.005,AP35*(1+Ordem!$E$15),0)</f>
        <v>0</v>
      </c>
      <c r="AN36" s="43" t="n">
        <f aca="false">MIN(AM36,Ordem!$F$15)</f>
        <v>0</v>
      </c>
      <c r="AO36" s="43" t="n">
        <f aca="false">MAX(0,MIN(AM36-AN36,$B36-(E36+I36+M36+Q36+U36+Y36+AC36+AG36+AK36)))</f>
        <v>0</v>
      </c>
      <c r="AP36" s="43" t="n">
        <f aca="false">MAX(0,AM36-AN36-AO36)</f>
        <v>0</v>
      </c>
      <c r="AQ36" s="43" t="n">
        <f aca="false">F36+J36+N36+R36+V36+Z36+AD36+AH36+AL36+AP36</f>
        <v>0</v>
      </c>
      <c r="AR36" s="43" t="n">
        <f aca="false">D36+E36+H36+I36+L36+M36+P36+Q36+T36+U36+X36+Y36+AB36+AC36+AF36+AG36+AJ36+AK36+AN36+AO36</f>
        <v>0</v>
      </c>
    </row>
    <row r="37" customFormat="false" ht="15" hidden="false" customHeight="false" outlineLevel="0" collapsed="false">
      <c r="A37" s="0" t="n">
        <v>33</v>
      </c>
      <c r="B37" s="43" t="n">
        <f aca="false">MAX(0,Dívidas!$C$20-(D37+H37+L37+P37+T37+X37+AB37+AF37+AJ37+AN37))</f>
        <v>1450</v>
      </c>
      <c r="C37" s="43" t="n">
        <f aca="false">IF(F36&gt;0.005,F36*(1+Ordem!$E$6),0)</f>
        <v>0</v>
      </c>
      <c r="D37" s="43" t="n">
        <f aca="false">MIN(C37,Ordem!$F$6)</f>
        <v>0</v>
      </c>
      <c r="E37" s="43" t="n">
        <f aca="false">MAX(0,MIN(C37-D37,$B37-(0)))</f>
        <v>0</v>
      </c>
      <c r="F37" s="43" t="n">
        <f aca="false">MAX(0,C37-D37-E37)</f>
        <v>0</v>
      </c>
      <c r="G37" s="43" t="n">
        <f aca="false">IF(J36&gt;0.005,J36*(1+Ordem!$E$7),0)</f>
        <v>0</v>
      </c>
      <c r="H37" s="43" t="n">
        <f aca="false">MIN(G37,Ordem!$F$7)</f>
        <v>0</v>
      </c>
      <c r="I37" s="43" t="n">
        <f aca="false">MAX(0,MIN(G37-H37,$B37-(E37)))</f>
        <v>0</v>
      </c>
      <c r="J37" s="43" t="n">
        <f aca="false">MAX(0,G37-H37-I37)</f>
        <v>0</v>
      </c>
      <c r="K37" s="43" t="n">
        <f aca="false">IF(N36&gt;0.005,N36*(1+Ordem!$E$8),0)</f>
        <v>0</v>
      </c>
      <c r="L37" s="43" t="n">
        <f aca="false">MIN(K37,Ordem!$F$8)</f>
        <v>0</v>
      </c>
      <c r="M37" s="43" t="n">
        <f aca="false">MAX(0,MIN(K37-L37,$B37-(E37+I37)))</f>
        <v>0</v>
      </c>
      <c r="N37" s="43" t="n">
        <f aca="false">MAX(0,K37-L37-M37)</f>
        <v>0</v>
      </c>
      <c r="O37" s="43" t="n">
        <f aca="false">IF(R36&gt;0.005,R36*(1+Ordem!$E$9),0)</f>
        <v>0</v>
      </c>
      <c r="P37" s="43" t="n">
        <f aca="false">MIN(O37,Ordem!$F$9)</f>
        <v>0</v>
      </c>
      <c r="Q37" s="43" t="n">
        <f aca="false">MAX(0,MIN(O37-P37,$B37-(E37+I37+M37)))</f>
        <v>0</v>
      </c>
      <c r="R37" s="43" t="n">
        <f aca="false">MAX(0,O37-P37-Q37)</f>
        <v>0</v>
      </c>
      <c r="S37" s="43" t="n">
        <f aca="false">IF(V36&gt;0.005,V36*(1+Ordem!$E$10),0)</f>
        <v>0</v>
      </c>
      <c r="T37" s="43" t="n">
        <f aca="false">MIN(S37,Ordem!$F$10)</f>
        <v>0</v>
      </c>
      <c r="U37" s="43" t="n">
        <f aca="false">MAX(0,MIN(S37-T37,$B37-(E37+I37+M37+Q37)))</f>
        <v>0</v>
      </c>
      <c r="V37" s="43" t="n">
        <f aca="false">MAX(0,S37-T37-U37)</f>
        <v>0</v>
      </c>
      <c r="W37" s="43" t="n">
        <f aca="false">IF(Z36&gt;0.005,Z36*(1+Ordem!$E$11),0)</f>
        <v>0</v>
      </c>
      <c r="X37" s="43" t="n">
        <f aca="false">MIN(W37,Ordem!$F$11)</f>
        <v>0</v>
      </c>
      <c r="Y37" s="43" t="n">
        <f aca="false">MAX(0,MIN(W37-X37,$B37-(E37+I37+M37+Q37+U37)))</f>
        <v>0</v>
      </c>
      <c r="Z37" s="43" t="n">
        <f aca="false">MAX(0,W37-X37-Y37)</f>
        <v>0</v>
      </c>
      <c r="AA37" s="43" t="n">
        <f aca="false">IF(AD36&gt;0.005,AD36*(1+Ordem!$E$12),0)</f>
        <v>0</v>
      </c>
      <c r="AB37" s="43" t="n">
        <f aca="false">MIN(AA37,Ordem!$F$12)</f>
        <v>0</v>
      </c>
      <c r="AC37" s="43" t="n">
        <f aca="false">MAX(0,MIN(AA37-AB37,$B37-(E37+I37+M37+Q37+U37+Y37)))</f>
        <v>0</v>
      </c>
      <c r="AD37" s="43" t="n">
        <f aca="false">MAX(0,AA37-AB37-AC37)</f>
        <v>0</v>
      </c>
      <c r="AE37" s="43" t="n">
        <f aca="false">IF(AH36&gt;0.005,AH36*(1+Ordem!$E$13),0)</f>
        <v>0</v>
      </c>
      <c r="AF37" s="43" t="n">
        <f aca="false">MIN(AE37,Ordem!$F$13)</f>
        <v>0</v>
      </c>
      <c r="AG37" s="43" t="n">
        <f aca="false">MAX(0,MIN(AE37-AF37,$B37-(E37+I37+M37+Q37+U37+Y37+AC37)))</f>
        <v>0</v>
      </c>
      <c r="AH37" s="43" t="n">
        <f aca="false">MAX(0,AE37-AF37-AG37)</f>
        <v>0</v>
      </c>
      <c r="AI37" s="43" t="n">
        <f aca="false">IF(AL36&gt;0.005,AL36*(1+Ordem!$E$14),0)</f>
        <v>0</v>
      </c>
      <c r="AJ37" s="43" t="n">
        <f aca="false">MIN(AI37,Ordem!$F$14)</f>
        <v>0</v>
      </c>
      <c r="AK37" s="43" t="n">
        <f aca="false">MAX(0,MIN(AI37-AJ37,$B37-(E37+I37+M37+Q37+U37+Y37+AC37+AG37)))</f>
        <v>0</v>
      </c>
      <c r="AL37" s="43" t="n">
        <f aca="false">MAX(0,AI37-AJ37-AK37)</f>
        <v>0</v>
      </c>
      <c r="AM37" s="43" t="n">
        <f aca="false">IF(AP36&gt;0.005,AP36*(1+Ordem!$E$15),0)</f>
        <v>0</v>
      </c>
      <c r="AN37" s="43" t="n">
        <f aca="false">MIN(AM37,Ordem!$F$15)</f>
        <v>0</v>
      </c>
      <c r="AO37" s="43" t="n">
        <f aca="false">MAX(0,MIN(AM37-AN37,$B37-(E37+I37+M37+Q37+U37+Y37+AC37+AG37+AK37)))</f>
        <v>0</v>
      </c>
      <c r="AP37" s="43" t="n">
        <f aca="false">MAX(0,AM37-AN37-AO37)</f>
        <v>0</v>
      </c>
      <c r="AQ37" s="43" t="n">
        <f aca="false">F37+J37+N37+R37+V37+Z37+AD37+AH37+AL37+AP37</f>
        <v>0</v>
      </c>
      <c r="AR37" s="43" t="n">
        <f aca="false">D37+E37+H37+I37+L37+M37+P37+Q37+T37+U37+X37+Y37+AB37+AC37+AF37+AG37+AJ37+AK37+AN37+AO37</f>
        <v>0</v>
      </c>
    </row>
    <row r="38" customFormat="false" ht="15" hidden="false" customHeight="false" outlineLevel="0" collapsed="false">
      <c r="A38" s="0" t="n">
        <v>34</v>
      </c>
      <c r="B38" s="43" t="n">
        <f aca="false">MAX(0,Dívidas!$C$20-(D38+H38+L38+P38+T38+X38+AB38+AF38+AJ38+AN38))</f>
        <v>1450</v>
      </c>
      <c r="C38" s="43" t="n">
        <f aca="false">IF(F37&gt;0.005,F37*(1+Ordem!$E$6),0)</f>
        <v>0</v>
      </c>
      <c r="D38" s="43" t="n">
        <f aca="false">MIN(C38,Ordem!$F$6)</f>
        <v>0</v>
      </c>
      <c r="E38" s="43" t="n">
        <f aca="false">MAX(0,MIN(C38-D38,$B38-(0)))</f>
        <v>0</v>
      </c>
      <c r="F38" s="43" t="n">
        <f aca="false">MAX(0,C38-D38-E38)</f>
        <v>0</v>
      </c>
      <c r="G38" s="43" t="n">
        <f aca="false">IF(J37&gt;0.005,J37*(1+Ordem!$E$7),0)</f>
        <v>0</v>
      </c>
      <c r="H38" s="43" t="n">
        <f aca="false">MIN(G38,Ordem!$F$7)</f>
        <v>0</v>
      </c>
      <c r="I38" s="43" t="n">
        <f aca="false">MAX(0,MIN(G38-H38,$B38-(E38)))</f>
        <v>0</v>
      </c>
      <c r="J38" s="43" t="n">
        <f aca="false">MAX(0,G38-H38-I38)</f>
        <v>0</v>
      </c>
      <c r="K38" s="43" t="n">
        <f aca="false">IF(N37&gt;0.005,N37*(1+Ordem!$E$8),0)</f>
        <v>0</v>
      </c>
      <c r="L38" s="43" t="n">
        <f aca="false">MIN(K38,Ordem!$F$8)</f>
        <v>0</v>
      </c>
      <c r="M38" s="43" t="n">
        <f aca="false">MAX(0,MIN(K38-L38,$B38-(E38+I38)))</f>
        <v>0</v>
      </c>
      <c r="N38" s="43" t="n">
        <f aca="false">MAX(0,K38-L38-M38)</f>
        <v>0</v>
      </c>
      <c r="O38" s="43" t="n">
        <f aca="false">IF(R37&gt;0.005,R37*(1+Ordem!$E$9),0)</f>
        <v>0</v>
      </c>
      <c r="P38" s="43" t="n">
        <f aca="false">MIN(O38,Ordem!$F$9)</f>
        <v>0</v>
      </c>
      <c r="Q38" s="43" t="n">
        <f aca="false">MAX(0,MIN(O38-P38,$B38-(E38+I38+M38)))</f>
        <v>0</v>
      </c>
      <c r="R38" s="43" t="n">
        <f aca="false">MAX(0,O38-P38-Q38)</f>
        <v>0</v>
      </c>
      <c r="S38" s="43" t="n">
        <f aca="false">IF(V37&gt;0.005,V37*(1+Ordem!$E$10),0)</f>
        <v>0</v>
      </c>
      <c r="T38" s="43" t="n">
        <f aca="false">MIN(S38,Ordem!$F$10)</f>
        <v>0</v>
      </c>
      <c r="U38" s="43" t="n">
        <f aca="false">MAX(0,MIN(S38-T38,$B38-(E38+I38+M38+Q38)))</f>
        <v>0</v>
      </c>
      <c r="V38" s="43" t="n">
        <f aca="false">MAX(0,S38-T38-U38)</f>
        <v>0</v>
      </c>
      <c r="W38" s="43" t="n">
        <f aca="false">IF(Z37&gt;0.005,Z37*(1+Ordem!$E$11),0)</f>
        <v>0</v>
      </c>
      <c r="X38" s="43" t="n">
        <f aca="false">MIN(W38,Ordem!$F$11)</f>
        <v>0</v>
      </c>
      <c r="Y38" s="43" t="n">
        <f aca="false">MAX(0,MIN(W38-X38,$B38-(E38+I38+M38+Q38+U38)))</f>
        <v>0</v>
      </c>
      <c r="Z38" s="43" t="n">
        <f aca="false">MAX(0,W38-X38-Y38)</f>
        <v>0</v>
      </c>
      <c r="AA38" s="43" t="n">
        <f aca="false">IF(AD37&gt;0.005,AD37*(1+Ordem!$E$12),0)</f>
        <v>0</v>
      </c>
      <c r="AB38" s="43" t="n">
        <f aca="false">MIN(AA38,Ordem!$F$12)</f>
        <v>0</v>
      </c>
      <c r="AC38" s="43" t="n">
        <f aca="false">MAX(0,MIN(AA38-AB38,$B38-(E38+I38+M38+Q38+U38+Y38)))</f>
        <v>0</v>
      </c>
      <c r="AD38" s="43" t="n">
        <f aca="false">MAX(0,AA38-AB38-AC38)</f>
        <v>0</v>
      </c>
      <c r="AE38" s="43" t="n">
        <f aca="false">IF(AH37&gt;0.005,AH37*(1+Ordem!$E$13),0)</f>
        <v>0</v>
      </c>
      <c r="AF38" s="43" t="n">
        <f aca="false">MIN(AE38,Ordem!$F$13)</f>
        <v>0</v>
      </c>
      <c r="AG38" s="43" t="n">
        <f aca="false">MAX(0,MIN(AE38-AF38,$B38-(E38+I38+M38+Q38+U38+Y38+AC38)))</f>
        <v>0</v>
      </c>
      <c r="AH38" s="43" t="n">
        <f aca="false">MAX(0,AE38-AF38-AG38)</f>
        <v>0</v>
      </c>
      <c r="AI38" s="43" t="n">
        <f aca="false">IF(AL37&gt;0.005,AL37*(1+Ordem!$E$14),0)</f>
        <v>0</v>
      </c>
      <c r="AJ38" s="43" t="n">
        <f aca="false">MIN(AI38,Ordem!$F$14)</f>
        <v>0</v>
      </c>
      <c r="AK38" s="43" t="n">
        <f aca="false">MAX(0,MIN(AI38-AJ38,$B38-(E38+I38+M38+Q38+U38+Y38+AC38+AG38)))</f>
        <v>0</v>
      </c>
      <c r="AL38" s="43" t="n">
        <f aca="false">MAX(0,AI38-AJ38-AK38)</f>
        <v>0</v>
      </c>
      <c r="AM38" s="43" t="n">
        <f aca="false">IF(AP37&gt;0.005,AP37*(1+Ordem!$E$15),0)</f>
        <v>0</v>
      </c>
      <c r="AN38" s="43" t="n">
        <f aca="false">MIN(AM38,Ordem!$F$15)</f>
        <v>0</v>
      </c>
      <c r="AO38" s="43" t="n">
        <f aca="false">MAX(0,MIN(AM38-AN38,$B38-(E38+I38+M38+Q38+U38+Y38+AC38+AG38+AK38)))</f>
        <v>0</v>
      </c>
      <c r="AP38" s="43" t="n">
        <f aca="false">MAX(0,AM38-AN38-AO38)</f>
        <v>0</v>
      </c>
      <c r="AQ38" s="43" t="n">
        <f aca="false">F38+J38+N38+R38+V38+Z38+AD38+AH38+AL38+AP38</f>
        <v>0</v>
      </c>
      <c r="AR38" s="43" t="n">
        <f aca="false">D38+E38+H38+I38+L38+M38+P38+Q38+T38+U38+X38+Y38+AB38+AC38+AF38+AG38+AJ38+AK38+AN38+AO38</f>
        <v>0</v>
      </c>
    </row>
    <row r="39" customFormat="false" ht="15" hidden="false" customHeight="false" outlineLevel="0" collapsed="false">
      <c r="A39" s="0" t="n">
        <v>35</v>
      </c>
      <c r="B39" s="43" t="n">
        <f aca="false">MAX(0,Dívidas!$C$20-(D39+H39+L39+P39+T39+X39+AB39+AF39+AJ39+AN39))</f>
        <v>1450</v>
      </c>
      <c r="C39" s="43" t="n">
        <f aca="false">IF(F38&gt;0.005,F38*(1+Ordem!$E$6),0)</f>
        <v>0</v>
      </c>
      <c r="D39" s="43" t="n">
        <f aca="false">MIN(C39,Ordem!$F$6)</f>
        <v>0</v>
      </c>
      <c r="E39" s="43" t="n">
        <f aca="false">MAX(0,MIN(C39-D39,$B39-(0)))</f>
        <v>0</v>
      </c>
      <c r="F39" s="43" t="n">
        <f aca="false">MAX(0,C39-D39-E39)</f>
        <v>0</v>
      </c>
      <c r="G39" s="43" t="n">
        <f aca="false">IF(J38&gt;0.005,J38*(1+Ordem!$E$7),0)</f>
        <v>0</v>
      </c>
      <c r="H39" s="43" t="n">
        <f aca="false">MIN(G39,Ordem!$F$7)</f>
        <v>0</v>
      </c>
      <c r="I39" s="43" t="n">
        <f aca="false">MAX(0,MIN(G39-H39,$B39-(E39)))</f>
        <v>0</v>
      </c>
      <c r="J39" s="43" t="n">
        <f aca="false">MAX(0,G39-H39-I39)</f>
        <v>0</v>
      </c>
      <c r="K39" s="43" t="n">
        <f aca="false">IF(N38&gt;0.005,N38*(1+Ordem!$E$8),0)</f>
        <v>0</v>
      </c>
      <c r="L39" s="43" t="n">
        <f aca="false">MIN(K39,Ordem!$F$8)</f>
        <v>0</v>
      </c>
      <c r="M39" s="43" t="n">
        <f aca="false">MAX(0,MIN(K39-L39,$B39-(E39+I39)))</f>
        <v>0</v>
      </c>
      <c r="N39" s="43" t="n">
        <f aca="false">MAX(0,K39-L39-M39)</f>
        <v>0</v>
      </c>
      <c r="O39" s="43" t="n">
        <f aca="false">IF(R38&gt;0.005,R38*(1+Ordem!$E$9),0)</f>
        <v>0</v>
      </c>
      <c r="P39" s="43" t="n">
        <f aca="false">MIN(O39,Ordem!$F$9)</f>
        <v>0</v>
      </c>
      <c r="Q39" s="43" t="n">
        <f aca="false">MAX(0,MIN(O39-P39,$B39-(E39+I39+M39)))</f>
        <v>0</v>
      </c>
      <c r="R39" s="43" t="n">
        <f aca="false">MAX(0,O39-P39-Q39)</f>
        <v>0</v>
      </c>
      <c r="S39" s="43" t="n">
        <f aca="false">IF(V38&gt;0.005,V38*(1+Ordem!$E$10),0)</f>
        <v>0</v>
      </c>
      <c r="T39" s="43" t="n">
        <f aca="false">MIN(S39,Ordem!$F$10)</f>
        <v>0</v>
      </c>
      <c r="U39" s="43" t="n">
        <f aca="false">MAX(0,MIN(S39-T39,$B39-(E39+I39+M39+Q39)))</f>
        <v>0</v>
      </c>
      <c r="V39" s="43" t="n">
        <f aca="false">MAX(0,S39-T39-U39)</f>
        <v>0</v>
      </c>
      <c r="W39" s="43" t="n">
        <f aca="false">IF(Z38&gt;0.005,Z38*(1+Ordem!$E$11),0)</f>
        <v>0</v>
      </c>
      <c r="X39" s="43" t="n">
        <f aca="false">MIN(W39,Ordem!$F$11)</f>
        <v>0</v>
      </c>
      <c r="Y39" s="43" t="n">
        <f aca="false">MAX(0,MIN(W39-X39,$B39-(E39+I39+M39+Q39+U39)))</f>
        <v>0</v>
      </c>
      <c r="Z39" s="43" t="n">
        <f aca="false">MAX(0,W39-X39-Y39)</f>
        <v>0</v>
      </c>
      <c r="AA39" s="43" t="n">
        <f aca="false">IF(AD38&gt;0.005,AD38*(1+Ordem!$E$12),0)</f>
        <v>0</v>
      </c>
      <c r="AB39" s="43" t="n">
        <f aca="false">MIN(AA39,Ordem!$F$12)</f>
        <v>0</v>
      </c>
      <c r="AC39" s="43" t="n">
        <f aca="false">MAX(0,MIN(AA39-AB39,$B39-(E39+I39+M39+Q39+U39+Y39)))</f>
        <v>0</v>
      </c>
      <c r="AD39" s="43" t="n">
        <f aca="false">MAX(0,AA39-AB39-AC39)</f>
        <v>0</v>
      </c>
      <c r="AE39" s="43" t="n">
        <f aca="false">IF(AH38&gt;0.005,AH38*(1+Ordem!$E$13),0)</f>
        <v>0</v>
      </c>
      <c r="AF39" s="43" t="n">
        <f aca="false">MIN(AE39,Ordem!$F$13)</f>
        <v>0</v>
      </c>
      <c r="AG39" s="43" t="n">
        <f aca="false">MAX(0,MIN(AE39-AF39,$B39-(E39+I39+M39+Q39+U39+Y39+AC39)))</f>
        <v>0</v>
      </c>
      <c r="AH39" s="43" t="n">
        <f aca="false">MAX(0,AE39-AF39-AG39)</f>
        <v>0</v>
      </c>
      <c r="AI39" s="43" t="n">
        <f aca="false">IF(AL38&gt;0.005,AL38*(1+Ordem!$E$14),0)</f>
        <v>0</v>
      </c>
      <c r="AJ39" s="43" t="n">
        <f aca="false">MIN(AI39,Ordem!$F$14)</f>
        <v>0</v>
      </c>
      <c r="AK39" s="43" t="n">
        <f aca="false">MAX(0,MIN(AI39-AJ39,$B39-(E39+I39+M39+Q39+U39+Y39+AC39+AG39)))</f>
        <v>0</v>
      </c>
      <c r="AL39" s="43" t="n">
        <f aca="false">MAX(0,AI39-AJ39-AK39)</f>
        <v>0</v>
      </c>
      <c r="AM39" s="43" t="n">
        <f aca="false">IF(AP38&gt;0.005,AP38*(1+Ordem!$E$15),0)</f>
        <v>0</v>
      </c>
      <c r="AN39" s="43" t="n">
        <f aca="false">MIN(AM39,Ordem!$F$15)</f>
        <v>0</v>
      </c>
      <c r="AO39" s="43" t="n">
        <f aca="false">MAX(0,MIN(AM39-AN39,$B39-(E39+I39+M39+Q39+U39+Y39+AC39+AG39+AK39)))</f>
        <v>0</v>
      </c>
      <c r="AP39" s="43" t="n">
        <f aca="false">MAX(0,AM39-AN39-AO39)</f>
        <v>0</v>
      </c>
      <c r="AQ39" s="43" t="n">
        <f aca="false">F39+J39+N39+R39+V39+Z39+AD39+AH39+AL39+AP39</f>
        <v>0</v>
      </c>
      <c r="AR39" s="43" t="n">
        <f aca="false">D39+E39+H39+I39+L39+M39+P39+Q39+T39+U39+X39+Y39+AB39+AC39+AF39+AG39+AJ39+AK39+AN39+AO39</f>
        <v>0</v>
      </c>
    </row>
    <row r="40" customFormat="false" ht="15" hidden="false" customHeight="false" outlineLevel="0" collapsed="false">
      <c r="A40" s="0" t="n">
        <v>36</v>
      </c>
      <c r="B40" s="43" t="n">
        <f aca="false">MAX(0,Dívidas!$C$20-(D40+H40+L40+P40+T40+X40+AB40+AF40+AJ40+AN40))</f>
        <v>1450</v>
      </c>
      <c r="C40" s="43" t="n">
        <f aca="false">IF(F39&gt;0.005,F39*(1+Ordem!$E$6),0)</f>
        <v>0</v>
      </c>
      <c r="D40" s="43" t="n">
        <f aca="false">MIN(C40,Ordem!$F$6)</f>
        <v>0</v>
      </c>
      <c r="E40" s="43" t="n">
        <f aca="false">MAX(0,MIN(C40-D40,$B40-(0)))</f>
        <v>0</v>
      </c>
      <c r="F40" s="43" t="n">
        <f aca="false">MAX(0,C40-D40-E40)</f>
        <v>0</v>
      </c>
      <c r="G40" s="43" t="n">
        <f aca="false">IF(J39&gt;0.005,J39*(1+Ordem!$E$7),0)</f>
        <v>0</v>
      </c>
      <c r="H40" s="43" t="n">
        <f aca="false">MIN(G40,Ordem!$F$7)</f>
        <v>0</v>
      </c>
      <c r="I40" s="43" t="n">
        <f aca="false">MAX(0,MIN(G40-H40,$B40-(E40)))</f>
        <v>0</v>
      </c>
      <c r="J40" s="43" t="n">
        <f aca="false">MAX(0,G40-H40-I40)</f>
        <v>0</v>
      </c>
      <c r="K40" s="43" t="n">
        <f aca="false">IF(N39&gt;0.005,N39*(1+Ordem!$E$8),0)</f>
        <v>0</v>
      </c>
      <c r="L40" s="43" t="n">
        <f aca="false">MIN(K40,Ordem!$F$8)</f>
        <v>0</v>
      </c>
      <c r="M40" s="43" t="n">
        <f aca="false">MAX(0,MIN(K40-L40,$B40-(E40+I40)))</f>
        <v>0</v>
      </c>
      <c r="N40" s="43" t="n">
        <f aca="false">MAX(0,K40-L40-M40)</f>
        <v>0</v>
      </c>
      <c r="O40" s="43" t="n">
        <f aca="false">IF(R39&gt;0.005,R39*(1+Ordem!$E$9),0)</f>
        <v>0</v>
      </c>
      <c r="P40" s="43" t="n">
        <f aca="false">MIN(O40,Ordem!$F$9)</f>
        <v>0</v>
      </c>
      <c r="Q40" s="43" t="n">
        <f aca="false">MAX(0,MIN(O40-P40,$B40-(E40+I40+M40)))</f>
        <v>0</v>
      </c>
      <c r="R40" s="43" t="n">
        <f aca="false">MAX(0,O40-P40-Q40)</f>
        <v>0</v>
      </c>
      <c r="S40" s="43" t="n">
        <f aca="false">IF(V39&gt;0.005,V39*(1+Ordem!$E$10),0)</f>
        <v>0</v>
      </c>
      <c r="T40" s="43" t="n">
        <f aca="false">MIN(S40,Ordem!$F$10)</f>
        <v>0</v>
      </c>
      <c r="U40" s="43" t="n">
        <f aca="false">MAX(0,MIN(S40-T40,$B40-(E40+I40+M40+Q40)))</f>
        <v>0</v>
      </c>
      <c r="V40" s="43" t="n">
        <f aca="false">MAX(0,S40-T40-U40)</f>
        <v>0</v>
      </c>
      <c r="W40" s="43" t="n">
        <f aca="false">IF(Z39&gt;0.005,Z39*(1+Ordem!$E$11),0)</f>
        <v>0</v>
      </c>
      <c r="X40" s="43" t="n">
        <f aca="false">MIN(W40,Ordem!$F$11)</f>
        <v>0</v>
      </c>
      <c r="Y40" s="43" t="n">
        <f aca="false">MAX(0,MIN(W40-X40,$B40-(E40+I40+M40+Q40+U40)))</f>
        <v>0</v>
      </c>
      <c r="Z40" s="43" t="n">
        <f aca="false">MAX(0,W40-X40-Y40)</f>
        <v>0</v>
      </c>
      <c r="AA40" s="43" t="n">
        <f aca="false">IF(AD39&gt;0.005,AD39*(1+Ordem!$E$12),0)</f>
        <v>0</v>
      </c>
      <c r="AB40" s="43" t="n">
        <f aca="false">MIN(AA40,Ordem!$F$12)</f>
        <v>0</v>
      </c>
      <c r="AC40" s="43" t="n">
        <f aca="false">MAX(0,MIN(AA40-AB40,$B40-(E40+I40+M40+Q40+U40+Y40)))</f>
        <v>0</v>
      </c>
      <c r="AD40" s="43" t="n">
        <f aca="false">MAX(0,AA40-AB40-AC40)</f>
        <v>0</v>
      </c>
      <c r="AE40" s="43" t="n">
        <f aca="false">IF(AH39&gt;0.005,AH39*(1+Ordem!$E$13),0)</f>
        <v>0</v>
      </c>
      <c r="AF40" s="43" t="n">
        <f aca="false">MIN(AE40,Ordem!$F$13)</f>
        <v>0</v>
      </c>
      <c r="AG40" s="43" t="n">
        <f aca="false">MAX(0,MIN(AE40-AF40,$B40-(E40+I40+M40+Q40+U40+Y40+AC40)))</f>
        <v>0</v>
      </c>
      <c r="AH40" s="43" t="n">
        <f aca="false">MAX(0,AE40-AF40-AG40)</f>
        <v>0</v>
      </c>
      <c r="AI40" s="43" t="n">
        <f aca="false">IF(AL39&gt;0.005,AL39*(1+Ordem!$E$14),0)</f>
        <v>0</v>
      </c>
      <c r="AJ40" s="43" t="n">
        <f aca="false">MIN(AI40,Ordem!$F$14)</f>
        <v>0</v>
      </c>
      <c r="AK40" s="43" t="n">
        <f aca="false">MAX(0,MIN(AI40-AJ40,$B40-(E40+I40+M40+Q40+U40+Y40+AC40+AG40)))</f>
        <v>0</v>
      </c>
      <c r="AL40" s="43" t="n">
        <f aca="false">MAX(0,AI40-AJ40-AK40)</f>
        <v>0</v>
      </c>
      <c r="AM40" s="43" t="n">
        <f aca="false">IF(AP39&gt;0.005,AP39*(1+Ordem!$E$15),0)</f>
        <v>0</v>
      </c>
      <c r="AN40" s="43" t="n">
        <f aca="false">MIN(AM40,Ordem!$F$15)</f>
        <v>0</v>
      </c>
      <c r="AO40" s="43" t="n">
        <f aca="false">MAX(0,MIN(AM40-AN40,$B40-(E40+I40+M40+Q40+U40+Y40+AC40+AG40+AK40)))</f>
        <v>0</v>
      </c>
      <c r="AP40" s="43" t="n">
        <f aca="false">MAX(0,AM40-AN40-AO40)</f>
        <v>0</v>
      </c>
      <c r="AQ40" s="43" t="n">
        <f aca="false">F40+J40+N40+R40+V40+Z40+AD40+AH40+AL40+AP40</f>
        <v>0</v>
      </c>
      <c r="AR40" s="43" t="n">
        <f aca="false">D40+E40+H40+I40+L40+M40+P40+Q40+T40+U40+X40+Y40+AB40+AC40+AF40+AG40+AJ40+AK40+AN40+AO40</f>
        <v>0</v>
      </c>
    </row>
    <row r="41" customFormat="false" ht="15" hidden="false" customHeight="false" outlineLevel="0" collapsed="false">
      <c r="A41" s="0" t="n">
        <v>37</v>
      </c>
      <c r="B41" s="43" t="n">
        <f aca="false">MAX(0,Dívidas!$C$20-(D41+H41+L41+P41+T41+X41+AB41+AF41+AJ41+AN41))</f>
        <v>1450</v>
      </c>
      <c r="C41" s="43" t="n">
        <f aca="false">IF(F40&gt;0.005,F40*(1+Ordem!$E$6),0)</f>
        <v>0</v>
      </c>
      <c r="D41" s="43" t="n">
        <f aca="false">MIN(C41,Ordem!$F$6)</f>
        <v>0</v>
      </c>
      <c r="E41" s="43" t="n">
        <f aca="false">MAX(0,MIN(C41-D41,$B41-(0)))</f>
        <v>0</v>
      </c>
      <c r="F41" s="43" t="n">
        <f aca="false">MAX(0,C41-D41-E41)</f>
        <v>0</v>
      </c>
      <c r="G41" s="43" t="n">
        <f aca="false">IF(J40&gt;0.005,J40*(1+Ordem!$E$7),0)</f>
        <v>0</v>
      </c>
      <c r="H41" s="43" t="n">
        <f aca="false">MIN(G41,Ordem!$F$7)</f>
        <v>0</v>
      </c>
      <c r="I41" s="43" t="n">
        <f aca="false">MAX(0,MIN(G41-H41,$B41-(E41)))</f>
        <v>0</v>
      </c>
      <c r="J41" s="43" t="n">
        <f aca="false">MAX(0,G41-H41-I41)</f>
        <v>0</v>
      </c>
      <c r="K41" s="43" t="n">
        <f aca="false">IF(N40&gt;0.005,N40*(1+Ordem!$E$8),0)</f>
        <v>0</v>
      </c>
      <c r="L41" s="43" t="n">
        <f aca="false">MIN(K41,Ordem!$F$8)</f>
        <v>0</v>
      </c>
      <c r="M41" s="43" t="n">
        <f aca="false">MAX(0,MIN(K41-L41,$B41-(E41+I41)))</f>
        <v>0</v>
      </c>
      <c r="N41" s="43" t="n">
        <f aca="false">MAX(0,K41-L41-M41)</f>
        <v>0</v>
      </c>
      <c r="O41" s="43" t="n">
        <f aca="false">IF(R40&gt;0.005,R40*(1+Ordem!$E$9),0)</f>
        <v>0</v>
      </c>
      <c r="P41" s="43" t="n">
        <f aca="false">MIN(O41,Ordem!$F$9)</f>
        <v>0</v>
      </c>
      <c r="Q41" s="43" t="n">
        <f aca="false">MAX(0,MIN(O41-P41,$B41-(E41+I41+M41)))</f>
        <v>0</v>
      </c>
      <c r="R41" s="43" t="n">
        <f aca="false">MAX(0,O41-P41-Q41)</f>
        <v>0</v>
      </c>
      <c r="S41" s="43" t="n">
        <f aca="false">IF(V40&gt;0.005,V40*(1+Ordem!$E$10),0)</f>
        <v>0</v>
      </c>
      <c r="T41" s="43" t="n">
        <f aca="false">MIN(S41,Ordem!$F$10)</f>
        <v>0</v>
      </c>
      <c r="U41" s="43" t="n">
        <f aca="false">MAX(0,MIN(S41-T41,$B41-(E41+I41+M41+Q41)))</f>
        <v>0</v>
      </c>
      <c r="V41" s="43" t="n">
        <f aca="false">MAX(0,S41-T41-U41)</f>
        <v>0</v>
      </c>
      <c r="W41" s="43" t="n">
        <f aca="false">IF(Z40&gt;0.005,Z40*(1+Ordem!$E$11),0)</f>
        <v>0</v>
      </c>
      <c r="X41" s="43" t="n">
        <f aca="false">MIN(W41,Ordem!$F$11)</f>
        <v>0</v>
      </c>
      <c r="Y41" s="43" t="n">
        <f aca="false">MAX(0,MIN(W41-X41,$B41-(E41+I41+M41+Q41+U41)))</f>
        <v>0</v>
      </c>
      <c r="Z41" s="43" t="n">
        <f aca="false">MAX(0,W41-X41-Y41)</f>
        <v>0</v>
      </c>
      <c r="AA41" s="43" t="n">
        <f aca="false">IF(AD40&gt;0.005,AD40*(1+Ordem!$E$12),0)</f>
        <v>0</v>
      </c>
      <c r="AB41" s="43" t="n">
        <f aca="false">MIN(AA41,Ordem!$F$12)</f>
        <v>0</v>
      </c>
      <c r="AC41" s="43" t="n">
        <f aca="false">MAX(0,MIN(AA41-AB41,$B41-(E41+I41+M41+Q41+U41+Y41)))</f>
        <v>0</v>
      </c>
      <c r="AD41" s="43" t="n">
        <f aca="false">MAX(0,AA41-AB41-AC41)</f>
        <v>0</v>
      </c>
      <c r="AE41" s="43" t="n">
        <f aca="false">IF(AH40&gt;0.005,AH40*(1+Ordem!$E$13),0)</f>
        <v>0</v>
      </c>
      <c r="AF41" s="43" t="n">
        <f aca="false">MIN(AE41,Ordem!$F$13)</f>
        <v>0</v>
      </c>
      <c r="AG41" s="43" t="n">
        <f aca="false">MAX(0,MIN(AE41-AF41,$B41-(E41+I41+M41+Q41+U41+Y41+AC41)))</f>
        <v>0</v>
      </c>
      <c r="AH41" s="43" t="n">
        <f aca="false">MAX(0,AE41-AF41-AG41)</f>
        <v>0</v>
      </c>
      <c r="AI41" s="43" t="n">
        <f aca="false">IF(AL40&gt;0.005,AL40*(1+Ordem!$E$14),0)</f>
        <v>0</v>
      </c>
      <c r="AJ41" s="43" t="n">
        <f aca="false">MIN(AI41,Ordem!$F$14)</f>
        <v>0</v>
      </c>
      <c r="AK41" s="43" t="n">
        <f aca="false">MAX(0,MIN(AI41-AJ41,$B41-(E41+I41+M41+Q41+U41+Y41+AC41+AG41)))</f>
        <v>0</v>
      </c>
      <c r="AL41" s="43" t="n">
        <f aca="false">MAX(0,AI41-AJ41-AK41)</f>
        <v>0</v>
      </c>
      <c r="AM41" s="43" t="n">
        <f aca="false">IF(AP40&gt;0.005,AP40*(1+Ordem!$E$15),0)</f>
        <v>0</v>
      </c>
      <c r="AN41" s="43" t="n">
        <f aca="false">MIN(AM41,Ordem!$F$15)</f>
        <v>0</v>
      </c>
      <c r="AO41" s="43" t="n">
        <f aca="false">MAX(0,MIN(AM41-AN41,$B41-(E41+I41+M41+Q41+U41+Y41+AC41+AG41+AK41)))</f>
        <v>0</v>
      </c>
      <c r="AP41" s="43" t="n">
        <f aca="false">MAX(0,AM41-AN41-AO41)</f>
        <v>0</v>
      </c>
      <c r="AQ41" s="43" t="n">
        <f aca="false">F41+J41+N41+R41+V41+Z41+AD41+AH41+AL41+AP41</f>
        <v>0</v>
      </c>
      <c r="AR41" s="43" t="n">
        <f aca="false">D41+E41+H41+I41+L41+M41+P41+Q41+T41+U41+X41+Y41+AB41+AC41+AF41+AG41+AJ41+AK41+AN41+AO41</f>
        <v>0</v>
      </c>
    </row>
    <row r="42" customFormat="false" ht="15" hidden="false" customHeight="false" outlineLevel="0" collapsed="false">
      <c r="A42" s="0" t="n">
        <v>38</v>
      </c>
      <c r="B42" s="43" t="n">
        <f aca="false">MAX(0,Dívidas!$C$20-(D42+H42+L42+P42+T42+X42+AB42+AF42+AJ42+AN42))</f>
        <v>1450</v>
      </c>
      <c r="C42" s="43" t="n">
        <f aca="false">IF(F41&gt;0.005,F41*(1+Ordem!$E$6),0)</f>
        <v>0</v>
      </c>
      <c r="D42" s="43" t="n">
        <f aca="false">MIN(C42,Ordem!$F$6)</f>
        <v>0</v>
      </c>
      <c r="E42" s="43" t="n">
        <f aca="false">MAX(0,MIN(C42-D42,$B42-(0)))</f>
        <v>0</v>
      </c>
      <c r="F42" s="43" t="n">
        <f aca="false">MAX(0,C42-D42-E42)</f>
        <v>0</v>
      </c>
      <c r="G42" s="43" t="n">
        <f aca="false">IF(J41&gt;0.005,J41*(1+Ordem!$E$7),0)</f>
        <v>0</v>
      </c>
      <c r="H42" s="43" t="n">
        <f aca="false">MIN(G42,Ordem!$F$7)</f>
        <v>0</v>
      </c>
      <c r="I42" s="43" t="n">
        <f aca="false">MAX(0,MIN(G42-H42,$B42-(E42)))</f>
        <v>0</v>
      </c>
      <c r="J42" s="43" t="n">
        <f aca="false">MAX(0,G42-H42-I42)</f>
        <v>0</v>
      </c>
      <c r="K42" s="43" t="n">
        <f aca="false">IF(N41&gt;0.005,N41*(1+Ordem!$E$8),0)</f>
        <v>0</v>
      </c>
      <c r="L42" s="43" t="n">
        <f aca="false">MIN(K42,Ordem!$F$8)</f>
        <v>0</v>
      </c>
      <c r="M42" s="43" t="n">
        <f aca="false">MAX(0,MIN(K42-L42,$B42-(E42+I42)))</f>
        <v>0</v>
      </c>
      <c r="N42" s="43" t="n">
        <f aca="false">MAX(0,K42-L42-M42)</f>
        <v>0</v>
      </c>
      <c r="O42" s="43" t="n">
        <f aca="false">IF(R41&gt;0.005,R41*(1+Ordem!$E$9),0)</f>
        <v>0</v>
      </c>
      <c r="P42" s="43" t="n">
        <f aca="false">MIN(O42,Ordem!$F$9)</f>
        <v>0</v>
      </c>
      <c r="Q42" s="43" t="n">
        <f aca="false">MAX(0,MIN(O42-P42,$B42-(E42+I42+M42)))</f>
        <v>0</v>
      </c>
      <c r="R42" s="43" t="n">
        <f aca="false">MAX(0,O42-P42-Q42)</f>
        <v>0</v>
      </c>
      <c r="S42" s="43" t="n">
        <f aca="false">IF(V41&gt;0.005,V41*(1+Ordem!$E$10),0)</f>
        <v>0</v>
      </c>
      <c r="T42" s="43" t="n">
        <f aca="false">MIN(S42,Ordem!$F$10)</f>
        <v>0</v>
      </c>
      <c r="U42" s="43" t="n">
        <f aca="false">MAX(0,MIN(S42-T42,$B42-(E42+I42+M42+Q42)))</f>
        <v>0</v>
      </c>
      <c r="V42" s="43" t="n">
        <f aca="false">MAX(0,S42-T42-U42)</f>
        <v>0</v>
      </c>
      <c r="W42" s="43" t="n">
        <f aca="false">IF(Z41&gt;0.005,Z41*(1+Ordem!$E$11),0)</f>
        <v>0</v>
      </c>
      <c r="X42" s="43" t="n">
        <f aca="false">MIN(W42,Ordem!$F$11)</f>
        <v>0</v>
      </c>
      <c r="Y42" s="43" t="n">
        <f aca="false">MAX(0,MIN(W42-X42,$B42-(E42+I42+M42+Q42+U42)))</f>
        <v>0</v>
      </c>
      <c r="Z42" s="43" t="n">
        <f aca="false">MAX(0,W42-X42-Y42)</f>
        <v>0</v>
      </c>
      <c r="AA42" s="43" t="n">
        <f aca="false">IF(AD41&gt;0.005,AD41*(1+Ordem!$E$12),0)</f>
        <v>0</v>
      </c>
      <c r="AB42" s="43" t="n">
        <f aca="false">MIN(AA42,Ordem!$F$12)</f>
        <v>0</v>
      </c>
      <c r="AC42" s="43" t="n">
        <f aca="false">MAX(0,MIN(AA42-AB42,$B42-(E42+I42+M42+Q42+U42+Y42)))</f>
        <v>0</v>
      </c>
      <c r="AD42" s="43" t="n">
        <f aca="false">MAX(0,AA42-AB42-AC42)</f>
        <v>0</v>
      </c>
      <c r="AE42" s="43" t="n">
        <f aca="false">IF(AH41&gt;0.005,AH41*(1+Ordem!$E$13),0)</f>
        <v>0</v>
      </c>
      <c r="AF42" s="43" t="n">
        <f aca="false">MIN(AE42,Ordem!$F$13)</f>
        <v>0</v>
      </c>
      <c r="AG42" s="43" t="n">
        <f aca="false">MAX(0,MIN(AE42-AF42,$B42-(E42+I42+M42+Q42+U42+Y42+AC42)))</f>
        <v>0</v>
      </c>
      <c r="AH42" s="43" t="n">
        <f aca="false">MAX(0,AE42-AF42-AG42)</f>
        <v>0</v>
      </c>
      <c r="AI42" s="43" t="n">
        <f aca="false">IF(AL41&gt;0.005,AL41*(1+Ordem!$E$14),0)</f>
        <v>0</v>
      </c>
      <c r="AJ42" s="43" t="n">
        <f aca="false">MIN(AI42,Ordem!$F$14)</f>
        <v>0</v>
      </c>
      <c r="AK42" s="43" t="n">
        <f aca="false">MAX(0,MIN(AI42-AJ42,$B42-(E42+I42+M42+Q42+U42+Y42+AC42+AG42)))</f>
        <v>0</v>
      </c>
      <c r="AL42" s="43" t="n">
        <f aca="false">MAX(0,AI42-AJ42-AK42)</f>
        <v>0</v>
      </c>
      <c r="AM42" s="43" t="n">
        <f aca="false">IF(AP41&gt;0.005,AP41*(1+Ordem!$E$15),0)</f>
        <v>0</v>
      </c>
      <c r="AN42" s="43" t="n">
        <f aca="false">MIN(AM42,Ordem!$F$15)</f>
        <v>0</v>
      </c>
      <c r="AO42" s="43" t="n">
        <f aca="false">MAX(0,MIN(AM42-AN42,$B42-(E42+I42+M42+Q42+U42+Y42+AC42+AG42+AK42)))</f>
        <v>0</v>
      </c>
      <c r="AP42" s="43" t="n">
        <f aca="false">MAX(0,AM42-AN42-AO42)</f>
        <v>0</v>
      </c>
      <c r="AQ42" s="43" t="n">
        <f aca="false">F42+J42+N42+R42+V42+Z42+AD42+AH42+AL42+AP42</f>
        <v>0</v>
      </c>
      <c r="AR42" s="43" t="n">
        <f aca="false">D42+E42+H42+I42+L42+M42+P42+Q42+T42+U42+X42+Y42+AB42+AC42+AF42+AG42+AJ42+AK42+AN42+AO42</f>
        <v>0</v>
      </c>
    </row>
    <row r="43" customFormat="false" ht="15" hidden="false" customHeight="false" outlineLevel="0" collapsed="false">
      <c r="A43" s="0" t="n">
        <v>39</v>
      </c>
      <c r="B43" s="43" t="n">
        <f aca="false">MAX(0,Dívidas!$C$20-(D43+H43+L43+P43+T43+X43+AB43+AF43+AJ43+AN43))</f>
        <v>1450</v>
      </c>
      <c r="C43" s="43" t="n">
        <f aca="false">IF(F42&gt;0.005,F42*(1+Ordem!$E$6),0)</f>
        <v>0</v>
      </c>
      <c r="D43" s="43" t="n">
        <f aca="false">MIN(C43,Ordem!$F$6)</f>
        <v>0</v>
      </c>
      <c r="E43" s="43" t="n">
        <f aca="false">MAX(0,MIN(C43-D43,$B43-(0)))</f>
        <v>0</v>
      </c>
      <c r="F43" s="43" t="n">
        <f aca="false">MAX(0,C43-D43-E43)</f>
        <v>0</v>
      </c>
      <c r="G43" s="43" t="n">
        <f aca="false">IF(J42&gt;0.005,J42*(1+Ordem!$E$7),0)</f>
        <v>0</v>
      </c>
      <c r="H43" s="43" t="n">
        <f aca="false">MIN(G43,Ordem!$F$7)</f>
        <v>0</v>
      </c>
      <c r="I43" s="43" t="n">
        <f aca="false">MAX(0,MIN(G43-H43,$B43-(E43)))</f>
        <v>0</v>
      </c>
      <c r="J43" s="43" t="n">
        <f aca="false">MAX(0,G43-H43-I43)</f>
        <v>0</v>
      </c>
      <c r="K43" s="43" t="n">
        <f aca="false">IF(N42&gt;0.005,N42*(1+Ordem!$E$8),0)</f>
        <v>0</v>
      </c>
      <c r="L43" s="43" t="n">
        <f aca="false">MIN(K43,Ordem!$F$8)</f>
        <v>0</v>
      </c>
      <c r="M43" s="43" t="n">
        <f aca="false">MAX(0,MIN(K43-L43,$B43-(E43+I43)))</f>
        <v>0</v>
      </c>
      <c r="N43" s="43" t="n">
        <f aca="false">MAX(0,K43-L43-M43)</f>
        <v>0</v>
      </c>
      <c r="O43" s="43" t="n">
        <f aca="false">IF(R42&gt;0.005,R42*(1+Ordem!$E$9),0)</f>
        <v>0</v>
      </c>
      <c r="P43" s="43" t="n">
        <f aca="false">MIN(O43,Ordem!$F$9)</f>
        <v>0</v>
      </c>
      <c r="Q43" s="43" t="n">
        <f aca="false">MAX(0,MIN(O43-P43,$B43-(E43+I43+M43)))</f>
        <v>0</v>
      </c>
      <c r="R43" s="43" t="n">
        <f aca="false">MAX(0,O43-P43-Q43)</f>
        <v>0</v>
      </c>
      <c r="S43" s="43" t="n">
        <f aca="false">IF(V42&gt;0.005,V42*(1+Ordem!$E$10),0)</f>
        <v>0</v>
      </c>
      <c r="T43" s="43" t="n">
        <f aca="false">MIN(S43,Ordem!$F$10)</f>
        <v>0</v>
      </c>
      <c r="U43" s="43" t="n">
        <f aca="false">MAX(0,MIN(S43-T43,$B43-(E43+I43+M43+Q43)))</f>
        <v>0</v>
      </c>
      <c r="V43" s="43" t="n">
        <f aca="false">MAX(0,S43-T43-U43)</f>
        <v>0</v>
      </c>
      <c r="W43" s="43" t="n">
        <f aca="false">IF(Z42&gt;0.005,Z42*(1+Ordem!$E$11),0)</f>
        <v>0</v>
      </c>
      <c r="X43" s="43" t="n">
        <f aca="false">MIN(W43,Ordem!$F$11)</f>
        <v>0</v>
      </c>
      <c r="Y43" s="43" t="n">
        <f aca="false">MAX(0,MIN(W43-X43,$B43-(E43+I43+M43+Q43+U43)))</f>
        <v>0</v>
      </c>
      <c r="Z43" s="43" t="n">
        <f aca="false">MAX(0,W43-X43-Y43)</f>
        <v>0</v>
      </c>
      <c r="AA43" s="43" t="n">
        <f aca="false">IF(AD42&gt;0.005,AD42*(1+Ordem!$E$12),0)</f>
        <v>0</v>
      </c>
      <c r="AB43" s="43" t="n">
        <f aca="false">MIN(AA43,Ordem!$F$12)</f>
        <v>0</v>
      </c>
      <c r="AC43" s="43" t="n">
        <f aca="false">MAX(0,MIN(AA43-AB43,$B43-(E43+I43+M43+Q43+U43+Y43)))</f>
        <v>0</v>
      </c>
      <c r="AD43" s="43" t="n">
        <f aca="false">MAX(0,AA43-AB43-AC43)</f>
        <v>0</v>
      </c>
      <c r="AE43" s="43" t="n">
        <f aca="false">IF(AH42&gt;0.005,AH42*(1+Ordem!$E$13),0)</f>
        <v>0</v>
      </c>
      <c r="AF43" s="43" t="n">
        <f aca="false">MIN(AE43,Ordem!$F$13)</f>
        <v>0</v>
      </c>
      <c r="AG43" s="43" t="n">
        <f aca="false">MAX(0,MIN(AE43-AF43,$B43-(E43+I43+M43+Q43+U43+Y43+AC43)))</f>
        <v>0</v>
      </c>
      <c r="AH43" s="43" t="n">
        <f aca="false">MAX(0,AE43-AF43-AG43)</f>
        <v>0</v>
      </c>
      <c r="AI43" s="43" t="n">
        <f aca="false">IF(AL42&gt;0.005,AL42*(1+Ordem!$E$14),0)</f>
        <v>0</v>
      </c>
      <c r="AJ43" s="43" t="n">
        <f aca="false">MIN(AI43,Ordem!$F$14)</f>
        <v>0</v>
      </c>
      <c r="AK43" s="43" t="n">
        <f aca="false">MAX(0,MIN(AI43-AJ43,$B43-(E43+I43+M43+Q43+U43+Y43+AC43+AG43)))</f>
        <v>0</v>
      </c>
      <c r="AL43" s="43" t="n">
        <f aca="false">MAX(0,AI43-AJ43-AK43)</f>
        <v>0</v>
      </c>
      <c r="AM43" s="43" t="n">
        <f aca="false">IF(AP42&gt;0.005,AP42*(1+Ordem!$E$15),0)</f>
        <v>0</v>
      </c>
      <c r="AN43" s="43" t="n">
        <f aca="false">MIN(AM43,Ordem!$F$15)</f>
        <v>0</v>
      </c>
      <c r="AO43" s="43" t="n">
        <f aca="false">MAX(0,MIN(AM43-AN43,$B43-(E43+I43+M43+Q43+U43+Y43+AC43+AG43+AK43)))</f>
        <v>0</v>
      </c>
      <c r="AP43" s="43" t="n">
        <f aca="false">MAX(0,AM43-AN43-AO43)</f>
        <v>0</v>
      </c>
      <c r="AQ43" s="43" t="n">
        <f aca="false">F43+J43+N43+R43+V43+Z43+AD43+AH43+AL43+AP43</f>
        <v>0</v>
      </c>
      <c r="AR43" s="43" t="n">
        <f aca="false">D43+E43+H43+I43+L43+M43+P43+Q43+T43+U43+X43+Y43+AB43+AC43+AF43+AG43+AJ43+AK43+AN43+AO43</f>
        <v>0</v>
      </c>
    </row>
    <row r="44" customFormat="false" ht="15" hidden="false" customHeight="false" outlineLevel="0" collapsed="false">
      <c r="A44" s="0" t="n">
        <v>40</v>
      </c>
      <c r="B44" s="43" t="n">
        <f aca="false">MAX(0,Dívidas!$C$20-(D44+H44+L44+P44+T44+X44+AB44+AF44+AJ44+AN44))</f>
        <v>1450</v>
      </c>
      <c r="C44" s="43" t="n">
        <f aca="false">IF(F43&gt;0.005,F43*(1+Ordem!$E$6),0)</f>
        <v>0</v>
      </c>
      <c r="D44" s="43" t="n">
        <f aca="false">MIN(C44,Ordem!$F$6)</f>
        <v>0</v>
      </c>
      <c r="E44" s="43" t="n">
        <f aca="false">MAX(0,MIN(C44-D44,$B44-(0)))</f>
        <v>0</v>
      </c>
      <c r="F44" s="43" t="n">
        <f aca="false">MAX(0,C44-D44-E44)</f>
        <v>0</v>
      </c>
      <c r="G44" s="43" t="n">
        <f aca="false">IF(J43&gt;0.005,J43*(1+Ordem!$E$7),0)</f>
        <v>0</v>
      </c>
      <c r="H44" s="43" t="n">
        <f aca="false">MIN(G44,Ordem!$F$7)</f>
        <v>0</v>
      </c>
      <c r="I44" s="43" t="n">
        <f aca="false">MAX(0,MIN(G44-H44,$B44-(E44)))</f>
        <v>0</v>
      </c>
      <c r="J44" s="43" t="n">
        <f aca="false">MAX(0,G44-H44-I44)</f>
        <v>0</v>
      </c>
      <c r="K44" s="43" t="n">
        <f aca="false">IF(N43&gt;0.005,N43*(1+Ordem!$E$8),0)</f>
        <v>0</v>
      </c>
      <c r="L44" s="43" t="n">
        <f aca="false">MIN(K44,Ordem!$F$8)</f>
        <v>0</v>
      </c>
      <c r="M44" s="43" t="n">
        <f aca="false">MAX(0,MIN(K44-L44,$B44-(E44+I44)))</f>
        <v>0</v>
      </c>
      <c r="N44" s="43" t="n">
        <f aca="false">MAX(0,K44-L44-M44)</f>
        <v>0</v>
      </c>
      <c r="O44" s="43" t="n">
        <f aca="false">IF(R43&gt;0.005,R43*(1+Ordem!$E$9),0)</f>
        <v>0</v>
      </c>
      <c r="P44" s="43" t="n">
        <f aca="false">MIN(O44,Ordem!$F$9)</f>
        <v>0</v>
      </c>
      <c r="Q44" s="43" t="n">
        <f aca="false">MAX(0,MIN(O44-P44,$B44-(E44+I44+M44)))</f>
        <v>0</v>
      </c>
      <c r="R44" s="43" t="n">
        <f aca="false">MAX(0,O44-P44-Q44)</f>
        <v>0</v>
      </c>
      <c r="S44" s="43" t="n">
        <f aca="false">IF(V43&gt;0.005,V43*(1+Ordem!$E$10),0)</f>
        <v>0</v>
      </c>
      <c r="T44" s="43" t="n">
        <f aca="false">MIN(S44,Ordem!$F$10)</f>
        <v>0</v>
      </c>
      <c r="U44" s="43" t="n">
        <f aca="false">MAX(0,MIN(S44-T44,$B44-(E44+I44+M44+Q44)))</f>
        <v>0</v>
      </c>
      <c r="V44" s="43" t="n">
        <f aca="false">MAX(0,S44-T44-U44)</f>
        <v>0</v>
      </c>
      <c r="W44" s="43" t="n">
        <f aca="false">IF(Z43&gt;0.005,Z43*(1+Ordem!$E$11),0)</f>
        <v>0</v>
      </c>
      <c r="X44" s="43" t="n">
        <f aca="false">MIN(W44,Ordem!$F$11)</f>
        <v>0</v>
      </c>
      <c r="Y44" s="43" t="n">
        <f aca="false">MAX(0,MIN(W44-X44,$B44-(E44+I44+M44+Q44+U44)))</f>
        <v>0</v>
      </c>
      <c r="Z44" s="43" t="n">
        <f aca="false">MAX(0,W44-X44-Y44)</f>
        <v>0</v>
      </c>
      <c r="AA44" s="43" t="n">
        <f aca="false">IF(AD43&gt;0.005,AD43*(1+Ordem!$E$12),0)</f>
        <v>0</v>
      </c>
      <c r="AB44" s="43" t="n">
        <f aca="false">MIN(AA44,Ordem!$F$12)</f>
        <v>0</v>
      </c>
      <c r="AC44" s="43" t="n">
        <f aca="false">MAX(0,MIN(AA44-AB44,$B44-(E44+I44+M44+Q44+U44+Y44)))</f>
        <v>0</v>
      </c>
      <c r="AD44" s="43" t="n">
        <f aca="false">MAX(0,AA44-AB44-AC44)</f>
        <v>0</v>
      </c>
      <c r="AE44" s="43" t="n">
        <f aca="false">IF(AH43&gt;0.005,AH43*(1+Ordem!$E$13),0)</f>
        <v>0</v>
      </c>
      <c r="AF44" s="43" t="n">
        <f aca="false">MIN(AE44,Ordem!$F$13)</f>
        <v>0</v>
      </c>
      <c r="AG44" s="43" t="n">
        <f aca="false">MAX(0,MIN(AE44-AF44,$B44-(E44+I44+M44+Q44+U44+Y44+AC44)))</f>
        <v>0</v>
      </c>
      <c r="AH44" s="43" t="n">
        <f aca="false">MAX(0,AE44-AF44-AG44)</f>
        <v>0</v>
      </c>
      <c r="AI44" s="43" t="n">
        <f aca="false">IF(AL43&gt;0.005,AL43*(1+Ordem!$E$14),0)</f>
        <v>0</v>
      </c>
      <c r="AJ44" s="43" t="n">
        <f aca="false">MIN(AI44,Ordem!$F$14)</f>
        <v>0</v>
      </c>
      <c r="AK44" s="43" t="n">
        <f aca="false">MAX(0,MIN(AI44-AJ44,$B44-(E44+I44+M44+Q44+U44+Y44+AC44+AG44)))</f>
        <v>0</v>
      </c>
      <c r="AL44" s="43" t="n">
        <f aca="false">MAX(0,AI44-AJ44-AK44)</f>
        <v>0</v>
      </c>
      <c r="AM44" s="43" t="n">
        <f aca="false">IF(AP43&gt;0.005,AP43*(1+Ordem!$E$15),0)</f>
        <v>0</v>
      </c>
      <c r="AN44" s="43" t="n">
        <f aca="false">MIN(AM44,Ordem!$F$15)</f>
        <v>0</v>
      </c>
      <c r="AO44" s="43" t="n">
        <f aca="false">MAX(0,MIN(AM44-AN44,$B44-(E44+I44+M44+Q44+U44+Y44+AC44+AG44+AK44)))</f>
        <v>0</v>
      </c>
      <c r="AP44" s="43" t="n">
        <f aca="false">MAX(0,AM44-AN44-AO44)</f>
        <v>0</v>
      </c>
      <c r="AQ44" s="43" t="n">
        <f aca="false">F44+J44+N44+R44+V44+Z44+AD44+AH44+AL44+AP44</f>
        <v>0</v>
      </c>
      <c r="AR44" s="43" t="n">
        <f aca="false">D44+E44+H44+I44+L44+M44+P44+Q44+T44+U44+X44+Y44+AB44+AC44+AF44+AG44+AJ44+AK44+AN44+AO44</f>
        <v>0</v>
      </c>
    </row>
    <row r="45" customFormat="false" ht="15" hidden="false" customHeight="false" outlineLevel="0" collapsed="false">
      <c r="A45" s="0" t="n">
        <v>41</v>
      </c>
      <c r="B45" s="43" t="n">
        <f aca="false">MAX(0,Dívidas!$C$20-(D45+H45+L45+P45+T45+X45+AB45+AF45+AJ45+AN45))</f>
        <v>1450</v>
      </c>
      <c r="C45" s="43" t="n">
        <f aca="false">IF(F44&gt;0.005,F44*(1+Ordem!$E$6),0)</f>
        <v>0</v>
      </c>
      <c r="D45" s="43" t="n">
        <f aca="false">MIN(C45,Ordem!$F$6)</f>
        <v>0</v>
      </c>
      <c r="E45" s="43" t="n">
        <f aca="false">MAX(0,MIN(C45-D45,$B45-(0)))</f>
        <v>0</v>
      </c>
      <c r="F45" s="43" t="n">
        <f aca="false">MAX(0,C45-D45-E45)</f>
        <v>0</v>
      </c>
      <c r="G45" s="43" t="n">
        <f aca="false">IF(J44&gt;0.005,J44*(1+Ordem!$E$7),0)</f>
        <v>0</v>
      </c>
      <c r="H45" s="43" t="n">
        <f aca="false">MIN(G45,Ordem!$F$7)</f>
        <v>0</v>
      </c>
      <c r="I45" s="43" t="n">
        <f aca="false">MAX(0,MIN(G45-H45,$B45-(E45)))</f>
        <v>0</v>
      </c>
      <c r="J45" s="43" t="n">
        <f aca="false">MAX(0,G45-H45-I45)</f>
        <v>0</v>
      </c>
      <c r="K45" s="43" t="n">
        <f aca="false">IF(N44&gt;0.005,N44*(1+Ordem!$E$8),0)</f>
        <v>0</v>
      </c>
      <c r="L45" s="43" t="n">
        <f aca="false">MIN(K45,Ordem!$F$8)</f>
        <v>0</v>
      </c>
      <c r="M45" s="43" t="n">
        <f aca="false">MAX(0,MIN(K45-L45,$B45-(E45+I45)))</f>
        <v>0</v>
      </c>
      <c r="N45" s="43" t="n">
        <f aca="false">MAX(0,K45-L45-M45)</f>
        <v>0</v>
      </c>
      <c r="O45" s="43" t="n">
        <f aca="false">IF(R44&gt;0.005,R44*(1+Ordem!$E$9),0)</f>
        <v>0</v>
      </c>
      <c r="P45" s="43" t="n">
        <f aca="false">MIN(O45,Ordem!$F$9)</f>
        <v>0</v>
      </c>
      <c r="Q45" s="43" t="n">
        <f aca="false">MAX(0,MIN(O45-P45,$B45-(E45+I45+M45)))</f>
        <v>0</v>
      </c>
      <c r="R45" s="43" t="n">
        <f aca="false">MAX(0,O45-P45-Q45)</f>
        <v>0</v>
      </c>
      <c r="S45" s="43" t="n">
        <f aca="false">IF(V44&gt;0.005,V44*(1+Ordem!$E$10),0)</f>
        <v>0</v>
      </c>
      <c r="T45" s="43" t="n">
        <f aca="false">MIN(S45,Ordem!$F$10)</f>
        <v>0</v>
      </c>
      <c r="U45" s="43" t="n">
        <f aca="false">MAX(0,MIN(S45-T45,$B45-(E45+I45+M45+Q45)))</f>
        <v>0</v>
      </c>
      <c r="V45" s="43" t="n">
        <f aca="false">MAX(0,S45-T45-U45)</f>
        <v>0</v>
      </c>
      <c r="W45" s="43" t="n">
        <f aca="false">IF(Z44&gt;0.005,Z44*(1+Ordem!$E$11),0)</f>
        <v>0</v>
      </c>
      <c r="X45" s="43" t="n">
        <f aca="false">MIN(W45,Ordem!$F$11)</f>
        <v>0</v>
      </c>
      <c r="Y45" s="43" t="n">
        <f aca="false">MAX(0,MIN(W45-X45,$B45-(E45+I45+M45+Q45+U45)))</f>
        <v>0</v>
      </c>
      <c r="Z45" s="43" t="n">
        <f aca="false">MAX(0,W45-X45-Y45)</f>
        <v>0</v>
      </c>
      <c r="AA45" s="43" t="n">
        <f aca="false">IF(AD44&gt;0.005,AD44*(1+Ordem!$E$12),0)</f>
        <v>0</v>
      </c>
      <c r="AB45" s="43" t="n">
        <f aca="false">MIN(AA45,Ordem!$F$12)</f>
        <v>0</v>
      </c>
      <c r="AC45" s="43" t="n">
        <f aca="false">MAX(0,MIN(AA45-AB45,$B45-(E45+I45+M45+Q45+U45+Y45)))</f>
        <v>0</v>
      </c>
      <c r="AD45" s="43" t="n">
        <f aca="false">MAX(0,AA45-AB45-AC45)</f>
        <v>0</v>
      </c>
      <c r="AE45" s="43" t="n">
        <f aca="false">IF(AH44&gt;0.005,AH44*(1+Ordem!$E$13),0)</f>
        <v>0</v>
      </c>
      <c r="AF45" s="43" t="n">
        <f aca="false">MIN(AE45,Ordem!$F$13)</f>
        <v>0</v>
      </c>
      <c r="AG45" s="43" t="n">
        <f aca="false">MAX(0,MIN(AE45-AF45,$B45-(E45+I45+M45+Q45+U45+Y45+AC45)))</f>
        <v>0</v>
      </c>
      <c r="AH45" s="43" t="n">
        <f aca="false">MAX(0,AE45-AF45-AG45)</f>
        <v>0</v>
      </c>
      <c r="AI45" s="43" t="n">
        <f aca="false">IF(AL44&gt;0.005,AL44*(1+Ordem!$E$14),0)</f>
        <v>0</v>
      </c>
      <c r="AJ45" s="43" t="n">
        <f aca="false">MIN(AI45,Ordem!$F$14)</f>
        <v>0</v>
      </c>
      <c r="AK45" s="43" t="n">
        <f aca="false">MAX(0,MIN(AI45-AJ45,$B45-(E45+I45+M45+Q45+U45+Y45+AC45+AG45)))</f>
        <v>0</v>
      </c>
      <c r="AL45" s="43" t="n">
        <f aca="false">MAX(0,AI45-AJ45-AK45)</f>
        <v>0</v>
      </c>
      <c r="AM45" s="43" t="n">
        <f aca="false">IF(AP44&gt;0.005,AP44*(1+Ordem!$E$15),0)</f>
        <v>0</v>
      </c>
      <c r="AN45" s="43" t="n">
        <f aca="false">MIN(AM45,Ordem!$F$15)</f>
        <v>0</v>
      </c>
      <c r="AO45" s="43" t="n">
        <f aca="false">MAX(0,MIN(AM45-AN45,$B45-(E45+I45+M45+Q45+U45+Y45+AC45+AG45+AK45)))</f>
        <v>0</v>
      </c>
      <c r="AP45" s="43" t="n">
        <f aca="false">MAX(0,AM45-AN45-AO45)</f>
        <v>0</v>
      </c>
      <c r="AQ45" s="43" t="n">
        <f aca="false">F45+J45+N45+R45+V45+Z45+AD45+AH45+AL45+AP45</f>
        <v>0</v>
      </c>
      <c r="AR45" s="43" t="n">
        <f aca="false">D45+E45+H45+I45+L45+M45+P45+Q45+T45+U45+X45+Y45+AB45+AC45+AF45+AG45+AJ45+AK45+AN45+AO45</f>
        <v>0</v>
      </c>
    </row>
    <row r="46" customFormat="false" ht="15" hidden="false" customHeight="false" outlineLevel="0" collapsed="false">
      <c r="A46" s="0" t="n">
        <v>42</v>
      </c>
      <c r="B46" s="43" t="n">
        <f aca="false">MAX(0,Dívidas!$C$20-(D46+H46+L46+P46+T46+X46+AB46+AF46+AJ46+AN46))</f>
        <v>1450</v>
      </c>
      <c r="C46" s="43" t="n">
        <f aca="false">IF(F45&gt;0.005,F45*(1+Ordem!$E$6),0)</f>
        <v>0</v>
      </c>
      <c r="D46" s="43" t="n">
        <f aca="false">MIN(C46,Ordem!$F$6)</f>
        <v>0</v>
      </c>
      <c r="E46" s="43" t="n">
        <f aca="false">MAX(0,MIN(C46-D46,$B46-(0)))</f>
        <v>0</v>
      </c>
      <c r="F46" s="43" t="n">
        <f aca="false">MAX(0,C46-D46-E46)</f>
        <v>0</v>
      </c>
      <c r="G46" s="43" t="n">
        <f aca="false">IF(J45&gt;0.005,J45*(1+Ordem!$E$7),0)</f>
        <v>0</v>
      </c>
      <c r="H46" s="43" t="n">
        <f aca="false">MIN(G46,Ordem!$F$7)</f>
        <v>0</v>
      </c>
      <c r="I46" s="43" t="n">
        <f aca="false">MAX(0,MIN(G46-H46,$B46-(E46)))</f>
        <v>0</v>
      </c>
      <c r="J46" s="43" t="n">
        <f aca="false">MAX(0,G46-H46-I46)</f>
        <v>0</v>
      </c>
      <c r="K46" s="43" t="n">
        <f aca="false">IF(N45&gt;0.005,N45*(1+Ordem!$E$8),0)</f>
        <v>0</v>
      </c>
      <c r="L46" s="43" t="n">
        <f aca="false">MIN(K46,Ordem!$F$8)</f>
        <v>0</v>
      </c>
      <c r="M46" s="43" t="n">
        <f aca="false">MAX(0,MIN(K46-L46,$B46-(E46+I46)))</f>
        <v>0</v>
      </c>
      <c r="N46" s="43" t="n">
        <f aca="false">MAX(0,K46-L46-M46)</f>
        <v>0</v>
      </c>
      <c r="O46" s="43" t="n">
        <f aca="false">IF(R45&gt;0.005,R45*(1+Ordem!$E$9),0)</f>
        <v>0</v>
      </c>
      <c r="P46" s="43" t="n">
        <f aca="false">MIN(O46,Ordem!$F$9)</f>
        <v>0</v>
      </c>
      <c r="Q46" s="43" t="n">
        <f aca="false">MAX(0,MIN(O46-P46,$B46-(E46+I46+M46)))</f>
        <v>0</v>
      </c>
      <c r="R46" s="43" t="n">
        <f aca="false">MAX(0,O46-P46-Q46)</f>
        <v>0</v>
      </c>
      <c r="S46" s="43" t="n">
        <f aca="false">IF(V45&gt;0.005,V45*(1+Ordem!$E$10),0)</f>
        <v>0</v>
      </c>
      <c r="T46" s="43" t="n">
        <f aca="false">MIN(S46,Ordem!$F$10)</f>
        <v>0</v>
      </c>
      <c r="U46" s="43" t="n">
        <f aca="false">MAX(0,MIN(S46-T46,$B46-(E46+I46+M46+Q46)))</f>
        <v>0</v>
      </c>
      <c r="V46" s="43" t="n">
        <f aca="false">MAX(0,S46-T46-U46)</f>
        <v>0</v>
      </c>
      <c r="W46" s="43" t="n">
        <f aca="false">IF(Z45&gt;0.005,Z45*(1+Ordem!$E$11),0)</f>
        <v>0</v>
      </c>
      <c r="X46" s="43" t="n">
        <f aca="false">MIN(W46,Ordem!$F$11)</f>
        <v>0</v>
      </c>
      <c r="Y46" s="43" t="n">
        <f aca="false">MAX(0,MIN(W46-X46,$B46-(E46+I46+M46+Q46+U46)))</f>
        <v>0</v>
      </c>
      <c r="Z46" s="43" t="n">
        <f aca="false">MAX(0,W46-X46-Y46)</f>
        <v>0</v>
      </c>
      <c r="AA46" s="43" t="n">
        <f aca="false">IF(AD45&gt;0.005,AD45*(1+Ordem!$E$12),0)</f>
        <v>0</v>
      </c>
      <c r="AB46" s="43" t="n">
        <f aca="false">MIN(AA46,Ordem!$F$12)</f>
        <v>0</v>
      </c>
      <c r="AC46" s="43" t="n">
        <f aca="false">MAX(0,MIN(AA46-AB46,$B46-(E46+I46+M46+Q46+U46+Y46)))</f>
        <v>0</v>
      </c>
      <c r="AD46" s="43" t="n">
        <f aca="false">MAX(0,AA46-AB46-AC46)</f>
        <v>0</v>
      </c>
      <c r="AE46" s="43" t="n">
        <f aca="false">IF(AH45&gt;0.005,AH45*(1+Ordem!$E$13),0)</f>
        <v>0</v>
      </c>
      <c r="AF46" s="43" t="n">
        <f aca="false">MIN(AE46,Ordem!$F$13)</f>
        <v>0</v>
      </c>
      <c r="AG46" s="43" t="n">
        <f aca="false">MAX(0,MIN(AE46-AF46,$B46-(E46+I46+M46+Q46+U46+Y46+AC46)))</f>
        <v>0</v>
      </c>
      <c r="AH46" s="43" t="n">
        <f aca="false">MAX(0,AE46-AF46-AG46)</f>
        <v>0</v>
      </c>
      <c r="AI46" s="43" t="n">
        <f aca="false">IF(AL45&gt;0.005,AL45*(1+Ordem!$E$14),0)</f>
        <v>0</v>
      </c>
      <c r="AJ46" s="43" t="n">
        <f aca="false">MIN(AI46,Ordem!$F$14)</f>
        <v>0</v>
      </c>
      <c r="AK46" s="43" t="n">
        <f aca="false">MAX(0,MIN(AI46-AJ46,$B46-(E46+I46+M46+Q46+U46+Y46+AC46+AG46)))</f>
        <v>0</v>
      </c>
      <c r="AL46" s="43" t="n">
        <f aca="false">MAX(0,AI46-AJ46-AK46)</f>
        <v>0</v>
      </c>
      <c r="AM46" s="43" t="n">
        <f aca="false">IF(AP45&gt;0.005,AP45*(1+Ordem!$E$15),0)</f>
        <v>0</v>
      </c>
      <c r="AN46" s="43" t="n">
        <f aca="false">MIN(AM46,Ordem!$F$15)</f>
        <v>0</v>
      </c>
      <c r="AO46" s="43" t="n">
        <f aca="false">MAX(0,MIN(AM46-AN46,$B46-(E46+I46+M46+Q46+U46+Y46+AC46+AG46+AK46)))</f>
        <v>0</v>
      </c>
      <c r="AP46" s="43" t="n">
        <f aca="false">MAX(0,AM46-AN46-AO46)</f>
        <v>0</v>
      </c>
      <c r="AQ46" s="43" t="n">
        <f aca="false">F46+J46+N46+R46+V46+Z46+AD46+AH46+AL46+AP46</f>
        <v>0</v>
      </c>
      <c r="AR46" s="43" t="n">
        <f aca="false">D46+E46+H46+I46+L46+M46+P46+Q46+T46+U46+X46+Y46+AB46+AC46+AF46+AG46+AJ46+AK46+AN46+AO46</f>
        <v>0</v>
      </c>
    </row>
    <row r="47" customFormat="false" ht="15" hidden="false" customHeight="false" outlineLevel="0" collapsed="false">
      <c r="A47" s="0" t="n">
        <v>43</v>
      </c>
      <c r="B47" s="43" t="n">
        <f aca="false">MAX(0,Dívidas!$C$20-(D47+H47+L47+P47+T47+X47+AB47+AF47+AJ47+AN47))</f>
        <v>1450</v>
      </c>
      <c r="C47" s="43" t="n">
        <f aca="false">IF(F46&gt;0.005,F46*(1+Ordem!$E$6),0)</f>
        <v>0</v>
      </c>
      <c r="D47" s="43" t="n">
        <f aca="false">MIN(C47,Ordem!$F$6)</f>
        <v>0</v>
      </c>
      <c r="E47" s="43" t="n">
        <f aca="false">MAX(0,MIN(C47-D47,$B47-(0)))</f>
        <v>0</v>
      </c>
      <c r="F47" s="43" t="n">
        <f aca="false">MAX(0,C47-D47-E47)</f>
        <v>0</v>
      </c>
      <c r="G47" s="43" t="n">
        <f aca="false">IF(J46&gt;0.005,J46*(1+Ordem!$E$7),0)</f>
        <v>0</v>
      </c>
      <c r="H47" s="43" t="n">
        <f aca="false">MIN(G47,Ordem!$F$7)</f>
        <v>0</v>
      </c>
      <c r="I47" s="43" t="n">
        <f aca="false">MAX(0,MIN(G47-H47,$B47-(E47)))</f>
        <v>0</v>
      </c>
      <c r="J47" s="43" t="n">
        <f aca="false">MAX(0,G47-H47-I47)</f>
        <v>0</v>
      </c>
      <c r="K47" s="43" t="n">
        <f aca="false">IF(N46&gt;0.005,N46*(1+Ordem!$E$8),0)</f>
        <v>0</v>
      </c>
      <c r="L47" s="43" t="n">
        <f aca="false">MIN(K47,Ordem!$F$8)</f>
        <v>0</v>
      </c>
      <c r="M47" s="43" t="n">
        <f aca="false">MAX(0,MIN(K47-L47,$B47-(E47+I47)))</f>
        <v>0</v>
      </c>
      <c r="N47" s="43" t="n">
        <f aca="false">MAX(0,K47-L47-M47)</f>
        <v>0</v>
      </c>
      <c r="O47" s="43" t="n">
        <f aca="false">IF(R46&gt;0.005,R46*(1+Ordem!$E$9),0)</f>
        <v>0</v>
      </c>
      <c r="P47" s="43" t="n">
        <f aca="false">MIN(O47,Ordem!$F$9)</f>
        <v>0</v>
      </c>
      <c r="Q47" s="43" t="n">
        <f aca="false">MAX(0,MIN(O47-P47,$B47-(E47+I47+M47)))</f>
        <v>0</v>
      </c>
      <c r="R47" s="43" t="n">
        <f aca="false">MAX(0,O47-P47-Q47)</f>
        <v>0</v>
      </c>
      <c r="S47" s="43" t="n">
        <f aca="false">IF(V46&gt;0.005,V46*(1+Ordem!$E$10),0)</f>
        <v>0</v>
      </c>
      <c r="T47" s="43" t="n">
        <f aca="false">MIN(S47,Ordem!$F$10)</f>
        <v>0</v>
      </c>
      <c r="U47" s="43" t="n">
        <f aca="false">MAX(0,MIN(S47-T47,$B47-(E47+I47+M47+Q47)))</f>
        <v>0</v>
      </c>
      <c r="V47" s="43" t="n">
        <f aca="false">MAX(0,S47-T47-U47)</f>
        <v>0</v>
      </c>
      <c r="W47" s="43" t="n">
        <f aca="false">IF(Z46&gt;0.005,Z46*(1+Ordem!$E$11),0)</f>
        <v>0</v>
      </c>
      <c r="X47" s="43" t="n">
        <f aca="false">MIN(W47,Ordem!$F$11)</f>
        <v>0</v>
      </c>
      <c r="Y47" s="43" t="n">
        <f aca="false">MAX(0,MIN(W47-X47,$B47-(E47+I47+M47+Q47+U47)))</f>
        <v>0</v>
      </c>
      <c r="Z47" s="43" t="n">
        <f aca="false">MAX(0,W47-X47-Y47)</f>
        <v>0</v>
      </c>
      <c r="AA47" s="43" t="n">
        <f aca="false">IF(AD46&gt;0.005,AD46*(1+Ordem!$E$12),0)</f>
        <v>0</v>
      </c>
      <c r="AB47" s="43" t="n">
        <f aca="false">MIN(AA47,Ordem!$F$12)</f>
        <v>0</v>
      </c>
      <c r="AC47" s="43" t="n">
        <f aca="false">MAX(0,MIN(AA47-AB47,$B47-(E47+I47+M47+Q47+U47+Y47)))</f>
        <v>0</v>
      </c>
      <c r="AD47" s="43" t="n">
        <f aca="false">MAX(0,AA47-AB47-AC47)</f>
        <v>0</v>
      </c>
      <c r="AE47" s="43" t="n">
        <f aca="false">IF(AH46&gt;0.005,AH46*(1+Ordem!$E$13),0)</f>
        <v>0</v>
      </c>
      <c r="AF47" s="43" t="n">
        <f aca="false">MIN(AE47,Ordem!$F$13)</f>
        <v>0</v>
      </c>
      <c r="AG47" s="43" t="n">
        <f aca="false">MAX(0,MIN(AE47-AF47,$B47-(E47+I47+M47+Q47+U47+Y47+AC47)))</f>
        <v>0</v>
      </c>
      <c r="AH47" s="43" t="n">
        <f aca="false">MAX(0,AE47-AF47-AG47)</f>
        <v>0</v>
      </c>
      <c r="AI47" s="43" t="n">
        <f aca="false">IF(AL46&gt;0.005,AL46*(1+Ordem!$E$14),0)</f>
        <v>0</v>
      </c>
      <c r="AJ47" s="43" t="n">
        <f aca="false">MIN(AI47,Ordem!$F$14)</f>
        <v>0</v>
      </c>
      <c r="AK47" s="43" t="n">
        <f aca="false">MAX(0,MIN(AI47-AJ47,$B47-(E47+I47+M47+Q47+U47+Y47+AC47+AG47)))</f>
        <v>0</v>
      </c>
      <c r="AL47" s="43" t="n">
        <f aca="false">MAX(0,AI47-AJ47-AK47)</f>
        <v>0</v>
      </c>
      <c r="AM47" s="43" t="n">
        <f aca="false">IF(AP46&gt;0.005,AP46*(1+Ordem!$E$15),0)</f>
        <v>0</v>
      </c>
      <c r="AN47" s="43" t="n">
        <f aca="false">MIN(AM47,Ordem!$F$15)</f>
        <v>0</v>
      </c>
      <c r="AO47" s="43" t="n">
        <f aca="false">MAX(0,MIN(AM47-AN47,$B47-(E47+I47+M47+Q47+U47+Y47+AC47+AG47+AK47)))</f>
        <v>0</v>
      </c>
      <c r="AP47" s="43" t="n">
        <f aca="false">MAX(0,AM47-AN47-AO47)</f>
        <v>0</v>
      </c>
      <c r="AQ47" s="43" t="n">
        <f aca="false">F47+J47+N47+R47+V47+Z47+AD47+AH47+AL47+AP47</f>
        <v>0</v>
      </c>
      <c r="AR47" s="43" t="n">
        <f aca="false">D47+E47+H47+I47+L47+M47+P47+Q47+T47+U47+X47+Y47+AB47+AC47+AF47+AG47+AJ47+AK47+AN47+AO47</f>
        <v>0</v>
      </c>
    </row>
    <row r="48" customFormat="false" ht="15" hidden="false" customHeight="false" outlineLevel="0" collapsed="false">
      <c r="A48" s="0" t="n">
        <v>44</v>
      </c>
      <c r="B48" s="43" t="n">
        <f aca="false">MAX(0,Dívidas!$C$20-(D48+H48+L48+P48+T48+X48+AB48+AF48+AJ48+AN48))</f>
        <v>1450</v>
      </c>
      <c r="C48" s="43" t="n">
        <f aca="false">IF(F47&gt;0.005,F47*(1+Ordem!$E$6),0)</f>
        <v>0</v>
      </c>
      <c r="D48" s="43" t="n">
        <f aca="false">MIN(C48,Ordem!$F$6)</f>
        <v>0</v>
      </c>
      <c r="E48" s="43" t="n">
        <f aca="false">MAX(0,MIN(C48-D48,$B48-(0)))</f>
        <v>0</v>
      </c>
      <c r="F48" s="43" t="n">
        <f aca="false">MAX(0,C48-D48-E48)</f>
        <v>0</v>
      </c>
      <c r="G48" s="43" t="n">
        <f aca="false">IF(J47&gt;0.005,J47*(1+Ordem!$E$7),0)</f>
        <v>0</v>
      </c>
      <c r="H48" s="43" t="n">
        <f aca="false">MIN(G48,Ordem!$F$7)</f>
        <v>0</v>
      </c>
      <c r="I48" s="43" t="n">
        <f aca="false">MAX(0,MIN(G48-H48,$B48-(E48)))</f>
        <v>0</v>
      </c>
      <c r="J48" s="43" t="n">
        <f aca="false">MAX(0,G48-H48-I48)</f>
        <v>0</v>
      </c>
      <c r="K48" s="43" t="n">
        <f aca="false">IF(N47&gt;0.005,N47*(1+Ordem!$E$8),0)</f>
        <v>0</v>
      </c>
      <c r="L48" s="43" t="n">
        <f aca="false">MIN(K48,Ordem!$F$8)</f>
        <v>0</v>
      </c>
      <c r="M48" s="43" t="n">
        <f aca="false">MAX(0,MIN(K48-L48,$B48-(E48+I48)))</f>
        <v>0</v>
      </c>
      <c r="N48" s="43" t="n">
        <f aca="false">MAX(0,K48-L48-M48)</f>
        <v>0</v>
      </c>
      <c r="O48" s="43" t="n">
        <f aca="false">IF(R47&gt;0.005,R47*(1+Ordem!$E$9),0)</f>
        <v>0</v>
      </c>
      <c r="P48" s="43" t="n">
        <f aca="false">MIN(O48,Ordem!$F$9)</f>
        <v>0</v>
      </c>
      <c r="Q48" s="43" t="n">
        <f aca="false">MAX(0,MIN(O48-P48,$B48-(E48+I48+M48)))</f>
        <v>0</v>
      </c>
      <c r="R48" s="43" t="n">
        <f aca="false">MAX(0,O48-P48-Q48)</f>
        <v>0</v>
      </c>
      <c r="S48" s="43" t="n">
        <f aca="false">IF(V47&gt;0.005,V47*(1+Ordem!$E$10),0)</f>
        <v>0</v>
      </c>
      <c r="T48" s="43" t="n">
        <f aca="false">MIN(S48,Ordem!$F$10)</f>
        <v>0</v>
      </c>
      <c r="U48" s="43" t="n">
        <f aca="false">MAX(0,MIN(S48-T48,$B48-(E48+I48+M48+Q48)))</f>
        <v>0</v>
      </c>
      <c r="V48" s="43" t="n">
        <f aca="false">MAX(0,S48-T48-U48)</f>
        <v>0</v>
      </c>
      <c r="W48" s="43" t="n">
        <f aca="false">IF(Z47&gt;0.005,Z47*(1+Ordem!$E$11),0)</f>
        <v>0</v>
      </c>
      <c r="X48" s="43" t="n">
        <f aca="false">MIN(W48,Ordem!$F$11)</f>
        <v>0</v>
      </c>
      <c r="Y48" s="43" t="n">
        <f aca="false">MAX(0,MIN(W48-X48,$B48-(E48+I48+M48+Q48+U48)))</f>
        <v>0</v>
      </c>
      <c r="Z48" s="43" t="n">
        <f aca="false">MAX(0,W48-X48-Y48)</f>
        <v>0</v>
      </c>
      <c r="AA48" s="43" t="n">
        <f aca="false">IF(AD47&gt;0.005,AD47*(1+Ordem!$E$12),0)</f>
        <v>0</v>
      </c>
      <c r="AB48" s="43" t="n">
        <f aca="false">MIN(AA48,Ordem!$F$12)</f>
        <v>0</v>
      </c>
      <c r="AC48" s="43" t="n">
        <f aca="false">MAX(0,MIN(AA48-AB48,$B48-(E48+I48+M48+Q48+U48+Y48)))</f>
        <v>0</v>
      </c>
      <c r="AD48" s="43" t="n">
        <f aca="false">MAX(0,AA48-AB48-AC48)</f>
        <v>0</v>
      </c>
      <c r="AE48" s="43" t="n">
        <f aca="false">IF(AH47&gt;0.005,AH47*(1+Ordem!$E$13),0)</f>
        <v>0</v>
      </c>
      <c r="AF48" s="43" t="n">
        <f aca="false">MIN(AE48,Ordem!$F$13)</f>
        <v>0</v>
      </c>
      <c r="AG48" s="43" t="n">
        <f aca="false">MAX(0,MIN(AE48-AF48,$B48-(E48+I48+M48+Q48+U48+Y48+AC48)))</f>
        <v>0</v>
      </c>
      <c r="AH48" s="43" t="n">
        <f aca="false">MAX(0,AE48-AF48-AG48)</f>
        <v>0</v>
      </c>
      <c r="AI48" s="43" t="n">
        <f aca="false">IF(AL47&gt;0.005,AL47*(1+Ordem!$E$14),0)</f>
        <v>0</v>
      </c>
      <c r="AJ48" s="43" t="n">
        <f aca="false">MIN(AI48,Ordem!$F$14)</f>
        <v>0</v>
      </c>
      <c r="AK48" s="43" t="n">
        <f aca="false">MAX(0,MIN(AI48-AJ48,$B48-(E48+I48+M48+Q48+U48+Y48+AC48+AG48)))</f>
        <v>0</v>
      </c>
      <c r="AL48" s="43" t="n">
        <f aca="false">MAX(0,AI48-AJ48-AK48)</f>
        <v>0</v>
      </c>
      <c r="AM48" s="43" t="n">
        <f aca="false">IF(AP47&gt;0.005,AP47*(1+Ordem!$E$15),0)</f>
        <v>0</v>
      </c>
      <c r="AN48" s="43" t="n">
        <f aca="false">MIN(AM48,Ordem!$F$15)</f>
        <v>0</v>
      </c>
      <c r="AO48" s="43" t="n">
        <f aca="false">MAX(0,MIN(AM48-AN48,$B48-(E48+I48+M48+Q48+U48+Y48+AC48+AG48+AK48)))</f>
        <v>0</v>
      </c>
      <c r="AP48" s="43" t="n">
        <f aca="false">MAX(0,AM48-AN48-AO48)</f>
        <v>0</v>
      </c>
      <c r="AQ48" s="43" t="n">
        <f aca="false">F48+J48+N48+R48+V48+Z48+AD48+AH48+AL48+AP48</f>
        <v>0</v>
      </c>
      <c r="AR48" s="43" t="n">
        <f aca="false">D48+E48+H48+I48+L48+M48+P48+Q48+T48+U48+X48+Y48+AB48+AC48+AF48+AG48+AJ48+AK48+AN48+AO48</f>
        <v>0</v>
      </c>
    </row>
    <row r="49" customFormat="false" ht="15" hidden="false" customHeight="false" outlineLevel="0" collapsed="false">
      <c r="A49" s="0" t="n">
        <v>45</v>
      </c>
      <c r="B49" s="43" t="n">
        <f aca="false">MAX(0,Dívidas!$C$20-(D49+H49+L49+P49+T49+X49+AB49+AF49+AJ49+AN49))</f>
        <v>1450</v>
      </c>
      <c r="C49" s="43" t="n">
        <f aca="false">IF(F48&gt;0.005,F48*(1+Ordem!$E$6),0)</f>
        <v>0</v>
      </c>
      <c r="D49" s="43" t="n">
        <f aca="false">MIN(C49,Ordem!$F$6)</f>
        <v>0</v>
      </c>
      <c r="E49" s="43" t="n">
        <f aca="false">MAX(0,MIN(C49-D49,$B49-(0)))</f>
        <v>0</v>
      </c>
      <c r="F49" s="43" t="n">
        <f aca="false">MAX(0,C49-D49-E49)</f>
        <v>0</v>
      </c>
      <c r="G49" s="43" t="n">
        <f aca="false">IF(J48&gt;0.005,J48*(1+Ordem!$E$7),0)</f>
        <v>0</v>
      </c>
      <c r="H49" s="43" t="n">
        <f aca="false">MIN(G49,Ordem!$F$7)</f>
        <v>0</v>
      </c>
      <c r="I49" s="43" t="n">
        <f aca="false">MAX(0,MIN(G49-H49,$B49-(E49)))</f>
        <v>0</v>
      </c>
      <c r="J49" s="43" t="n">
        <f aca="false">MAX(0,G49-H49-I49)</f>
        <v>0</v>
      </c>
      <c r="K49" s="43" t="n">
        <f aca="false">IF(N48&gt;0.005,N48*(1+Ordem!$E$8),0)</f>
        <v>0</v>
      </c>
      <c r="L49" s="43" t="n">
        <f aca="false">MIN(K49,Ordem!$F$8)</f>
        <v>0</v>
      </c>
      <c r="M49" s="43" t="n">
        <f aca="false">MAX(0,MIN(K49-L49,$B49-(E49+I49)))</f>
        <v>0</v>
      </c>
      <c r="N49" s="43" t="n">
        <f aca="false">MAX(0,K49-L49-M49)</f>
        <v>0</v>
      </c>
      <c r="O49" s="43" t="n">
        <f aca="false">IF(R48&gt;0.005,R48*(1+Ordem!$E$9),0)</f>
        <v>0</v>
      </c>
      <c r="P49" s="43" t="n">
        <f aca="false">MIN(O49,Ordem!$F$9)</f>
        <v>0</v>
      </c>
      <c r="Q49" s="43" t="n">
        <f aca="false">MAX(0,MIN(O49-P49,$B49-(E49+I49+M49)))</f>
        <v>0</v>
      </c>
      <c r="R49" s="43" t="n">
        <f aca="false">MAX(0,O49-P49-Q49)</f>
        <v>0</v>
      </c>
      <c r="S49" s="43" t="n">
        <f aca="false">IF(V48&gt;0.005,V48*(1+Ordem!$E$10),0)</f>
        <v>0</v>
      </c>
      <c r="T49" s="43" t="n">
        <f aca="false">MIN(S49,Ordem!$F$10)</f>
        <v>0</v>
      </c>
      <c r="U49" s="43" t="n">
        <f aca="false">MAX(0,MIN(S49-T49,$B49-(E49+I49+M49+Q49)))</f>
        <v>0</v>
      </c>
      <c r="V49" s="43" t="n">
        <f aca="false">MAX(0,S49-T49-U49)</f>
        <v>0</v>
      </c>
      <c r="W49" s="43" t="n">
        <f aca="false">IF(Z48&gt;0.005,Z48*(1+Ordem!$E$11),0)</f>
        <v>0</v>
      </c>
      <c r="X49" s="43" t="n">
        <f aca="false">MIN(W49,Ordem!$F$11)</f>
        <v>0</v>
      </c>
      <c r="Y49" s="43" t="n">
        <f aca="false">MAX(0,MIN(W49-X49,$B49-(E49+I49+M49+Q49+U49)))</f>
        <v>0</v>
      </c>
      <c r="Z49" s="43" t="n">
        <f aca="false">MAX(0,W49-X49-Y49)</f>
        <v>0</v>
      </c>
      <c r="AA49" s="43" t="n">
        <f aca="false">IF(AD48&gt;0.005,AD48*(1+Ordem!$E$12),0)</f>
        <v>0</v>
      </c>
      <c r="AB49" s="43" t="n">
        <f aca="false">MIN(AA49,Ordem!$F$12)</f>
        <v>0</v>
      </c>
      <c r="AC49" s="43" t="n">
        <f aca="false">MAX(0,MIN(AA49-AB49,$B49-(E49+I49+M49+Q49+U49+Y49)))</f>
        <v>0</v>
      </c>
      <c r="AD49" s="43" t="n">
        <f aca="false">MAX(0,AA49-AB49-AC49)</f>
        <v>0</v>
      </c>
      <c r="AE49" s="43" t="n">
        <f aca="false">IF(AH48&gt;0.005,AH48*(1+Ordem!$E$13),0)</f>
        <v>0</v>
      </c>
      <c r="AF49" s="43" t="n">
        <f aca="false">MIN(AE49,Ordem!$F$13)</f>
        <v>0</v>
      </c>
      <c r="AG49" s="43" t="n">
        <f aca="false">MAX(0,MIN(AE49-AF49,$B49-(E49+I49+M49+Q49+U49+Y49+AC49)))</f>
        <v>0</v>
      </c>
      <c r="AH49" s="43" t="n">
        <f aca="false">MAX(0,AE49-AF49-AG49)</f>
        <v>0</v>
      </c>
      <c r="AI49" s="43" t="n">
        <f aca="false">IF(AL48&gt;0.005,AL48*(1+Ordem!$E$14),0)</f>
        <v>0</v>
      </c>
      <c r="AJ49" s="43" t="n">
        <f aca="false">MIN(AI49,Ordem!$F$14)</f>
        <v>0</v>
      </c>
      <c r="AK49" s="43" t="n">
        <f aca="false">MAX(0,MIN(AI49-AJ49,$B49-(E49+I49+M49+Q49+U49+Y49+AC49+AG49)))</f>
        <v>0</v>
      </c>
      <c r="AL49" s="43" t="n">
        <f aca="false">MAX(0,AI49-AJ49-AK49)</f>
        <v>0</v>
      </c>
      <c r="AM49" s="43" t="n">
        <f aca="false">IF(AP48&gt;0.005,AP48*(1+Ordem!$E$15),0)</f>
        <v>0</v>
      </c>
      <c r="AN49" s="43" t="n">
        <f aca="false">MIN(AM49,Ordem!$F$15)</f>
        <v>0</v>
      </c>
      <c r="AO49" s="43" t="n">
        <f aca="false">MAX(0,MIN(AM49-AN49,$B49-(E49+I49+M49+Q49+U49+Y49+AC49+AG49+AK49)))</f>
        <v>0</v>
      </c>
      <c r="AP49" s="43" t="n">
        <f aca="false">MAX(0,AM49-AN49-AO49)</f>
        <v>0</v>
      </c>
      <c r="AQ49" s="43" t="n">
        <f aca="false">F49+J49+N49+R49+V49+Z49+AD49+AH49+AL49+AP49</f>
        <v>0</v>
      </c>
      <c r="AR49" s="43" t="n">
        <f aca="false">D49+E49+H49+I49+L49+M49+P49+Q49+T49+U49+X49+Y49+AB49+AC49+AF49+AG49+AJ49+AK49+AN49+AO49</f>
        <v>0</v>
      </c>
    </row>
    <row r="50" customFormat="false" ht="15" hidden="false" customHeight="false" outlineLevel="0" collapsed="false">
      <c r="A50" s="0" t="n">
        <v>46</v>
      </c>
      <c r="B50" s="43" t="n">
        <f aca="false">MAX(0,Dívidas!$C$20-(D50+H50+L50+P50+T50+X50+AB50+AF50+AJ50+AN50))</f>
        <v>1450</v>
      </c>
      <c r="C50" s="43" t="n">
        <f aca="false">IF(F49&gt;0.005,F49*(1+Ordem!$E$6),0)</f>
        <v>0</v>
      </c>
      <c r="D50" s="43" t="n">
        <f aca="false">MIN(C50,Ordem!$F$6)</f>
        <v>0</v>
      </c>
      <c r="E50" s="43" t="n">
        <f aca="false">MAX(0,MIN(C50-D50,$B50-(0)))</f>
        <v>0</v>
      </c>
      <c r="F50" s="43" t="n">
        <f aca="false">MAX(0,C50-D50-E50)</f>
        <v>0</v>
      </c>
      <c r="G50" s="43" t="n">
        <f aca="false">IF(J49&gt;0.005,J49*(1+Ordem!$E$7),0)</f>
        <v>0</v>
      </c>
      <c r="H50" s="43" t="n">
        <f aca="false">MIN(G50,Ordem!$F$7)</f>
        <v>0</v>
      </c>
      <c r="I50" s="43" t="n">
        <f aca="false">MAX(0,MIN(G50-H50,$B50-(E50)))</f>
        <v>0</v>
      </c>
      <c r="J50" s="43" t="n">
        <f aca="false">MAX(0,G50-H50-I50)</f>
        <v>0</v>
      </c>
      <c r="K50" s="43" t="n">
        <f aca="false">IF(N49&gt;0.005,N49*(1+Ordem!$E$8),0)</f>
        <v>0</v>
      </c>
      <c r="L50" s="43" t="n">
        <f aca="false">MIN(K50,Ordem!$F$8)</f>
        <v>0</v>
      </c>
      <c r="M50" s="43" t="n">
        <f aca="false">MAX(0,MIN(K50-L50,$B50-(E50+I50)))</f>
        <v>0</v>
      </c>
      <c r="N50" s="43" t="n">
        <f aca="false">MAX(0,K50-L50-M50)</f>
        <v>0</v>
      </c>
      <c r="O50" s="43" t="n">
        <f aca="false">IF(R49&gt;0.005,R49*(1+Ordem!$E$9),0)</f>
        <v>0</v>
      </c>
      <c r="P50" s="43" t="n">
        <f aca="false">MIN(O50,Ordem!$F$9)</f>
        <v>0</v>
      </c>
      <c r="Q50" s="43" t="n">
        <f aca="false">MAX(0,MIN(O50-P50,$B50-(E50+I50+M50)))</f>
        <v>0</v>
      </c>
      <c r="R50" s="43" t="n">
        <f aca="false">MAX(0,O50-P50-Q50)</f>
        <v>0</v>
      </c>
      <c r="S50" s="43" t="n">
        <f aca="false">IF(V49&gt;0.005,V49*(1+Ordem!$E$10),0)</f>
        <v>0</v>
      </c>
      <c r="T50" s="43" t="n">
        <f aca="false">MIN(S50,Ordem!$F$10)</f>
        <v>0</v>
      </c>
      <c r="U50" s="43" t="n">
        <f aca="false">MAX(0,MIN(S50-T50,$B50-(E50+I50+M50+Q50)))</f>
        <v>0</v>
      </c>
      <c r="V50" s="43" t="n">
        <f aca="false">MAX(0,S50-T50-U50)</f>
        <v>0</v>
      </c>
      <c r="W50" s="43" t="n">
        <f aca="false">IF(Z49&gt;0.005,Z49*(1+Ordem!$E$11),0)</f>
        <v>0</v>
      </c>
      <c r="X50" s="43" t="n">
        <f aca="false">MIN(W50,Ordem!$F$11)</f>
        <v>0</v>
      </c>
      <c r="Y50" s="43" t="n">
        <f aca="false">MAX(0,MIN(W50-X50,$B50-(E50+I50+M50+Q50+U50)))</f>
        <v>0</v>
      </c>
      <c r="Z50" s="43" t="n">
        <f aca="false">MAX(0,W50-X50-Y50)</f>
        <v>0</v>
      </c>
      <c r="AA50" s="43" t="n">
        <f aca="false">IF(AD49&gt;0.005,AD49*(1+Ordem!$E$12),0)</f>
        <v>0</v>
      </c>
      <c r="AB50" s="43" t="n">
        <f aca="false">MIN(AA50,Ordem!$F$12)</f>
        <v>0</v>
      </c>
      <c r="AC50" s="43" t="n">
        <f aca="false">MAX(0,MIN(AA50-AB50,$B50-(E50+I50+M50+Q50+U50+Y50)))</f>
        <v>0</v>
      </c>
      <c r="AD50" s="43" t="n">
        <f aca="false">MAX(0,AA50-AB50-AC50)</f>
        <v>0</v>
      </c>
      <c r="AE50" s="43" t="n">
        <f aca="false">IF(AH49&gt;0.005,AH49*(1+Ordem!$E$13),0)</f>
        <v>0</v>
      </c>
      <c r="AF50" s="43" t="n">
        <f aca="false">MIN(AE50,Ordem!$F$13)</f>
        <v>0</v>
      </c>
      <c r="AG50" s="43" t="n">
        <f aca="false">MAX(0,MIN(AE50-AF50,$B50-(E50+I50+M50+Q50+U50+Y50+AC50)))</f>
        <v>0</v>
      </c>
      <c r="AH50" s="43" t="n">
        <f aca="false">MAX(0,AE50-AF50-AG50)</f>
        <v>0</v>
      </c>
      <c r="AI50" s="43" t="n">
        <f aca="false">IF(AL49&gt;0.005,AL49*(1+Ordem!$E$14),0)</f>
        <v>0</v>
      </c>
      <c r="AJ50" s="43" t="n">
        <f aca="false">MIN(AI50,Ordem!$F$14)</f>
        <v>0</v>
      </c>
      <c r="AK50" s="43" t="n">
        <f aca="false">MAX(0,MIN(AI50-AJ50,$B50-(E50+I50+M50+Q50+U50+Y50+AC50+AG50)))</f>
        <v>0</v>
      </c>
      <c r="AL50" s="43" t="n">
        <f aca="false">MAX(0,AI50-AJ50-AK50)</f>
        <v>0</v>
      </c>
      <c r="AM50" s="43" t="n">
        <f aca="false">IF(AP49&gt;0.005,AP49*(1+Ordem!$E$15),0)</f>
        <v>0</v>
      </c>
      <c r="AN50" s="43" t="n">
        <f aca="false">MIN(AM50,Ordem!$F$15)</f>
        <v>0</v>
      </c>
      <c r="AO50" s="43" t="n">
        <f aca="false">MAX(0,MIN(AM50-AN50,$B50-(E50+I50+M50+Q50+U50+Y50+AC50+AG50+AK50)))</f>
        <v>0</v>
      </c>
      <c r="AP50" s="43" t="n">
        <f aca="false">MAX(0,AM50-AN50-AO50)</f>
        <v>0</v>
      </c>
      <c r="AQ50" s="43" t="n">
        <f aca="false">F50+J50+N50+R50+V50+Z50+AD50+AH50+AL50+AP50</f>
        <v>0</v>
      </c>
      <c r="AR50" s="43" t="n">
        <f aca="false">D50+E50+H50+I50+L50+M50+P50+Q50+T50+U50+X50+Y50+AB50+AC50+AF50+AG50+AJ50+AK50+AN50+AO50</f>
        <v>0</v>
      </c>
    </row>
    <row r="51" customFormat="false" ht="15" hidden="false" customHeight="false" outlineLevel="0" collapsed="false">
      <c r="A51" s="0" t="n">
        <v>47</v>
      </c>
      <c r="B51" s="43" t="n">
        <f aca="false">MAX(0,Dívidas!$C$20-(D51+H51+L51+P51+T51+X51+AB51+AF51+AJ51+AN51))</f>
        <v>1450</v>
      </c>
      <c r="C51" s="43" t="n">
        <f aca="false">IF(F50&gt;0.005,F50*(1+Ordem!$E$6),0)</f>
        <v>0</v>
      </c>
      <c r="D51" s="43" t="n">
        <f aca="false">MIN(C51,Ordem!$F$6)</f>
        <v>0</v>
      </c>
      <c r="E51" s="43" t="n">
        <f aca="false">MAX(0,MIN(C51-D51,$B51-(0)))</f>
        <v>0</v>
      </c>
      <c r="F51" s="43" t="n">
        <f aca="false">MAX(0,C51-D51-E51)</f>
        <v>0</v>
      </c>
      <c r="G51" s="43" t="n">
        <f aca="false">IF(J50&gt;0.005,J50*(1+Ordem!$E$7),0)</f>
        <v>0</v>
      </c>
      <c r="H51" s="43" t="n">
        <f aca="false">MIN(G51,Ordem!$F$7)</f>
        <v>0</v>
      </c>
      <c r="I51" s="43" t="n">
        <f aca="false">MAX(0,MIN(G51-H51,$B51-(E51)))</f>
        <v>0</v>
      </c>
      <c r="J51" s="43" t="n">
        <f aca="false">MAX(0,G51-H51-I51)</f>
        <v>0</v>
      </c>
      <c r="K51" s="43" t="n">
        <f aca="false">IF(N50&gt;0.005,N50*(1+Ordem!$E$8),0)</f>
        <v>0</v>
      </c>
      <c r="L51" s="43" t="n">
        <f aca="false">MIN(K51,Ordem!$F$8)</f>
        <v>0</v>
      </c>
      <c r="M51" s="43" t="n">
        <f aca="false">MAX(0,MIN(K51-L51,$B51-(E51+I51)))</f>
        <v>0</v>
      </c>
      <c r="N51" s="43" t="n">
        <f aca="false">MAX(0,K51-L51-M51)</f>
        <v>0</v>
      </c>
      <c r="O51" s="43" t="n">
        <f aca="false">IF(R50&gt;0.005,R50*(1+Ordem!$E$9),0)</f>
        <v>0</v>
      </c>
      <c r="P51" s="43" t="n">
        <f aca="false">MIN(O51,Ordem!$F$9)</f>
        <v>0</v>
      </c>
      <c r="Q51" s="43" t="n">
        <f aca="false">MAX(0,MIN(O51-P51,$B51-(E51+I51+M51)))</f>
        <v>0</v>
      </c>
      <c r="R51" s="43" t="n">
        <f aca="false">MAX(0,O51-P51-Q51)</f>
        <v>0</v>
      </c>
      <c r="S51" s="43" t="n">
        <f aca="false">IF(V50&gt;0.005,V50*(1+Ordem!$E$10),0)</f>
        <v>0</v>
      </c>
      <c r="T51" s="43" t="n">
        <f aca="false">MIN(S51,Ordem!$F$10)</f>
        <v>0</v>
      </c>
      <c r="U51" s="43" t="n">
        <f aca="false">MAX(0,MIN(S51-T51,$B51-(E51+I51+M51+Q51)))</f>
        <v>0</v>
      </c>
      <c r="V51" s="43" t="n">
        <f aca="false">MAX(0,S51-T51-U51)</f>
        <v>0</v>
      </c>
      <c r="W51" s="43" t="n">
        <f aca="false">IF(Z50&gt;0.005,Z50*(1+Ordem!$E$11),0)</f>
        <v>0</v>
      </c>
      <c r="X51" s="43" t="n">
        <f aca="false">MIN(W51,Ordem!$F$11)</f>
        <v>0</v>
      </c>
      <c r="Y51" s="43" t="n">
        <f aca="false">MAX(0,MIN(W51-X51,$B51-(E51+I51+M51+Q51+U51)))</f>
        <v>0</v>
      </c>
      <c r="Z51" s="43" t="n">
        <f aca="false">MAX(0,W51-X51-Y51)</f>
        <v>0</v>
      </c>
      <c r="AA51" s="43" t="n">
        <f aca="false">IF(AD50&gt;0.005,AD50*(1+Ordem!$E$12),0)</f>
        <v>0</v>
      </c>
      <c r="AB51" s="43" t="n">
        <f aca="false">MIN(AA51,Ordem!$F$12)</f>
        <v>0</v>
      </c>
      <c r="AC51" s="43" t="n">
        <f aca="false">MAX(0,MIN(AA51-AB51,$B51-(E51+I51+M51+Q51+U51+Y51)))</f>
        <v>0</v>
      </c>
      <c r="AD51" s="43" t="n">
        <f aca="false">MAX(0,AA51-AB51-AC51)</f>
        <v>0</v>
      </c>
      <c r="AE51" s="43" t="n">
        <f aca="false">IF(AH50&gt;0.005,AH50*(1+Ordem!$E$13),0)</f>
        <v>0</v>
      </c>
      <c r="AF51" s="43" t="n">
        <f aca="false">MIN(AE51,Ordem!$F$13)</f>
        <v>0</v>
      </c>
      <c r="AG51" s="43" t="n">
        <f aca="false">MAX(0,MIN(AE51-AF51,$B51-(E51+I51+M51+Q51+U51+Y51+AC51)))</f>
        <v>0</v>
      </c>
      <c r="AH51" s="43" t="n">
        <f aca="false">MAX(0,AE51-AF51-AG51)</f>
        <v>0</v>
      </c>
      <c r="AI51" s="43" t="n">
        <f aca="false">IF(AL50&gt;0.005,AL50*(1+Ordem!$E$14),0)</f>
        <v>0</v>
      </c>
      <c r="AJ51" s="43" t="n">
        <f aca="false">MIN(AI51,Ordem!$F$14)</f>
        <v>0</v>
      </c>
      <c r="AK51" s="43" t="n">
        <f aca="false">MAX(0,MIN(AI51-AJ51,$B51-(E51+I51+M51+Q51+U51+Y51+AC51+AG51)))</f>
        <v>0</v>
      </c>
      <c r="AL51" s="43" t="n">
        <f aca="false">MAX(0,AI51-AJ51-AK51)</f>
        <v>0</v>
      </c>
      <c r="AM51" s="43" t="n">
        <f aca="false">IF(AP50&gt;0.005,AP50*(1+Ordem!$E$15),0)</f>
        <v>0</v>
      </c>
      <c r="AN51" s="43" t="n">
        <f aca="false">MIN(AM51,Ordem!$F$15)</f>
        <v>0</v>
      </c>
      <c r="AO51" s="43" t="n">
        <f aca="false">MAX(0,MIN(AM51-AN51,$B51-(E51+I51+M51+Q51+U51+Y51+AC51+AG51+AK51)))</f>
        <v>0</v>
      </c>
      <c r="AP51" s="43" t="n">
        <f aca="false">MAX(0,AM51-AN51-AO51)</f>
        <v>0</v>
      </c>
      <c r="AQ51" s="43" t="n">
        <f aca="false">F51+J51+N51+R51+V51+Z51+AD51+AH51+AL51+AP51</f>
        <v>0</v>
      </c>
      <c r="AR51" s="43" t="n">
        <f aca="false">D51+E51+H51+I51+L51+M51+P51+Q51+T51+U51+X51+Y51+AB51+AC51+AF51+AG51+AJ51+AK51+AN51+AO51</f>
        <v>0</v>
      </c>
    </row>
    <row r="52" customFormat="false" ht="15" hidden="false" customHeight="false" outlineLevel="0" collapsed="false">
      <c r="A52" s="0" t="n">
        <v>48</v>
      </c>
      <c r="B52" s="43" t="n">
        <f aca="false">MAX(0,Dívidas!$C$20-(D52+H52+L52+P52+T52+X52+AB52+AF52+AJ52+AN52))</f>
        <v>1450</v>
      </c>
      <c r="C52" s="43" t="n">
        <f aca="false">IF(F51&gt;0.005,F51*(1+Ordem!$E$6),0)</f>
        <v>0</v>
      </c>
      <c r="D52" s="43" t="n">
        <f aca="false">MIN(C52,Ordem!$F$6)</f>
        <v>0</v>
      </c>
      <c r="E52" s="43" t="n">
        <f aca="false">MAX(0,MIN(C52-D52,$B52-(0)))</f>
        <v>0</v>
      </c>
      <c r="F52" s="43" t="n">
        <f aca="false">MAX(0,C52-D52-E52)</f>
        <v>0</v>
      </c>
      <c r="G52" s="43" t="n">
        <f aca="false">IF(J51&gt;0.005,J51*(1+Ordem!$E$7),0)</f>
        <v>0</v>
      </c>
      <c r="H52" s="43" t="n">
        <f aca="false">MIN(G52,Ordem!$F$7)</f>
        <v>0</v>
      </c>
      <c r="I52" s="43" t="n">
        <f aca="false">MAX(0,MIN(G52-H52,$B52-(E52)))</f>
        <v>0</v>
      </c>
      <c r="J52" s="43" t="n">
        <f aca="false">MAX(0,G52-H52-I52)</f>
        <v>0</v>
      </c>
      <c r="K52" s="43" t="n">
        <f aca="false">IF(N51&gt;0.005,N51*(1+Ordem!$E$8),0)</f>
        <v>0</v>
      </c>
      <c r="L52" s="43" t="n">
        <f aca="false">MIN(K52,Ordem!$F$8)</f>
        <v>0</v>
      </c>
      <c r="M52" s="43" t="n">
        <f aca="false">MAX(0,MIN(K52-L52,$B52-(E52+I52)))</f>
        <v>0</v>
      </c>
      <c r="N52" s="43" t="n">
        <f aca="false">MAX(0,K52-L52-M52)</f>
        <v>0</v>
      </c>
      <c r="O52" s="43" t="n">
        <f aca="false">IF(R51&gt;0.005,R51*(1+Ordem!$E$9),0)</f>
        <v>0</v>
      </c>
      <c r="P52" s="43" t="n">
        <f aca="false">MIN(O52,Ordem!$F$9)</f>
        <v>0</v>
      </c>
      <c r="Q52" s="43" t="n">
        <f aca="false">MAX(0,MIN(O52-P52,$B52-(E52+I52+M52)))</f>
        <v>0</v>
      </c>
      <c r="R52" s="43" t="n">
        <f aca="false">MAX(0,O52-P52-Q52)</f>
        <v>0</v>
      </c>
      <c r="S52" s="43" t="n">
        <f aca="false">IF(V51&gt;0.005,V51*(1+Ordem!$E$10),0)</f>
        <v>0</v>
      </c>
      <c r="T52" s="43" t="n">
        <f aca="false">MIN(S52,Ordem!$F$10)</f>
        <v>0</v>
      </c>
      <c r="U52" s="43" t="n">
        <f aca="false">MAX(0,MIN(S52-T52,$B52-(E52+I52+M52+Q52)))</f>
        <v>0</v>
      </c>
      <c r="V52" s="43" t="n">
        <f aca="false">MAX(0,S52-T52-U52)</f>
        <v>0</v>
      </c>
      <c r="W52" s="43" t="n">
        <f aca="false">IF(Z51&gt;0.005,Z51*(1+Ordem!$E$11),0)</f>
        <v>0</v>
      </c>
      <c r="X52" s="43" t="n">
        <f aca="false">MIN(W52,Ordem!$F$11)</f>
        <v>0</v>
      </c>
      <c r="Y52" s="43" t="n">
        <f aca="false">MAX(0,MIN(W52-X52,$B52-(E52+I52+M52+Q52+U52)))</f>
        <v>0</v>
      </c>
      <c r="Z52" s="43" t="n">
        <f aca="false">MAX(0,W52-X52-Y52)</f>
        <v>0</v>
      </c>
      <c r="AA52" s="43" t="n">
        <f aca="false">IF(AD51&gt;0.005,AD51*(1+Ordem!$E$12),0)</f>
        <v>0</v>
      </c>
      <c r="AB52" s="43" t="n">
        <f aca="false">MIN(AA52,Ordem!$F$12)</f>
        <v>0</v>
      </c>
      <c r="AC52" s="43" t="n">
        <f aca="false">MAX(0,MIN(AA52-AB52,$B52-(E52+I52+M52+Q52+U52+Y52)))</f>
        <v>0</v>
      </c>
      <c r="AD52" s="43" t="n">
        <f aca="false">MAX(0,AA52-AB52-AC52)</f>
        <v>0</v>
      </c>
      <c r="AE52" s="43" t="n">
        <f aca="false">IF(AH51&gt;0.005,AH51*(1+Ordem!$E$13),0)</f>
        <v>0</v>
      </c>
      <c r="AF52" s="43" t="n">
        <f aca="false">MIN(AE52,Ordem!$F$13)</f>
        <v>0</v>
      </c>
      <c r="AG52" s="43" t="n">
        <f aca="false">MAX(0,MIN(AE52-AF52,$B52-(E52+I52+M52+Q52+U52+Y52+AC52)))</f>
        <v>0</v>
      </c>
      <c r="AH52" s="43" t="n">
        <f aca="false">MAX(0,AE52-AF52-AG52)</f>
        <v>0</v>
      </c>
      <c r="AI52" s="43" t="n">
        <f aca="false">IF(AL51&gt;0.005,AL51*(1+Ordem!$E$14),0)</f>
        <v>0</v>
      </c>
      <c r="AJ52" s="43" t="n">
        <f aca="false">MIN(AI52,Ordem!$F$14)</f>
        <v>0</v>
      </c>
      <c r="AK52" s="43" t="n">
        <f aca="false">MAX(0,MIN(AI52-AJ52,$B52-(E52+I52+M52+Q52+U52+Y52+AC52+AG52)))</f>
        <v>0</v>
      </c>
      <c r="AL52" s="43" t="n">
        <f aca="false">MAX(0,AI52-AJ52-AK52)</f>
        <v>0</v>
      </c>
      <c r="AM52" s="43" t="n">
        <f aca="false">IF(AP51&gt;0.005,AP51*(1+Ordem!$E$15),0)</f>
        <v>0</v>
      </c>
      <c r="AN52" s="43" t="n">
        <f aca="false">MIN(AM52,Ordem!$F$15)</f>
        <v>0</v>
      </c>
      <c r="AO52" s="43" t="n">
        <f aca="false">MAX(0,MIN(AM52-AN52,$B52-(E52+I52+M52+Q52+U52+Y52+AC52+AG52+AK52)))</f>
        <v>0</v>
      </c>
      <c r="AP52" s="43" t="n">
        <f aca="false">MAX(0,AM52-AN52-AO52)</f>
        <v>0</v>
      </c>
      <c r="AQ52" s="43" t="n">
        <f aca="false">F52+J52+N52+R52+V52+Z52+AD52+AH52+AL52+AP52</f>
        <v>0</v>
      </c>
      <c r="AR52" s="43" t="n">
        <f aca="false">D52+E52+H52+I52+L52+M52+P52+Q52+T52+U52+X52+Y52+AB52+AC52+AF52+AG52+AJ52+AK52+AN52+AO52</f>
        <v>0</v>
      </c>
    </row>
    <row r="53" customFormat="false" ht="15" hidden="false" customHeight="false" outlineLevel="0" collapsed="false">
      <c r="A53" s="0" t="n">
        <v>49</v>
      </c>
      <c r="B53" s="43" t="n">
        <f aca="false">MAX(0,Dívidas!$C$20-(D53+H53+L53+P53+T53+X53+AB53+AF53+AJ53+AN53))</f>
        <v>1450</v>
      </c>
      <c r="C53" s="43" t="n">
        <f aca="false">IF(F52&gt;0.005,F52*(1+Ordem!$E$6),0)</f>
        <v>0</v>
      </c>
      <c r="D53" s="43" t="n">
        <f aca="false">MIN(C53,Ordem!$F$6)</f>
        <v>0</v>
      </c>
      <c r="E53" s="43" t="n">
        <f aca="false">MAX(0,MIN(C53-D53,$B53-(0)))</f>
        <v>0</v>
      </c>
      <c r="F53" s="43" t="n">
        <f aca="false">MAX(0,C53-D53-E53)</f>
        <v>0</v>
      </c>
      <c r="G53" s="43" t="n">
        <f aca="false">IF(J52&gt;0.005,J52*(1+Ordem!$E$7),0)</f>
        <v>0</v>
      </c>
      <c r="H53" s="43" t="n">
        <f aca="false">MIN(G53,Ordem!$F$7)</f>
        <v>0</v>
      </c>
      <c r="I53" s="43" t="n">
        <f aca="false">MAX(0,MIN(G53-H53,$B53-(E53)))</f>
        <v>0</v>
      </c>
      <c r="J53" s="43" t="n">
        <f aca="false">MAX(0,G53-H53-I53)</f>
        <v>0</v>
      </c>
      <c r="K53" s="43" t="n">
        <f aca="false">IF(N52&gt;0.005,N52*(1+Ordem!$E$8),0)</f>
        <v>0</v>
      </c>
      <c r="L53" s="43" t="n">
        <f aca="false">MIN(K53,Ordem!$F$8)</f>
        <v>0</v>
      </c>
      <c r="M53" s="43" t="n">
        <f aca="false">MAX(0,MIN(K53-L53,$B53-(E53+I53)))</f>
        <v>0</v>
      </c>
      <c r="N53" s="43" t="n">
        <f aca="false">MAX(0,K53-L53-M53)</f>
        <v>0</v>
      </c>
      <c r="O53" s="43" t="n">
        <f aca="false">IF(R52&gt;0.005,R52*(1+Ordem!$E$9),0)</f>
        <v>0</v>
      </c>
      <c r="P53" s="43" t="n">
        <f aca="false">MIN(O53,Ordem!$F$9)</f>
        <v>0</v>
      </c>
      <c r="Q53" s="43" t="n">
        <f aca="false">MAX(0,MIN(O53-P53,$B53-(E53+I53+M53)))</f>
        <v>0</v>
      </c>
      <c r="R53" s="43" t="n">
        <f aca="false">MAX(0,O53-P53-Q53)</f>
        <v>0</v>
      </c>
      <c r="S53" s="43" t="n">
        <f aca="false">IF(V52&gt;0.005,V52*(1+Ordem!$E$10),0)</f>
        <v>0</v>
      </c>
      <c r="T53" s="43" t="n">
        <f aca="false">MIN(S53,Ordem!$F$10)</f>
        <v>0</v>
      </c>
      <c r="U53" s="43" t="n">
        <f aca="false">MAX(0,MIN(S53-T53,$B53-(E53+I53+M53+Q53)))</f>
        <v>0</v>
      </c>
      <c r="V53" s="43" t="n">
        <f aca="false">MAX(0,S53-T53-U53)</f>
        <v>0</v>
      </c>
      <c r="W53" s="43" t="n">
        <f aca="false">IF(Z52&gt;0.005,Z52*(1+Ordem!$E$11),0)</f>
        <v>0</v>
      </c>
      <c r="X53" s="43" t="n">
        <f aca="false">MIN(W53,Ordem!$F$11)</f>
        <v>0</v>
      </c>
      <c r="Y53" s="43" t="n">
        <f aca="false">MAX(0,MIN(W53-X53,$B53-(E53+I53+M53+Q53+U53)))</f>
        <v>0</v>
      </c>
      <c r="Z53" s="43" t="n">
        <f aca="false">MAX(0,W53-X53-Y53)</f>
        <v>0</v>
      </c>
      <c r="AA53" s="43" t="n">
        <f aca="false">IF(AD52&gt;0.005,AD52*(1+Ordem!$E$12),0)</f>
        <v>0</v>
      </c>
      <c r="AB53" s="43" t="n">
        <f aca="false">MIN(AA53,Ordem!$F$12)</f>
        <v>0</v>
      </c>
      <c r="AC53" s="43" t="n">
        <f aca="false">MAX(0,MIN(AA53-AB53,$B53-(E53+I53+M53+Q53+U53+Y53)))</f>
        <v>0</v>
      </c>
      <c r="AD53" s="43" t="n">
        <f aca="false">MAX(0,AA53-AB53-AC53)</f>
        <v>0</v>
      </c>
      <c r="AE53" s="43" t="n">
        <f aca="false">IF(AH52&gt;0.005,AH52*(1+Ordem!$E$13),0)</f>
        <v>0</v>
      </c>
      <c r="AF53" s="43" t="n">
        <f aca="false">MIN(AE53,Ordem!$F$13)</f>
        <v>0</v>
      </c>
      <c r="AG53" s="43" t="n">
        <f aca="false">MAX(0,MIN(AE53-AF53,$B53-(E53+I53+M53+Q53+U53+Y53+AC53)))</f>
        <v>0</v>
      </c>
      <c r="AH53" s="43" t="n">
        <f aca="false">MAX(0,AE53-AF53-AG53)</f>
        <v>0</v>
      </c>
      <c r="AI53" s="43" t="n">
        <f aca="false">IF(AL52&gt;0.005,AL52*(1+Ordem!$E$14),0)</f>
        <v>0</v>
      </c>
      <c r="AJ53" s="43" t="n">
        <f aca="false">MIN(AI53,Ordem!$F$14)</f>
        <v>0</v>
      </c>
      <c r="AK53" s="43" t="n">
        <f aca="false">MAX(0,MIN(AI53-AJ53,$B53-(E53+I53+M53+Q53+U53+Y53+AC53+AG53)))</f>
        <v>0</v>
      </c>
      <c r="AL53" s="43" t="n">
        <f aca="false">MAX(0,AI53-AJ53-AK53)</f>
        <v>0</v>
      </c>
      <c r="AM53" s="43" t="n">
        <f aca="false">IF(AP52&gt;0.005,AP52*(1+Ordem!$E$15),0)</f>
        <v>0</v>
      </c>
      <c r="AN53" s="43" t="n">
        <f aca="false">MIN(AM53,Ordem!$F$15)</f>
        <v>0</v>
      </c>
      <c r="AO53" s="43" t="n">
        <f aca="false">MAX(0,MIN(AM53-AN53,$B53-(E53+I53+M53+Q53+U53+Y53+AC53+AG53+AK53)))</f>
        <v>0</v>
      </c>
      <c r="AP53" s="43" t="n">
        <f aca="false">MAX(0,AM53-AN53-AO53)</f>
        <v>0</v>
      </c>
      <c r="AQ53" s="43" t="n">
        <f aca="false">F53+J53+N53+R53+V53+Z53+AD53+AH53+AL53+AP53</f>
        <v>0</v>
      </c>
      <c r="AR53" s="43" t="n">
        <f aca="false">D53+E53+H53+I53+L53+M53+P53+Q53+T53+U53+X53+Y53+AB53+AC53+AF53+AG53+AJ53+AK53+AN53+AO53</f>
        <v>0</v>
      </c>
    </row>
    <row r="54" customFormat="false" ht="15" hidden="false" customHeight="false" outlineLevel="0" collapsed="false">
      <c r="A54" s="0" t="n">
        <v>50</v>
      </c>
      <c r="B54" s="43" t="n">
        <f aca="false">MAX(0,Dívidas!$C$20-(D54+H54+L54+P54+T54+X54+AB54+AF54+AJ54+AN54))</f>
        <v>1450</v>
      </c>
      <c r="C54" s="43" t="n">
        <f aca="false">IF(F53&gt;0.005,F53*(1+Ordem!$E$6),0)</f>
        <v>0</v>
      </c>
      <c r="D54" s="43" t="n">
        <f aca="false">MIN(C54,Ordem!$F$6)</f>
        <v>0</v>
      </c>
      <c r="E54" s="43" t="n">
        <f aca="false">MAX(0,MIN(C54-D54,$B54-(0)))</f>
        <v>0</v>
      </c>
      <c r="F54" s="43" t="n">
        <f aca="false">MAX(0,C54-D54-E54)</f>
        <v>0</v>
      </c>
      <c r="G54" s="43" t="n">
        <f aca="false">IF(J53&gt;0.005,J53*(1+Ordem!$E$7),0)</f>
        <v>0</v>
      </c>
      <c r="H54" s="43" t="n">
        <f aca="false">MIN(G54,Ordem!$F$7)</f>
        <v>0</v>
      </c>
      <c r="I54" s="43" t="n">
        <f aca="false">MAX(0,MIN(G54-H54,$B54-(E54)))</f>
        <v>0</v>
      </c>
      <c r="J54" s="43" t="n">
        <f aca="false">MAX(0,G54-H54-I54)</f>
        <v>0</v>
      </c>
      <c r="K54" s="43" t="n">
        <f aca="false">IF(N53&gt;0.005,N53*(1+Ordem!$E$8),0)</f>
        <v>0</v>
      </c>
      <c r="L54" s="43" t="n">
        <f aca="false">MIN(K54,Ordem!$F$8)</f>
        <v>0</v>
      </c>
      <c r="M54" s="43" t="n">
        <f aca="false">MAX(0,MIN(K54-L54,$B54-(E54+I54)))</f>
        <v>0</v>
      </c>
      <c r="N54" s="43" t="n">
        <f aca="false">MAX(0,K54-L54-M54)</f>
        <v>0</v>
      </c>
      <c r="O54" s="43" t="n">
        <f aca="false">IF(R53&gt;0.005,R53*(1+Ordem!$E$9),0)</f>
        <v>0</v>
      </c>
      <c r="P54" s="43" t="n">
        <f aca="false">MIN(O54,Ordem!$F$9)</f>
        <v>0</v>
      </c>
      <c r="Q54" s="43" t="n">
        <f aca="false">MAX(0,MIN(O54-P54,$B54-(E54+I54+M54)))</f>
        <v>0</v>
      </c>
      <c r="R54" s="43" t="n">
        <f aca="false">MAX(0,O54-P54-Q54)</f>
        <v>0</v>
      </c>
      <c r="S54" s="43" t="n">
        <f aca="false">IF(V53&gt;0.005,V53*(1+Ordem!$E$10),0)</f>
        <v>0</v>
      </c>
      <c r="T54" s="43" t="n">
        <f aca="false">MIN(S54,Ordem!$F$10)</f>
        <v>0</v>
      </c>
      <c r="U54" s="43" t="n">
        <f aca="false">MAX(0,MIN(S54-T54,$B54-(E54+I54+M54+Q54)))</f>
        <v>0</v>
      </c>
      <c r="V54" s="43" t="n">
        <f aca="false">MAX(0,S54-T54-U54)</f>
        <v>0</v>
      </c>
      <c r="W54" s="43" t="n">
        <f aca="false">IF(Z53&gt;0.005,Z53*(1+Ordem!$E$11),0)</f>
        <v>0</v>
      </c>
      <c r="X54" s="43" t="n">
        <f aca="false">MIN(W54,Ordem!$F$11)</f>
        <v>0</v>
      </c>
      <c r="Y54" s="43" t="n">
        <f aca="false">MAX(0,MIN(W54-X54,$B54-(E54+I54+M54+Q54+U54)))</f>
        <v>0</v>
      </c>
      <c r="Z54" s="43" t="n">
        <f aca="false">MAX(0,W54-X54-Y54)</f>
        <v>0</v>
      </c>
      <c r="AA54" s="43" t="n">
        <f aca="false">IF(AD53&gt;0.005,AD53*(1+Ordem!$E$12),0)</f>
        <v>0</v>
      </c>
      <c r="AB54" s="43" t="n">
        <f aca="false">MIN(AA54,Ordem!$F$12)</f>
        <v>0</v>
      </c>
      <c r="AC54" s="43" t="n">
        <f aca="false">MAX(0,MIN(AA54-AB54,$B54-(E54+I54+M54+Q54+U54+Y54)))</f>
        <v>0</v>
      </c>
      <c r="AD54" s="43" t="n">
        <f aca="false">MAX(0,AA54-AB54-AC54)</f>
        <v>0</v>
      </c>
      <c r="AE54" s="43" t="n">
        <f aca="false">IF(AH53&gt;0.005,AH53*(1+Ordem!$E$13),0)</f>
        <v>0</v>
      </c>
      <c r="AF54" s="43" t="n">
        <f aca="false">MIN(AE54,Ordem!$F$13)</f>
        <v>0</v>
      </c>
      <c r="AG54" s="43" t="n">
        <f aca="false">MAX(0,MIN(AE54-AF54,$B54-(E54+I54+M54+Q54+U54+Y54+AC54)))</f>
        <v>0</v>
      </c>
      <c r="AH54" s="43" t="n">
        <f aca="false">MAX(0,AE54-AF54-AG54)</f>
        <v>0</v>
      </c>
      <c r="AI54" s="43" t="n">
        <f aca="false">IF(AL53&gt;0.005,AL53*(1+Ordem!$E$14),0)</f>
        <v>0</v>
      </c>
      <c r="AJ54" s="43" t="n">
        <f aca="false">MIN(AI54,Ordem!$F$14)</f>
        <v>0</v>
      </c>
      <c r="AK54" s="43" t="n">
        <f aca="false">MAX(0,MIN(AI54-AJ54,$B54-(E54+I54+M54+Q54+U54+Y54+AC54+AG54)))</f>
        <v>0</v>
      </c>
      <c r="AL54" s="43" t="n">
        <f aca="false">MAX(0,AI54-AJ54-AK54)</f>
        <v>0</v>
      </c>
      <c r="AM54" s="43" t="n">
        <f aca="false">IF(AP53&gt;0.005,AP53*(1+Ordem!$E$15),0)</f>
        <v>0</v>
      </c>
      <c r="AN54" s="43" t="n">
        <f aca="false">MIN(AM54,Ordem!$F$15)</f>
        <v>0</v>
      </c>
      <c r="AO54" s="43" t="n">
        <f aca="false">MAX(0,MIN(AM54-AN54,$B54-(E54+I54+M54+Q54+U54+Y54+AC54+AG54+AK54)))</f>
        <v>0</v>
      </c>
      <c r="AP54" s="43" t="n">
        <f aca="false">MAX(0,AM54-AN54-AO54)</f>
        <v>0</v>
      </c>
      <c r="AQ54" s="43" t="n">
        <f aca="false">F54+J54+N54+R54+V54+Z54+AD54+AH54+AL54+AP54</f>
        <v>0</v>
      </c>
      <c r="AR54" s="43" t="n">
        <f aca="false">D54+E54+H54+I54+L54+M54+P54+Q54+T54+U54+X54+Y54+AB54+AC54+AF54+AG54+AJ54+AK54+AN54+AO54</f>
        <v>0</v>
      </c>
    </row>
    <row r="55" customFormat="false" ht="15" hidden="false" customHeight="false" outlineLevel="0" collapsed="false">
      <c r="A55" s="0" t="n">
        <v>51</v>
      </c>
      <c r="B55" s="43" t="n">
        <f aca="false">MAX(0,Dívidas!$C$20-(D55+H55+L55+P55+T55+X55+AB55+AF55+AJ55+AN55))</f>
        <v>1450</v>
      </c>
      <c r="C55" s="43" t="n">
        <f aca="false">IF(F54&gt;0.005,F54*(1+Ordem!$E$6),0)</f>
        <v>0</v>
      </c>
      <c r="D55" s="43" t="n">
        <f aca="false">MIN(C55,Ordem!$F$6)</f>
        <v>0</v>
      </c>
      <c r="E55" s="43" t="n">
        <f aca="false">MAX(0,MIN(C55-D55,$B55-(0)))</f>
        <v>0</v>
      </c>
      <c r="F55" s="43" t="n">
        <f aca="false">MAX(0,C55-D55-E55)</f>
        <v>0</v>
      </c>
      <c r="G55" s="43" t="n">
        <f aca="false">IF(J54&gt;0.005,J54*(1+Ordem!$E$7),0)</f>
        <v>0</v>
      </c>
      <c r="H55" s="43" t="n">
        <f aca="false">MIN(G55,Ordem!$F$7)</f>
        <v>0</v>
      </c>
      <c r="I55" s="43" t="n">
        <f aca="false">MAX(0,MIN(G55-H55,$B55-(E55)))</f>
        <v>0</v>
      </c>
      <c r="J55" s="43" t="n">
        <f aca="false">MAX(0,G55-H55-I55)</f>
        <v>0</v>
      </c>
      <c r="K55" s="43" t="n">
        <f aca="false">IF(N54&gt;0.005,N54*(1+Ordem!$E$8),0)</f>
        <v>0</v>
      </c>
      <c r="L55" s="43" t="n">
        <f aca="false">MIN(K55,Ordem!$F$8)</f>
        <v>0</v>
      </c>
      <c r="M55" s="43" t="n">
        <f aca="false">MAX(0,MIN(K55-L55,$B55-(E55+I55)))</f>
        <v>0</v>
      </c>
      <c r="N55" s="43" t="n">
        <f aca="false">MAX(0,K55-L55-M55)</f>
        <v>0</v>
      </c>
      <c r="O55" s="43" t="n">
        <f aca="false">IF(R54&gt;0.005,R54*(1+Ordem!$E$9),0)</f>
        <v>0</v>
      </c>
      <c r="P55" s="43" t="n">
        <f aca="false">MIN(O55,Ordem!$F$9)</f>
        <v>0</v>
      </c>
      <c r="Q55" s="43" t="n">
        <f aca="false">MAX(0,MIN(O55-P55,$B55-(E55+I55+M55)))</f>
        <v>0</v>
      </c>
      <c r="R55" s="43" t="n">
        <f aca="false">MAX(0,O55-P55-Q55)</f>
        <v>0</v>
      </c>
      <c r="S55" s="43" t="n">
        <f aca="false">IF(V54&gt;0.005,V54*(1+Ordem!$E$10),0)</f>
        <v>0</v>
      </c>
      <c r="T55" s="43" t="n">
        <f aca="false">MIN(S55,Ordem!$F$10)</f>
        <v>0</v>
      </c>
      <c r="U55" s="43" t="n">
        <f aca="false">MAX(0,MIN(S55-T55,$B55-(E55+I55+M55+Q55)))</f>
        <v>0</v>
      </c>
      <c r="V55" s="43" t="n">
        <f aca="false">MAX(0,S55-T55-U55)</f>
        <v>0</v>
      </c>
      <c r="W55" s="43" t="n">
        <f aca="false">IF(Z54&gt;0.005,Z54*(1+Ordem!$E$11),0)</f>
        <v>0</v>
      </c>
      <c r="X55" s="43" t="n">
        <f aca="false">MIN(W55,Ordem!$F$11)</f>
        <v>0</v>
      </c>
      <c r="Y55" s="43" t="n">
        <f aca="false">MAX(0,MIN(W55-X55,$B55-(E55+I55+M55+Q55+U55)))</f>
        <v>0</v>
      </c>
      <c r="Z55" s="43" t="n">
        <f aca="false">MAX(0,W55-X55-Y55)</f>
        <v>0</v>
      </c>
      <c r="AA55" s="43" t="n">
        <f aca="false">IF(AD54&gt;0.005,AD54*(1+Ordem!$E$12),0)</f>
        <v>0</v>
      </c>
      <c r="AB55" s="43" t="n">
        <f aca="false">MIN(AA55,Ordem!$F$12)</f>
        <v>0</v>
      </c>
      <c r="AC55" s="43" t="n">
        <f aca="false">MAX(0,MIN(AA55-AB55,$B55-(E55+I55+M55+Q55+U55+Y55)))</f>
        <v>0</v>
      </c>
      <c r="AD55" s="43" t="n">
        <f aca="false">MAX(0,AA55-AB55-AC55)</f>
        <v>0</v>
      </c>
      <c r="AE55" s="43" t="n">
        <f aca="false">IF(AH54&gt;0.005,AH54*(1+Ordem!$E$13),0)</f>
        <v>0</v>
      </c>
      <c r="AF55" s="43" t="n">
        <f aca="false">MIN(AE55,Ordem!$F$13)</f>
        <v>0</v>
      </c>
      <c r="AG55" s="43" t="n">
        <f aca="false">MAX(0,MIN(AE55-AF55,$B55-(E55+I55+M55+Q55+U55+Y55+AC55)))</f>
        <v>0</v>
      </c>
      <c r="AH55" s="43" t="n">
        <f aca="false">MAX(0,AE55-AF55-AG55)</f>
        <v>0</v>
      </c>
      <c r="AI55" s="43" t="n">
        <f aca="false">IF(AL54&gt;0.005,AL54*(1+Ordem!$E$14),0)</f>
        <v>0</v>
      </c>
      <c r="AJ55" s="43" t="n">
        <f aca="false">MIN(AI55,Ordem!$F$14)</f>
        <v>0</v>
      </c>
      <c r="AK55" s="43" t="n">
        <f aca="false">MAX(0,MIN(AI55-AJ55,$B55-(E55+I55+M55+Q55+U55+Y55+AC55+AG55)))</f>
        <v>0</v>
      </c>
      <c r="AL55" s="43" t="n">
        <f aca="false">MAX(0,AI55-AJ55-AK55)</f>
        <v>0</v>
      </c>
      <c r="AM55" s="43" t="n">
        <f aca="false">IF(AP54&gt;0.005,AP54*(1+Ordem!$E$15),0)</f>
        <v>0</v>
      </c>
      <c r="AN55" s="43" t="n">
        <f aca="false">MIN(AM55,Ordem!$F$15)</f>
        <v>0</v>
      </c>
      <c r="AO55" s="43" t="n">
        <f aca="false">MAX(0,MIN(AM55-AN55,$B55-(E55+I55+M55+Q55+U55+Y55+AC55+AG55+AK55)))</f>
        <v>0</v>
      </c>
      <c r="AP55" s="43" t="n">
        <f aca="false">MAX(0,AM55-AN55-AO55)</f>
        <v>0</v>
      </c>
      <c r="AQ55" s="43" t="n">
        <f aca="false">F55+J55+N55+R55+V55+Z55+AD55+AH55+AL55+AP55</f>
        <v>0</v>
      </c>
      <c r="AR55" s="43" t="n">
        <f aca="false">D55+E55+H55+I55+L55+M55+P55+Q55+T55+U55+X55+Y55+AB55+AC55+AF55+AG55+AJ55+AK55+AN55+AO55</f>
        <v>0</v>
      </c>
    </row>
    <row r="56" customFormat="false" ht="15" hidden="false" customHeight="false" outlineLevel="0" collapsed="false">
      <c r="A56" s="0" t="n">
        <v>52</v>
      </c>
      <c r="B56" s="43" t="n">
        <f aca="false">MAX(0,Dívidas!$C$20-(D56+H56+L56+P56+T56+X56+AB56+AF56+AJ56+AN56))</f>
        <v>1450</v>
      </c>
      <c r="C56" s="43" t="n">
        <f aca="false">IF(F55&gt;0.005,F55*(1+Ordem!$E$6),0)</f>
        <v>0</v>
      </c>
      <c r="D56" s="43" t="n">
        <f aca="false">MIN(C56,Ordem!$F$6)</f>
        <v>0</v>
      </c>
      <c r="E56" s="43" t="n">
        <f aca="false">MAX(0,MIN(C56-D56,$B56-(0)))</f>
        <v>0</v>
      </c>
      <c r="F56" s="43" t="n">
        <f aca="false">MAX(0,C56-D56-E56)</f>
        <v>0</v>
      </c>
      <c r="G56" s="43" t="n">
        <f aca="false">IF(J55&gt;0.005,J55*(1+Ordem!$E$7),0)</f>
        <v>0</v>
      </c>
      <c r="H56" s="43" t="n">
        <f aca="false">MIN(G56,Ordem!$F$7)</f>
        <v>0</v>
      </c>
      <c r="I56" s="43" t="n">
        <f aca="false">MAX(0,MIN(G56-H56,$B56-(E56)))</f>
        <v>0</v>
      </c>
      <c r="J56" s="43" t="n">
        <f aca="false">MAX(0,G56-H56-I56)</f>
        <v>0</v>
      </c>
      <c r="K56" s="43" t="n">
        <f aca="false">IF(N55&gt;0.005,N55*(1+Ordem!$E$8),0)</f>
        <v>0</v>
      </c>
      <c r="L56" s="43" t="n">
        <f aca="false">MIN(K56,Ordem!$F$8)</f>
        <v>0</v>
      </c>
      <c r="M56" s="43" t="n">
        <f aca="false">MAX(0,MIN(K56-L56,$B56-(E56+I56)))</f>
        <v>0</v>
      </c>
      <c r="N56" s="43" t="n">
        <f aca="false">MAX(0,K56-L56-M56)</f>
        <v>0</v>
      </c>
      <c r="O56" s="43" t="n">
        <f aca="false">IF(R55&gt;0.005,R55*(1+Ordem!$E$9),0)</f>
        <v>0</v>
      </c>
      <c r="P56" s="43" t="n">
        <f aca="false">MIN(O56,Ordem!$F$9)</f>
        <v>0</v>
      </c>
      <c r="Q56" s="43" t="n">
        <f aca="false">MAX(0,MIN(O56-P56,$B56-(E56+I56+M56)))</f>
        <v>0</v>
      </c>
      <c r="R56" s="43" t="n">
        <f aca="false">MAX(0,O56-P56-Q56)</f>
        <v>0</v>
      </c>
      <c r="S56" s="43" t="n">
        <f aca="false">IF(V55&gt;0.005,V55*(1+Ordem!$E$10),0)</f>
        <v>0</v>
      </c>
      <c r="T56" s="43" t="n">
        <f aca="false">MIN(S56,Ordem!$F$10)</f>
        <v>0</v>
      </c>
      <c r="U56" s="43" t="n">
        <f aca="false">MAX(0,MIN(S56-T56,$B56-(E56+I56+M56+Q56)))</f>
        <v>0</v>
      </c>
      <c r="V56" s="43" t="n">
        <f aca="false">MAX(0,S56-T56-U56)</f>
        <v>0</v>
      </c>
      <c r="W56" s="43" t="n">
        <f aca="false">IF(Z55&gt;0.005,Z55*(1+Ordem!$E$11),0)</f>
        <v>0</v>
      </c>
      <c r="X56" s="43" t="n">
        <f aca="false">MIN(W56,Ordem!$F$11)</f>
        <v>0</v>
      </c>
      <c r="Y56" s="43" t="n">
        <f aca="false">MAX(0,MIN(W56-X56,$B56-(E56+I56+M56+Q56+U56)))</f>
        <v>0</v>
      </c>
      <c r="Z56" s="43" t="n">
        <f aca="false">MAX(0,W56-X56-Y56)</f>
        <v>0</v>
      </c>
      <c r="AA56" s="43" t="n">
        <f aca="false">IF(AD55&gt;0.005,AD55*(1+Ordem!$E$12),0)</f>
        <v>0</v>
      </c>
      <c r="AB56" s="43" t="n">
        <f aca="false">MIN(AA56,Ordem!$F$12)</f>
        <v>0</v>
      </c>
      <c r="AC56" s="43" t="n">
        <f aca="false">MAX(0,MIN(AA56-AB56,$B56-(E56+I56+M56+Q56+U56+Y56)))</f>
        <v>0</v>
      </c>
      <c r="AD56" s="43" t="n">
        <f aca="false">MAX(0,AA56-AB56-AC56)</f>
        <v>0</v>
      </c>
      <c r="AE56" s="43" t="n">
        <f aca="false">IF(AH55&gt;0.005,AH55*(1+Ordem!$E$13),0)</f>
        <v>0</v>
      </c>
      <c r="AF56" s="43" t="n">
        <f aca="false">MIN(AE56,Ordem!$F$13)</f>
        <v>0</v>
      </c>
      <c r="AG56" s="43" t="n">
        <f aca="false">MAX(0,MIN(AE56-AF56,$B56-(E56+I56+M56+Q56+U56+Y56+AC56)))</f>
        <v>0</v>
      </c>
      <c r="AH56" s="43" t="n">
        <f aca="false">MAX(0,AE56-AF56-AG56)</f>
        <v>0</v>
      </c>
      <c r="AI56" s="43" t="n">
        <f aca="false">IF(AL55&gt;0.005,AL55*(1+Ordem!$E$14),0)</f>
        <v>0</v>
      </c>
      <c r="AJ56" s="43" t="n">
        <f aca="false">MIN(AI56,Ordem!$F$14)</f>
        <v>0</v>
      </c>
      <c r="AK56" s="43" t="n">
        <f aca="false">MAX(0,MIN(AI56-AJ56,$B56-(E56+I56+M56+Q56+U56+Y56+AC56+AG56)))</f>
        <v>0</v>
      </c>
      <c r="AL56" s="43" t="n">
        <f aca="false">MAX(0,AI56-AJ56-AK56)</f>
        <v>0</v>
      </c>
      <c r="AM56" s="43" t="n">
        <f aca="false">IF(AP55&gt;0.005,AP55*(1+Ordem!$E$15),0)</f>
        <v>0</v>
      </c>
      <c r="AN56" s="43" t="n">
        <f aca="false">MIN(AM56,Ordem!$F$15)</f>
        <v>0</v>
      </c>
      <c r="AO56" s="43" t="n">
        <f aca="false">MAX(0,MIN(AM56-AN56,$B56-(E56+I56+M56+Q56+U56+Y56+AC56+AG56+AK56)))</f>
        <v>0</v>
      </c>
      <c r="AP56" s="43" t="n">
        <f aca="false">MAX(0,AM56-AN56-AO56)</f>
        <v>0</v>
      </c>
      <c r="AQ56" s="43" t="n">
        <f aca="false">F56+J56+N56+R56+V56+Z56+AD56+AH56+AL56+AP56</f>
        <v>0</v>
      </c>
      <c r="AR56" s="43" t="n">
        <f aca="false">D56+E56+H56+I56+L56+M56+P56+Q56+T56+U56+X56+Y56+AB56+AC56+AF56+AG56+AJ56+AK56+AN56+AO56</f>
        <v>0</v>
      </c>
    </row>
    <row r="57" customFormat="false" ht="15" hidden="false" customHeight="false" outlineLevel="0" collapsed="false">
      <c r="A57" s="0" t="n">
        <v>53</v>
      </c>
      <c r="B57" s="43" t="n">
        <f aca="false">MAX(0,Dívidas!$C$20-(D57+H57+L57+P57+T57+X57+AB57+AF57+AJ57+AN57))</f>
        <v>1450</v>
      </c>
      <c r="C57" s="43" t="n">
        <f aca="false">IF(F56&gt;0.005,F56*(1+Ordem!$E$6),0)</f>
        <v>0</v>
      </c>
      <c r="D57" s="43" t="n">
        <f aca="false">MIN(C57,Ordem!$F$6)</f>
        <v>0</v>
      </c>
      <c r="E57" s="43" t="n">
        <f aca="false">MAX(0,MIN(C57-D57,$B57-(0)))</f>
        <v>0</v>
      </c>
      <c r="F57" s="43" t="n">
        <f aca="false">MAX(0,C57-D57-E57)</f>
        <v>0</v>
      </c>
      <c r="G57" s="43" t="n">
        <f aca="false">IF(J56&gt;0.005,J56*(1+Ordem!$E$7),0)</f>
        <v>0</v>
      </c>
      <c r="H57" s="43" t="n">
        <f aca="false">MIN(G57,Ordem!$F$7)</f>
        <v>0</v>
      </c>
      <c r="I57" s="43" t="n">
        <f aca="false">MAX(0,MIN(G57-H57,$B57-(E57)))</f>
        <v>0</v>
      </c>
      <c r="J57" s="43" t="n">
        <f aca="false">MAX(0,G57-H57-I57)</f>
        <v>0</v>
      </c>
      <c r="K57" s="43" t="n">
        <f aca="false">IF(N56&gt;0.005,N56*(1+Ordem!$E$8),0)</f>
        <v>0</v>
      </c>
      <c r="L57" s="43" t="n">
        <f aca="false">MIN(K57,Ordem!$F$8)</f>
        <v>0</v>
      </c>
      <c r="M57" s="43" t="n">
        <f aca="false">MAX(0,MIN(K57-L57,$B57-(E57+I57)))</f>
        <v>0</v>
      </c>
      <c r="N57" s="43" t="n">
        <f aca="false">MAX(0,K57-L57-M57)</f>
        <v>0</v>
      </c>
      <c r="O57" s="43" t="n">
        <f aca="false">IF(R56&gt;0.005,R56*(1+Ordem!$E$9),0)</f>
        <v>0</v>
      </c>
      <c r="P57" s="43" t="n">
        <f aca="false">MIN(O57,Ordem!$F$9)</f>
        <v>0</v>
      </c>
      <c r="Q57" s="43" t="n">
        <f aca="false">MAX(0,MIN(O57-P57,$B57-(E57+I57+M57)))</f>
        <v>0</v>
      </c>
      <c r="R57" s="43" t="n">
        <f aca="false">MAX(0,O57-P57-Q57)</f>
        <v>0</v>
      </c>
      <c r="S57" s="43" t="n">
        <f aca="false">IF(V56&gt;0.005,V56*(1+Ordem!$E$10),0)</f>
        <v>0</v>
      </c>
      <c r="T57" s="43" t="n">
        <f aca="false">MIN(S57,Ordem!$F$10)</f>
        <v>0</v>
      </c>
      <c r="U57" s="43" t="n">
        <f aca="false">MAX(0,MIN(S57-T57,$B57-(E57+I57+M57+Q57)))</f>
        <v>0</v>
      </c>
      <c r="V57" s="43" t="n">
        <f aca="false">MAX(0,S57-T57-U57)</f>
        <v>0</v>
      </c>
      <c r="W57" s="43" t="n">
        <f aca="false">IF(Z56&gt;0.005,Z56*(1+Ordem!$E$11),0)</f>
        <v>0</v>
      </c>
      <c r="X57" s="43" t="n">
        <f aca="false">MIN(W57,Ordem!$F$11)</f>
        <v>0</v>
      </c>
      <c r="Y57" s="43" t="n">
        <f aca="false">MAX(0,MIN(W57-X57,$B57-(E57+I57+M57+Q57+U57)))</f>
        <v>0</v>
      </c>
      <c r="Z57" s="43" t="n">
        <f aca="false">MAX(0,W57-X57-Y57)</f>
        <v>0</v>
      </c>
      <c r="AA57" s="43" t="n">
        <f aca="false">IF(AD56&gt;0.005,AD56*(1+Ordem!$E$12),0)</f>
        <v>0</v>
      </c>
      <c r="AB57" s="43" t="n">
        <f aca="false">MIN(AA57,Ordem!$F$12)</f>
        <v>0</v>
      </c>
      <c r="AC57" s="43" t="n">
        <f aca="false">MAX(0,MIN(AA57-AB57,$B57-(E57+I57+M57+Q57+U57+Y57)))</f>
        <v>0</v>
      </c>
      <c r="AD57" s="43" t="n">
        <f aca="false">MAX(0,AA57-AB57-AC57)</f>
        <v>0</v>
      </c>
      <c r="AE57" s="43" t="n">
        <f aca="false">IF(AH56&gt;0.005,AH56*(1+Ordem!$E$13),0)</f>
        <v>0</v>
      </c>
      <c r="AF57" s="43" t="n">
        <f aca="false">MIN(AE57,Ordem!$F$13)</f>
        <v>0</v>
      </c>
      <c r="AG57" s="43" t="n">
        <f aca="false">MAX(0,MIN(AE57-AF57,$B57-(E57+I57+M57+Q57+U57+Y57+AC57)))</f>
        <v>0</v>
      </c>
      <c r="AH57" s="43" t="n">
        <f aca="false">MAX(0,AE57-AF57-AG57)</f>
        <v>0</v>
      </c>
      <c r="AI57" s="43" t="n">
        <f aca="false">IF(AL56&gt;0.005,AL56*(1+Ordem!$E$14),0)</f>
        <v>0</v>
      </c>
      <c r="AJ57" s="43" t="n">
        <f aca="false">MIN(AI57,Ordem!$F$14)</f>
        <v>0</v>
      </c>
      <c r="AK57" s="43" t="n">
        <f aca="false">MAX(0,MIN(AI57-AJ57,$B57-(E57+I57+M57+Q57+U57+Y57+AC57+AG57)))</f>
        <v>0</v>
      </c>
      <c r="AL57" s="43" t="n">
        <f aca="false">MAX(0,AI57-AJ57-AK57)</f>
        <v>0</v>
      </c>
      <c r="AM57" s="43" t="n">
        <f aca="false">IF(AP56&gt;0.005,AP56*(1+Ordem!$E$15),0)</f>
        <v>0</v>
      </c>
      <c r="AN57" s="43" t="n">
        <f aca="false">MIN(AM57,Ordem!$F$15)</f>
        <v>0</v>
      </c>
      <c r="AO57" s="43" t="n">
        <f aca="false">MAX(0,MIN(AM57-AN57,$B57-(E57+I57+M57+Q57+U57+Y57+AC57+AG57+AK57)))</f>
        <v>0</v>
      </c>
      <c r="AP57" s="43" t="n">
        <f aca="false">MAX(0,AM57-AN57-AO57)</f>
        <v>0</v>
      </c>
      <c r="AQ57" s="43" t="n">
        <f aca="false">F57+J57+N57+R57+V57+Z57+AD57+AH57+AL57+AP57</f>
        <v>0</v>
      </c>
      <c r="AR57" s="43" t="n">
        <f aca="false">D57+E57+H57+I57+L57+M57+P57+Q57+T57+U57+X57+Y57+AB57+AC57+AF57+AG57+AJ57+AK57+AN57+AO57</f>
        <v>0</v>
      </c>
    </row>
    <row r="58" customFormat="false" ht="15" hidden="false" customHeight="false" outlineLevel="0" collapsed="false">
      <c r="A58" s="0" t="n">
        <v>54</v>
      </c>
      <c r="B58" s="43" t="n">
        <f aca="false">MAX(0,Dívidas!$C$20-(D58+H58+L58+P58+T58+X58+AB58+AF58+AJ58+AN58))</f>
        <v>1450</v>
      </c>
      <c r="C58" s="43" t="n">
        <f aca="false">IF(F57&gt;0.005,F57*(1+Ordem!$E$6),0)</f>
        <v>0</v>
      </c>
      <c r="D58" s="43" t="n">
        <f aca="false">MIN(C58,Ordem!$F$6)</f>
        <v>0</v>
      </c>
      <c r="E58" s="43" t="n">
        <f aca="false">MAX(0,MIN(C58-D58,$B58-(0)))</f>
        <v>0</v>
      </c>
      <c r="F58" s="43" t="n">
        <f aca="false">MAX(0,C58-D58-E58)</f>
        <v>0</v>
      </c>
      <c r="G58" s="43" t="n">
        <f aca="false">IF(J57&gt;0.005,J57*(1+Ordem!$E$7),0)</f>
        <v>0</v>
      </c>
      <c r="H58" s="43" t="n">
        <f aca="false">MIN(G58,Ordem!$F$7)</f>
        <v>0</v>
      </c>
      <c r="I58" s="43" t="n">
        <f aca="false">MAX(0,MIN(G58-H58,$B58-(E58)))</f>
        <v>0</v>
      </c>
      <c r="J58" s="43" t="n">
        <f aca="false">MAX(0,G58-H58-I58)</f>
        <v>0</v>
      </c>
      <c r="K58" s="43" t="n">
        <f aca="false">IF(N57&gt;0.005,N57*(1+Ordem!$E$8),0)</f>
        <v>0</v>
      </c>
      <c r="L58" s="43" t="n">
        <f aca="false">MIN(K58,Ordem!$F$8)</f>
        <v>0</v>
      </c>
      <c r="M58" s="43" t="n">
        <f aca="false">MAX(0,MIN(K58-L58,$B58-(E58+I58)))</f>
        <v>0</v>
      </c>
      <c r="N58" s="43" t="n">
        <f aca="false">MAX(0,K58-L58-M58)</f>
        <v>0</v>
      </c>
      <c r="O58" s="43" t="n">
        <f aca="false">IF(R57&gt;0.005,R57*(1+Ordem!$E$9),0)</f>
        <v>0</v>
      </c>
      <c r="P58" s="43" t="n">
        <f aca="false">MIN(O58,Ordem!$F$9)</f>
        <v>0</v>
      </c>
      <c r="Q58" s="43" t="n">
        <f aca="false">MAX(0,MIN(O58-P58,$B58-(E58+I58+M58)))</f>
        <v>0</v>
      </c>
      <c r="R58" s="43" t="n">
        <f aca="false">MAX(0,O58-P58-Q58)</f>
        <v>0</v>
      </c>
      <c r="S58" s="43" t="n">
        <f aca="false">IF(V57&gt;0.005,V57*(1+Ordem!$E$10),0)</f>
        <v>0</v>
      </c>
      <c r="T58" s="43" t="n">
        <f aca="false">MIN(S58,Ordem!$F$10)</f>
        <v>0</v>
      </c>
      <c r="U58" s="43" t="n">
        <f aca="false">MAX(0,MIN(S58-T58,$B58-(E58+I58+M58+Q58)))</f>
        <v>0</v>
      </c>
      <c r="V58" s="43" t="n">
        <f aca="false">MAX(0,S58-T58-U58)</f>
        <v>0</v>
      </c>
      <c r="W58" s="43" t="n">
        <f aca="false">IF(Z57&gt;0.005,Z57*(1+Ordem!$E$11),0)</f>
        <v>0</v>
      </c>
      <c r="X58" s="43" t="n">
        <f aca="false">MIN(W58,Ordem!$F$11)</f>
        <v>0</v>
      </c>
      <c r="Y58" s="43" t="n">
        <f aca="false">MAX(0,MIN(W58-X58,$B58-(E58+I58+M58+Q58+U58)))</f>
        <v>0</v>
      </c>
      <c r="Z58" s="43" t="n">
        <f aca="false">MAX(0,W58-X58-Y58)</f>
        <v>0</v>
      </c>
      <c r="AA58" s="43" t="n">
        <f aca="false">IF(AD57&gt;0.005,AD57*(1+Ordem!$E$12),0)</f>
        <v>0</v>
      </c>
      <c r="AB58" s="43" t="n">
        <f aca="false">MIN(AA58,Ordem!$F$12)</f>
        <v>0</v>
      </c>
      <c r="AC58" s="43" t="n">
        <f aca="false">MAX(0,MIN(AA58-AB58,$B58-(E58+I58+M58+Q58+U58+Y58)))</f>
        <v>0</v>
      </c>
      <c r="AD58" s="43" t="n">
        <f aca="false">MAX(0,AA58-AB58-AC58)</f>
        <v>0</v>
      </c>
      <c r="AE58" s="43" t="n">
        <f aca="false">IF(AH57&gt;0.005,AH57*(1+Ordem!$E$13),0)</f>
        <v>0</v>
      </c>
      <c r="AF58" s="43" t="n">
        <f aca="false">MIN(AE58,Ordem!$F$13)</f>
        <v>0</v>
      </c>
      <c r="AG58" s="43" t="n">
        <f aca="false">MAX(0,MIN(AE58-AF58,$B58-(E58+I58+M58+Q58+U58+Y58+AC58)))</f>
        <v>0</v>
      </c>
      <c r="AH58" s="43" t="n">
        <f aca="false">MAX(0,AE58-AF58-AG58)</f>
        <v>0</v>
      </c>
      <c r="AI58" s="43" t="n">
        <f aca="false">IF(AL57&gt;0.005,AL57*(1+Ordem!$E$14),0)</f>
        <v>0</v>
      </c>
      <c r="AJ58" s="43" t="n">
        <f aca="false">MIN(AI58,Ordem!$F$14)</f>
        <v>0</v>
      </c>
      <c r="AK58" s="43" t="n">
        <f aca="false">MAX(0,MIN(AI58-AJ58,$B58-(E58+I58+M58+Q58+U58+Y58+AC58+AG58)))</f>
        <v>0</v>
      </c>
      <c r="AL58" s="43" t="n">
        <f aca="false">MAX(0,AI58-AJ58-AK58)</f>
        <v>0</v>
      </c>
      <c r="AM58" s="43" t="n">
        <f aca="false">IF(AP57&gt;0.005,AP57*(1+Ordem!$E$15),0)</f>
        <v>0</v>
      </c>
      <c r="AN58" s="43" t="n">
        <f aca="false">MIN(AM58,Ordem!$F$15)</f>
        <v>0</v>
      </c>
      <c r="AO58" s="43" t="n">
        <f aca="false">MAX(0,MIN(AM58-AN58,$B58-(E58+I58+M58+Q58+U58+Y58+AC58+AG58+AK58)))</f>
        <v>0</v>
      </c>
      <c r="AP58" s="43" t="n">
        <f aca="false">MAX(0,AM58-AN58-AO58)</f>
        <v>0</v>
      </c>
      <c r="AQ58" s="43" t="n">
        <f aca="false">F58+J58+N58+R58+V58+Z58+AD58+AH58+AL58+AP58</f>
        <v>0</v>
      </c>
      <c r="AR58" s="43" t="n">
        <f aca="false">D58+E58+H58+I58+L58+M58+P58+Q58+T58+U58+X58+Y58+AB58+AC58+AF58+AG58+AJ58+AK58+AN58+AO58</f>
        <v>0</v>
      </c>
    </row>
    <row r="59" customFormat="false" ht="15" hidden="false" customHeight="false" outlineLevel="0" collapsed="false">
      <c r="A59" s="0" t="n">
        <v>55</v>
      </c>
      <c r="B59" s="43" t="n">
        <f aca="false">MAX(0,Dívidas!$C$20-(D59+H59+L59+P59+T59+X59+AB59+AF59+AJ59+AN59))</f>
        <v>1450</v>
      </c>
      <c r="C59" s="43" t="n">
        <f aca="false">IF(F58&gt;0.005,F58*(1+Ordem!$E$6),0)</f>
        <v>0</v>
      </c>
      <c r="D59" s="43" t="n">
        <f aca="false">MIN(C59,Ordem!$F$6)</f>
        <v>0</v>
      </c>
      <c r="E59" s="43" t="n">
        <f aca="false">MAX(0,MIN(C59-D59,$B59-(0)))</f>
        <v>0</v>
      </c>
      <c r="F59" s="43" t="n">
        <f aca="false">MAX(0,C59-D59-E59)</f>
        <v>0</v>
      </c>
      <c r="G59" s="43" t="n">
        <f aca="false">IF(J58&gt;0.005,J58*(1+Ordem!$E$7),0)</f>
        <v>0</v>
      </c>
      <c r="H59" s="43" t="n">
        <f aca="false">MIN(G59,Ordem!$F$7)</f>
        <v>0</v>
      </c>
      <c r="I59" s="43" t="n">
        <f aca="false">MAX(0,MIN(G59-H59,$B59-(E59)))</f>
        <v>0</v>
      </c>
      <c r="J59" s="43" t="n">
        <f aca="false">MAX(0,G59-H59-I59)</f>
        <v>0</v>
      </c>
      <c r="K59" s="43" t="n">
        <f aca="false">IF(N58&gt;0.005,N58*(1+Ordem!$E$8),0)</f>
        <v>0</v>
      </c>
      <c r="L59" s="43" t="n">
        <f aca="false">MIN(K59,Ordem!$F$8)</f>
        <v>0</v>
      </c>
      <c r="M59" s="43" t="n">
        <f aca="false">MAX(0,MIN(K59-L59,$B59-(E59+I59)))</f>
        <v>0</v>
      </c>
      <c r="N59" s="43" t="n">
        <f aca="false">MAX(0,K59-L59-M59)</f>
        <v>0</v>
      </c>
      <c r="O59" s="43" t="n">
        <f aca="false">IF(R58&gt;0.005,R58*(1+Ordem!$E$9),0)</f>
        <v>0</v>
      </c>
      <c r="P59" s="43" t="n">
        <f aca="false">MIN(O59,Ordem!$F$9)</f>
        <v>0</v>
      </c>
      <c r="Q59" s="43" t="n">
        <f aca="false">MAX(0,MIN(O59-P59,$B59-(E59+I59+M59)))</f>
        <v>0</v>
      </c>
      <c r="R59" s="43" t="n">
        <f aca="false">MAX(0,O59-P59-Q59)</f>
        <v>0</v>
      </c>
      <c r="S59" s="43" t="n">
        <f aca="false">IF(V58&gt;0.005,V58*(1+Ordem!$E$10),0)</f>
        <v>0</v>
      </c>
      <c r="T59" s="43" t="n">
        <f aca="false">MIN(S59,Ordem!$F$10)</f>
        <v>0</v>
      </c>
      <c r="U59" s="43" t="n">
        <f aca="false">MAX(0,MIN(S59-T59,$B59-(E59+I59+M59+Q59)))</f>
        <v>0</v>
      </c>
      <c r="V59" s="43" t="n">
        <f aca="false">MAX(0,S59-T59-U59)</f>
        <v>0</v>
      </c>
      <c r="W59" s="43" t="n">
        <f aca="false">IF(Z58&gt;0.005,Z58*(1+Ordem!$E$11),0)</f>
        <v>0</v>
      </c>
      <c r="X59" s="43" t="n">
        <f aca="false">MIN(W59,Ordem!$F$11)</f>
        <v>0</v>
      </c>
      <c r="Y59" s="43" t="n">
        <f aca="false">MAX(0,MIN(W59-X59,$B59-(E59+I59+M59+Q59+U59)))</f>
        <v>0</v>
      </c>
      <c r="Z59" s="43" t="n">
        <f aca="false">MAX(0,W59-X59-Y59)</f>
        <v>0</v>
      </c>
      <c r="AA59" s="43" t="n">
        <f aca="false">IF(AD58&gt;0.005,AD58*(1+Ordem!$E$12),0)</f>
        <v>0</v>
      </c>
      <c r="AB59" s="43" t="n">
        <f aca="false">MIN(AA59,Ordem!$F$12)</f>
        <v>0</v>
      </c>
      <c r="AC59" s="43" t="n">
        <f aca="false">MAX(0,MIN(AA59-AB59,$B59-(E59+I59+M59+Q59+U59+Y59)))</f>
        <v>0</v>
      </c>
      <c r="AD59" s="43" t="n">
        <f aca="false">MAX(0,AA59-AB59-AC59)</f>
        <v>0</v>
      </c>
      <c r="AE59" s="43" t="n">
        <f aca="false">IF(AH58&gt;0.005,AH58*(1+Ordem!$E$13),0)</f>
        <v>0</v>
      </c>
      <c r="AF59" s="43" t="n">
        <f aca="false">MIN(AE59,Ordem!$F$13)</f>
        <v>0</v>
      </c>
      <c r="AG59" s="43" t="n">
        <f aca="false">MAX(0,MIN(AE59-AF59,$B59-(E59+I59+M59+Q59+U59+Y59+AC59)))</f>
        <v>0</v>
      </c>
      <c r="AH59" s="43" t="n">
        <f aca="false">MAX(0,AE59-AF59-AG59)</f>
        <v>0</v>
      </c>
      <c r="AI59" s="43" t="n">
        <f aca="false">IF(AL58&gt;0.005,AL58*(1+Ordem!$E$14),0)</f>
        <v>0</v>
      </c>
      <c r="AJ59" s="43" t="n">
        <f aca="false">MIN(AI59,Ordem!$F$14)</f>
        <v>0</v>
      </c>
      <c r="AK59" s="43" t="n">
        <f aca="false">MAX(0,MIN(AI59-AJ59,$B59-(E59+I59+M59+Q59+U59+Y59+AC59+AG59)))</f>
        <v>0</v>
      </c>
      <c r="AL59" s="43" t="n">
        <f aca="false">MAX(0,AI59-AJ59-AK59)</f>
        <v>0</v>
      </c>
      <c r="AM59" s="43" t="n">
        <f aca="false">IF(AP58&gt;0.005,AP58*(1+Ordem!$E$15),0)</f>
        <v>0</v>
      </c>
      <c r="AN59" s="43" t="n">
        <f aca="false">MIN(AM59,Ordem!$F$15)</f>
        <v>0</v>
      </c>
      <c r="AO59" s="43" t="n">
        <f aca="false">MAX(0,MIN(AM59-AN59,$B59-(E59+I59+M59+Q59+U59+Y59+AC59+AG59+AK59)))</f>
        <v>0</v>
      </c>
      <c r="AP59" s="43" t="n">
        <f aca="false">MAX(0,AM59-AN59-AO59)</f>
        <v>0</v>
      </c>
      <c r="AQ59" s="43" t="n">
        <f aca="false">F59+J59+N59+R59+V59+Z59+AD59+AH59+AL59+AP59</f>
        <v>0</v>
      </c>
      <c r="AR59" s="43" t="n">
        <f aca="false">D59+E59+H59+I59+L59+M59+P59+Q59+T59+U59+X59+Y59+AB59+AC59+AF59+AG59+AJ59+AK59+AN59+AO59</f>
        <v>0</v>
      </c>
    </row>
    <row r="60" customFormat="false" ht="15" hidden="false" customHeight="false" outlineLevel="0" collapsed="false">
      <c r="A60" s="0" t="n">
        <v>56</v>
      </c>
      <c r="B60" s="43" t="n">
        <f aca="false">MAX(0,Dívidas!$C$20-(D60+H60+L60+P60+T60+X60+AB60+AF60+AJ60+AN60))</f>
        <v>1450</v>
      </c>
      <c r="C60" s="43" t="n">
        <f aca="false">IF(F59&gt;0.005,F59*(1+Ordem!$E$6),0)</f>
        <v>0</v>
      </c>
      <c r="D60" s="43" t="n">
        <f aca="false">MIN(C60,Ordem!$F$6)</f>
        <v>0</v>
      </c>
      <c r="E60" s="43" t="n">
        <f aca="false">MAX(0,MIN(C60-D60,$B60-(0)))</f>
        <v>0</v>
      </c>
      <c r="F60" s="43" t="n">
        <f aca="false">MAX(0,C60-D60-E60)</f>
        <v>0</v>
      </c>
      <c r="G60" s="43" t="n">
        <f aca="false">IF(J59&gt;0.005,J59*(1+Ordem!$E$7),0)</f>
        <v>0</v>
      </c>
      <c r="H60" s="43" t="n">
        <f aca="false">MIN(G60,Ordem!$F$7)</f>
        <v>0</v>
      </c>
      <c r="I60" s="43" t="n">
        <f aca="false">MAX(0,MIN(G60-H60,$B60-(E60)))</f>
        <v>0</v>
      </c>
      <c r="J60" s="43" t="n">
        <f aca="false">MAX(0,G60-H60-I60)</f>
        <v>0</v>
      </c>
      <c r="K60" s="43" t="n">
        <f aca="false">IF(N59&gt;0.005,N59*(1+Ordem!$E$8),0)</f>
        <v>0</v>
      </c>
      <c r="L60" s="43" t="n">
        <f aca="false">MIN(K60,Ordem!$F$8)</f>
        <v>0</v>
      </c>
      <c r="M60" s="43" t="n">
        <f aca="false">MAX(0,MIN(K60-L60,$B60-(E60+I60)))</f>
        <v>0</v>
      </c>
      <c r="N60" s="43" t="n">
        <f aca="false">MAX(0,K60-L60-M60)</f>
        <v>0</v>
      </c>
      <c r="O60" s="43" t="n">
        <f aca="false">IF(R59&gt;0.005,R59*(1+Ordem!$E$9),0)</f>
        <v>0</v>
      </c>
      <c r="P60" s="43" t="n">
        <f aca="false">MIN(O60,Ordem!$F$9)</f>
        <v>0</v>
      </c>
      <c r="Q60" s="43" t="n">
        <f aca="false">MAX(0,MIN(O60-P60,$B60-(E60+I60+M60)))</f>
        <v>0</v>
      </c>
      <c r="R60" s="43" t="n">
        <f aca="false">MAX(0,O60-P60-Q60)</f>
        <v>0</v>
      </c>
      <c r="S60" s="43" t="n">
        <f aca="false">IF(V59&gt;0.005,V59*(1+Ordem!$E$10),0)</f>
        <v>0</v>
      </c>
      <c r="T60" s="43" t="n">
        <f aca="false">MIN(S60,Ordem!$F$10)</f>
        <v>0</v>
      </c>
      <c r="U60" s="43" t="n">
        <f aca="false">MAX(0,MIN(S60-T60,$B60-(E60+I60+M60+Q60)))</f>
        <v>0</v>
      </c>
      <c r="V60" s="43" t="n">
        <f aca="false">MAX(0,S60-T60-U60)</f>
        <v>0</v>
      </c>
      <c r="W60" s="43" t="n">
        <f aca="false">IF(Z59&gt;0.005,Z59*(1+Ordem!$E$11),0)</f>
        <v>0</v>
      </c>
      <c r="X60" s="43" t="n">
        <f aca="false">MIN(W60,Ordem!$F$11)</f>
        <v>0</v>
      </c>
      <c r="Y60" s="43" t="n">
        <f aca="false">MAX(0,MIN(W60-X60,$B60-(E60+I60+M60+Q60+U60)))</f>
        <v>0</v>
      </c>
      <c r="Z60" s="43" t="n">
        <f aca="false">MAX(0,W60-X60-Y60)</f>
        <v>0</v>
      </c>
      <c r="AA60" s="43" t="n">
        <f aca="false">IF(AD59&gt;0.005,AD59*(1+Ordem!$E$12),0)</f>
        <v>0</v>
      </c>
      <c r="AB60" s="43" t="n">
        <f aca="false">MIN(AA60,Ordem!$F$12)</f>
        <v>0</v>
      </c>
      <c r="AC60" s="43" t="n">
        <f aca="false">MAX(0,MIN(AA60-AB60,$B60-(E60+I60+M60+Q60+U60+Y60)))</f>
        <v>0</v>
      </c>
      <c r="AD60" s="43" t="n">
        <f aca="false">MAX(0,AA60-AB60-AC60)</f>
        <v>0</v>
      </c>
      <c r="AE60" s="43" t="n">
        <f aca="false">IF(AH59&gt;0.005,AH59*(1+Ordem!$E$13),0)</f>
        <v>0</v>
      </c>
      <c r="AF60" s="43" t="n">
        <f aca="false">MIN(AE60,Ordem!$F$13)</f>
        <v>0</v>
      </c>
      <c r="AG60" s="43" t="n">
        <f aca="false">MAX(0,MIN(AE60-AF60,$B60-(E60+I60+M60+Q60+U60+Y60+AC60)))</f>
        <v>0</v>
      </c>
      <c r="AH60" s="43" t="n">
        <f aca="false">MAX(0,AE60-AF60-AG60)</f>
        <v>0</v>
      </c>
      <c r="AI60" s="43" t="n">
        <f aca="false">IF(AL59&gt;0.005,AL59*(1+Ordem!$E$14),0)</f>
        <v>0</v>
      </c>
      <c r="AJ60" s="43" t="n">
        <f aca="false">MIN(AI60,Ordem!$F$14)</f>
        <v>0</v>
      </c>
      <c r="AK60" s="43" t="n">
        <f aca="false">MAX(0,MIN(AI60-AJ60,$B60-(E60+I60+M60+Q60+U60+Y60+AC60+AG60)))</f>
        <v>0</v>
      </c>
      <c r="AL60" s="43" t="n">
        <f aca="false">MAX(0,AI60-AJ60-AK60)</f>
        <v>0</v>
      </c>
      <c r="AM60" s="43" t="n">
        <f aca="false">IF(AP59&gt;0.005,AP59*(1+Ordem!$E$15),0)</f>
        <v>0</v>
      </c>
      <c r="AN60" s="43" t="n">
        <f aca="false">MIN(AM60,Ordem!$F$15)</f>
        <v>0</v>
      </c>
      <c r="AO60" s="43" t="n">
        <f aca="false">MAX(0,MIN(AM60-AN60,$B60-(E60+I60+M60+Q60+U60+Y60+AC60+AG60+AK60)))</f>
        <v>0</v>
      </c>
      <c r="AP60" s="43" t="n">
        <f aca="false">MAX(0,AM60-AN60-AO60)</f>
        <v>0</v>
      </c>
      <c r="AQ60" s="43" t="n">
        <f aca="false">F60+J60+N60+R60+V60+Z60+AD60+AH60+AL60+AP60</f>
        <v>0</v>
      </c>
      <c r="AR60" s="43" t="n">
        <f aca="false">D60+E60+H60+I60+L60+M60+P60+Q60+T60+U60+X60+Y60+AB60+AC60+AF60+AG60+AJ60+AK60+AN60+AO60</f>
        <v>0</v>
      </c>
    </row>
    <row r="61" customFormat="false" ht="15" hidden="false" customHeight="false" outlineLevel="0" collapsed="false">
      <c r="A61" s="0" t="n">
        <v>57</v>
      </c>
      <c r="B61" s="43" t="n">
        <f aca="false">MAX(0,Dívidas!$C$20-(D61+H61+L61+P61+T61+X61+AB61+AF61+AJ61+AN61))</f>
        <v>1450</v>
      </c>
      <c r="C61" s="43" t="n">
        <f aca="false">IF(F60&gt;0.005,F60*(1+Ordem!$E$6),0)</f>
        <v>0</v>
      </c>
      <c r="D61" s="43" t="n">
        <f aca="false">MIN(C61,Ordem!$F$6)</f>
        <v>0</v>
      </c>
      <c r="E61" s="43" t="n">
        <f aca="false">MAX(0,MIN(C61-D61,$B61-(0)))</f>
        <v>0</v>
      </c>
      <c r="F61" s="43" t="n">
        <f aca="false">MAX(0,C61-D61-E61)</f>
        <v>0</v>
      </c>
      <c r="G61" s="43" t="n">
        <f aca="false">IF(J60&gt;0.005,J60*(1+Ordem!$E$7),0)</f>
        <v>0</v>
      </c>
      <c r="H61" s="43" t="n">
        <f aca="false">MIN(G61,Ordem!$F$7)</f>
        <v>0</v>
      </c>
      <c r="I61" s="43" t="n">
        <f aca="false">MAX(0,MIN(G61-H61,$B61-(E61)))</f>
        <v>0</v>
      </c>
      <c r="J61" s="43" t="n">
        <f aca="false">MAX(0,G61-H61-I61)</f>
        <v>0</v>
      </c>
      <c r="K61" s="43" t="n">
        <f aca="false">IF(N60&gt;0.005,N60*(1+Ordem!$E$8),0)</f>
        <v>0</v>
      </c>
      <c r="L61" s="43" t="n">
        <f aca="false">MIN(K61,Ordem!$F$8)</f>
        <v>0</v>
      </c>
      <c r="M61" s="43" t="n">
        <f aca="false">MAX(0,MIN(K61-L61,$B61-(E61+I61)))</f>
        <v>0</v>
      </c>
      <c r="N61" s="43" t="n">
        <f aca="false">MAX(0,K61-L61-M61)</f>
        <v>0</v>
      </c>
      <c r="O61" s="43" t="n">
        <f aca="false">IF(R60&gt;0.005,R60*(1+Ordem!$E$9),0)</f>
        <v>0</v>
      </c>
      <c r="P61" s="43" t="n">
        <f aca="false">MIN(O61,Ordem!$F$9)</f>
        <v>0</v>
      </c>
      <c r="Q61" s="43" t="n">
        <f aca="false">MAX(0,MIN(O61-P61,$B61-(E61+I61+M61)))</f>
        <v>0</v>
      </c>
      <c r="R61" s="43" t="n">
        <f aca="false">MAX(0,O61-P61-Q61)</f>
        <v>0</v>
      </c>
      <c r="S61" s="43" t="n">
        <f aca="false">IF(V60&gt;0.005,V60*(1+Ordem!$E$10),0)</f>
        <v>0</v>
      </c>
      <c r="T61" s="43" t="n">
        <f aca="false">MIN(S61,Ordem!$F$10)</f>
        <v>0</v>
      </c>
      <c r="U61" s="43" t="n">
        <f aca="false">MAX(0,MIN(S61-T61,$B61-(E61+I61+M61+Q61)))</f>
        <v>0</v>
      </c>
      <c r="V61" s="43" t="n">
        <f aca="false">MAX(0,S61-T61-U61)</f>
        <v>0</v>
      </c>
      <c r="W61" s="43" t="n">
        <f aca="false">IF(Z60&gt;0.005,Z60*(1+Ordem!$E$11),0)</f>
        <v>0</v>
      </c>
      <c r="X61" s="43" t="n">
        <f aca="false">MIN(W61,Ordem!$F$11)</f>
        <v>0</v>
      </c>
      <c r="Y61" s="43" t="n">
        <f aca="false">MAX(0,MIN(W61-X61,$B61-(E61+I61+M61+Q61+U61)))</f>
        <v>0</v>
      </c>
      <c r="Z61" s="43" t="n">
        <f aca="false">MAX(0,W61-X61-Y61)</f>
        <v>0</v>
      </c>
      <c r="AA61" s="43" t="n">
        <f aca="false">IF(AD60&gt;0.005,AD60*(1+Ordem!$E$12),0)</f>
        <v>0</v>
      </c>
      <c r="AB61" s="43" t="n">
        <f aca="false">MIN(AA61,Ordem!$F$12)</f>
        <v>0</v>
      </c>
      <c r="AC61" s="43" t="n">
        <f aca="false">MAX(0,MIN(AA61-AB61,$B61-(E61+I61+M61+Q61+U61+Y61)))</f>
        <v>0</v>
      </c>
      <c r="AD61" s="43" t="n">
        <f aca="false">MAX(0,AA61-AB61-AC61)</f>
        <v>0</v>
      </c>
      <c r="AE61" s="43" t="n">
        <f aca="false">IF(AH60&gt;0.005,AH60*(1+Ordem!$E$13),0)</f>
        <v>0</v>
      </c>
      <c r="AF61" s="43" t="n">
        <f aca="false">MIN(AE61,Ordem!$F$13)</f>
        <v>0</v>
      </c>
      <c r="AG61" s="43" t="n">
        <f aca="false">MAX(0,MIN(AE61-AF61,$B61-(E61+I61+M61+Q61+U61+Y61+AC61)))</f>
        <v>0</v>
      </c>
      <c r="AH61" s="43" t="n">
        <f aca="false">MAX(0,AE61-AF61-AG61)</f>
        <v>0</v>
      </c>
      <c r="AI61" s="43" t="n">
        <f aca="false">IF(AL60&gt;0.005,AL60*(1+Ordem!$E$14),0)</f>
        <v>0</v>
      </c>
      <c r="AJ61" s="43" t="n">
        <f aca="false">MIN(AI61,Ordem!$F$14)</f>
        <v>0</v>
      </c>
      <c r="AK61" s="43" t="n">
        <f aca="false">MAX(0,MIN(AI61-AJ61,$B61-(E61+I61+M61+Q61+U61+Y61+AC61+AG61)))</f>
        <v>0</v>
      </c>
      <c r="AL61" s="43" t="n">
        <f aca="false">MAX(0,AI61-AJ61-AK61)</f>
        <v>0</v>
      </c>
      <c r="AM61" s="43" t="n">
        <f aca="false">IF(AP60&gt;0.005,AP60*(1+Ordem!$E$15),0)</f>
        <v>0</v>
      </c>
      <c r="AN61" s="43" t="n">
        <f aca="false">MIN(AM61,Ordem!$F$15)</f>
        <v>0</v>
      </c>
      <c r="AO61" s="43" t="n">
        <f aca="false">MAX(0,MIN(AM61-AN61,$B61-(E61+I61+M61+Q61+U61+Y61+AC61+AG61+AK61)))</f>
        <v>0</v>
      </c>
      <c r="AP61" s="43" t="n">
        <f aca="false">MAX(0,AM61-AN61-AO61)</f>
        <v>0</v>
      </c>
      <c r="AQ61" s="43" t="n">
        <f aca="false">F61+J61+N61+R61+V61+Z61+AD61+AH61+AL61+AP61</f>
        <v>0</v>
      </c>
      <c r="AR61" s="43" t="n">
        <f aca="false">D61+E61+H61+I61+L61+M61+P61+Q61+T61+U61+X61+Y61+AB61+AC61+AF61+AG61+AJ61+AK61+AN61+AO61</f>
        <v>0</v>
      </c>
    </row>
    <row r="62" customFormat="false" ht="15" hidden="false" customHeight="false" outlineLevel="0" collapsed="false">
      <c r="A62" s="0" t="n">
        <v>58</v>
      </c>
      <c r="B62" s="43" t="n">
        <f aca="false">MAX(0,Dívidas!$C$20-(D62+H62+L62+P62+T62+X62+AB62+AF62+AJ62+AN62))</f>
        <v>1450</v>
      </c>
      <c r="C62" s="43" t="n">
        <f aca="false">IF(F61&gt;0.005,F61*(1+Ordem!$E$6),0)</f>
        <v>0</v>
      </c>
      <c r="D62" s="43" t="n">
        <f aca="false">MIN(C62,Ordem!$F$6)</f>
        <v>0</v>
      </c>
      <c r="E62" s="43" t="n">
        <f aca="false">MAX(0,MIN(C62-D62,$B62-(0)))</f>
        <v>0</v>
      </c>
      <c r="F62" s="43" t="n">
        <f aca="false">MAX(0,C62-D62-E62)</f>
        <v>0</v>
      </c>
      <c r="G62" s="43" t="n">
        <f aca="false">IF(J61&gt;0.005,J61*(1+Ordem!$E$7),0)</f>
        <v>0</v>
      </c>
      <c r="H62" s="43" t="n">
        <f aca="false">MIN(G62,Ordem!$F$7)</f>
        <v>0</v>
      </c>
      <c r="I62" s="43" t="n">
        <f aca="false">MAX(0,MIN(G62-H62,$B62-(E62)))</f>
        <v>0</v>
      </c>
      <c r="J62" s="43" t="n">
        <f aca="false">MAX(0,G62-H62-I62)</f>
        <v>0</v>
      </c>
      <c r="K62" s="43" t="n">
        <f aca="false">IF(N61&gt;0.005,N61*(1+Ordem!$E$8),0)</f>
        <v>0</v>
      </c>
      <c r="L62" s="43" t="n">
        <f aca="false">MIN(K62,Ordem!$F$8)</f>
        <v>0</v>
      </c>
      <c r="M62" s="43" t="n">
        <f aca="false">MAX(0,MIN(K62-L62,$B62-(E62+I62)))</f>
        <v>0</v>
      </c>
      <c r="N62" s="43" t="n">
        <f aca="false">MAX(0,K62-L62-M62)</f>
        <v>0</v>
      </c>
      <c r="O62" s="43" t="n">
        <f aca="false">IF(R61&gt;0.005,R61*(1+Ordem!$E$9),0)</f>
        <v>0</v>
      </c>
      <c r="P62" s="43" t="n">
        <f aca="false">MIN(O62,Ordem!$F$9)</f>
        <v>0</v>
      </c>
      <c r="Q62" s="43" t="n">
        <f aca="false">MAX(0,MIN(O62-P62,$B62-(E62+I62+M62)))</f>
        <v>0</v>
      </c>
      <c r="R62" s="43" t="n">
        <f aca="false">MAX(0,O62-P62-Q62)</f>
        <v>0</v>
      </c>
      <c r="S62" s="43" t="n">
        <f aca="false">IF(V61&gt;0.005,V61*(1+Ordem!$E$10),0)</f>
        <v>0</v>
      </c>
      <c r="T62" s="43" t="n">
        <f aca="false">MIN(S62,Ordem!$F$10)</f>
        <v>0</v>
      </c>
      <c r="U62" s="43" t="n">
        <f aca="false">MAX(0,MIN(S62-T62,$B62-(E62+I62+M62+Q62)))</f>
        <v>0</v>
      </c>
      <c r="V62" s="43" t="n">
        <f aca="false">MAX(0,S62-T62-U62)</f>
        <v>0</v>
      </c>
      <c r="W62" s="43" t="n">
        <f aca="false">IF(Z61&gt;0.005,Z61*(1+Ordem!$E$11),0)</f>
        <v>0</v>
      </c>
      <c r="X62" s="43" t="n">
        <f aca="false">MIN(W62,Ordem!$F$11)</f>
        <v>0</v>
      </c>
      <c r="Y62" s="43" t="n">
        <f aca="false">MAX(0,MIN(W62-X62,$B62-(E62+I62+M62+Q62+U62)))</f>
        <v>0</v>
      </c>
      <c r="Z62" s="43" t="n">
        <f aca="false">MAX(0,W62-X62-Y62)</f>
        <v>0</v>
      </c>
      <c r="AA62" s="43" t="n">
        <f aca="false">IF(AD61&gt;0.005,AD61*(1+Ordem!$E$12),0)</f>
        <v>0</v>
      </c>
      <c r="AB62" s="43" t="n">
        <f aca="false">MIN(AA62,Ordem!$F$12)</f>
        <v>0</v>
      </c>
      <c r="AC62" s="43" t="n">
        <f aca="false">MAX(0,MIN(AA62-AB62,$B62-(E62+I62+M62+Q62+U62+Y62)))</f>
        <v>0</v>
      </c>
      <c r="AD62" s="43" t="n">
        <f aca="false">MAX(0,AA62-AB62-AC62)</f>
        <v>0</v>
      </c>
      <c r="AE62" s="43" t="n">
        <f aca="false">IF(AH61&gt;0.005,AH61*(1+Ordem!$E$13),0)</f>
        <v>0</v>
      </c>
      <c r="AF62" s="43" t="n">
        <f aca="false">MIN(AE62,Ordem!$F$13)</f>
        <v>0</v>
      </c>
      <c r="AG62" s="43" t="n">
        <f aca="false">MAX(0,MIN(AE62-AF62,$B62-(E62+I62+M62+Q62+U62+Y62+AC62)))</f>
        <v>0</v>
      </c>
      <c r="AH62" s="43" t="n">
        <f aca="false">MAX(0,AE62-AF62-AG62)</f>
        <v>0</v>
      </c>
      <c r="AI62" s="43" t="n">
        <f aca="false">IF(AL61&gt;0.005,AL61*(1+Ordem!$E$14),0)</f>
        <v>0</v>
      </c>
      <c r="AJ62" s="43" t="n">
        <f aca="false">MIN(AI62,Ordem!$F$14)</f>
        <v>0</v>
      </c>
      <c r="AK62" s="43" t="n">
        <f aca="false">MAX(0,MIN(AI62-AJ62,$B62-(E62+I62+M62+Q62+U62+Y62+AC62+AG62)))</f>
        <v>0</v>
      </c>
      <c r="AL62" s="43" t="n">
        <f aca="false">MAX(0,AI62-AJ62-AK62)</f>
        <v>0</v>
      </c>
      <c r="AM62" s="43" t="n">
        <f aca="false">IF(AP61&gt;0.005,AP61*(1+Ordem!$E$15),0)</f>
        <v>0</v>
      </c>
      <c r="AN62" s="43" t="n">
        <f aca="false">MIN(AM62,Ordem!$F$15)</f>
        <v>0</v>
      </c>
      <c r="AO62" s="43" t="n">
        <f aca="false">MAX(0,MIN(AM62-AN62,$B62-(E62+I62+M62+Q62+U62+Y62+AC62+AG62+AK62)))</f>
        <v>0</v>
      </c>
      <c r="AP62" s="43" t="n">
        <f aca="false">MAX(0,AM62-AN62-AO62)</f>
        <v>0</v>
      </c>
      <c r="AQ62" s="43" t="n">
        <f aca="false">F62+J62+N62+R62+V62+Z62+AD62+AH62+AL62+AP62</f>
        <v>0</v>
      </c>
      <c r="AR62" s="43" t="n">
        <f aca="false">D62+E62+H62+I62+L62+M62+P62+Q62+T62+U62+X62+Y62+AB62+AC62+AF62+AG62+AJ62+AK62+AN62+AO62</f>
        <v>0</v>
      </c>
    </row>
    <row r="63" customFormat="false" ht="15" hidden="false" customHeight="false" outlineLevel="0" collapsed="false">
      <c r="A63" s="0" t="n">
        <v>59</v>
      </c>
      <c r="B63" s="43" t="n">
        <f aca="false">MAX(0,Dívidas!$C$20-(D63+H63+L63+P63+T63+X63+AB63+AF63+AJ63+AN63))</f>
        <v>1450</v>
      </c>
      <c r="C63" s="43" t="n">
        <f aca="false">IF(F62&gt;0.005,F62*(1+Ordem!$E$6),0)</f>
        <v>0</v>
      </c>
      <c r="D63" s="43" t="n">
        <f aca="false">MIN(C63,Ordem!$F$6)</f>
        <v>0</v>
      </c>
      <c r="E63" s="43" t="n">
        <f aca="false">MAX(0,MIN(C63-D63,$B63-(0)))</f>
        <v>0</v>
      </c>
      <c r="F63" s="43" t="n">
        <f aca="false">MAX(0,C63-D63-E63)</f>
        <v>0</v>
      </c>
      <c r="G63" s="43" t="n">
        <f aca="false">IF(J62&gt;0.005,J62*(1+Ordem!$E$7),0)</f>
        <v>0</v>
      </c>
      <c r="H63" s="43" t="n">
        <f aca="false">MIN(G63,Ordem!$F$7)</f>
        <v>0</v>
      </c>
      <c r="I63" s="43" t="n">
        <f aca="false">MAX(0,MIN(G63-H63,$B63-(E63)))</f>
        <v>0</v>
      </c>
      <c r="J63" s="43" t="n">
        <f aca="false">MAX(0,G63-H63-I63)</f>
        <v>0</v>
      </c>
      <c r="K63" s="43" t="n">
        <f aca="false">IF(N62&gt;0.005,N62*(1+Ordem!$E$8),0)</f>
        <v>0</v>
      </c>
      <c r="L63" s="43" t="n">
        <f aca="false">MIN(K63,Ordem!$F$8)</f>
        <v>0</v>
      </c>
      <c r="M63" s="43" t="n">
        <f aca="false">MAX(0,MIN(K63-L63,$B63-(E63+I63)))</f>
        <v>0</v>
      </c>
      <c r="N63" s="43" t="n">
        <f aca="false">MAX(0,K63-L63-M63)</f>
        <v>0</v>
      </c>
      <c r="O63" s="43" t="n">
        <f aca="false">IF(R62&gt;0.005,R62*(1+Ordem!$E$9),0)</f>
        <v>0</v>
      </c>
      <c r="P63" s="43" t="n">
        <f aca="false">MIN(O63,Ordem!$F$9)</f>
        <v>0</v>
      </c>
      <c r="Q63" s="43" t="n">
        <f aca="false">MAX(0,MIN(O63-P63,$B63-(E63+I63+M63)))</f>
        <v>0</v>
      </c>
      <c r="R63" s="43" t="n">
        <f aca="false">MAX(0,O63-P63-Q63)</f>
        <v>0</v>
      </c>
      <c r="S63" s="43" t="n">
        <f aca="false">IF(V62&gt;0.005,V62*(1+Ordem!$E$10),0)</f>
        <v>0</v>
      </c>
      <c r="T63" s="43" t="n">
        <f aca="false">MIN(S63,Ordem!$F$10)</f>
        <v>0</v>
      </c>
      <c r="U63" s="43" t="n">
        <f aca="false">MAX(0,MIN(S63-T63,$B63-(E63+I63+M63+Q63)))</f>
        <v>0</v>
      </c>
      <c r="V63" s="43" t="n">
        <f aca="false">MAX(0,S63-T63-U63)</f>
        <v>0</v>
      </c>
      <c r="W63" s="43" t="n">
        <f aca="false">IF(Z62&gt;0.005,Z62*(1+Ordem!$E$11),0)</f>
        <v>0</v>
      </c>
      <c r="X63" s="43" t="n">
        <f aca="false">MIN(W63,Ordem!$F$11)</f>
        <v>0</v>
      </c>
      <c r="Y63" s="43" t="n">
        <f aca="false">MAX(0,MIN(W63-X63,$B63-(E63+I63+M63+Q63+U63)))</f>
        <v>0</v>
      </c>
      <c r="Z63" s="43" t="n">
        <f aca="false">MAX(0,W63-X63-Y63)</f>
        <v>0</v>
      </c>
      <c r="AA63" s="43" t="n">
        <f aca="false">IF(AD62&gt;0.005,AD62*(1+Ordem!$E$12),0)</f>
        <v>0</v>
      </c>
      <c r="AB63" s="43" t="n">
        <f aca="false">MIN(AA63,Ordem!$F$12)</f>
        <v>0</v>
      </c>
      <c r="AC63" s="43" t="n">
        <f aca="false">MAX(0,MIN(AA63-AB63,$B63-(E63+I63+M63+Q63+U63+Y63)))</f>
        <v>0</v>
      </c>
      <c r="AD63" s="43" t="n">
        <f aca="false">MAX(0,AA63-AB63-AC63)</f>
        <v>0</v>
      </c>
      <c r="AE63" s="43" t="n">
        <f aca="false">IF(AH62&gt;0.005,AH62*(1+Ordem!$E$13),0)</f>
        <v>0</v>
      </c>
      <c r="AF63" s="43" t="n">
        <f aca="false">MIN(AE63,Ordem!$F$13)</f>
        <v>0</v>
      </c>
      <c r="AG63" s="43" t="n">
        <f aca="false">MAX(0,MIN(AE63-AF63,$B63-(E63+I63+M63+Q63+U63+Y63+AC63)))</f>
        <v>0</v>
      </c>
      <c r="AH63" s="43" t="n">
        <f aca="false">MAX(0,AE63-AF63-AG63)</f>
        <v>0</v>
      </c>
      <c r="AI63" s="43" t="n">
        <f aca="false">IF(AL62&gt;0.005,AL62*(1+Ordem!$E$14),0)</f>
        <v>0</v>
      </c>
      <c r="AJ63" s="43" t="n">
        <f aca="false">MIN(AI63,Ordem!$F$14)</f>
        <v>0</v>
      </c>
      <c r="AK63" s="43" t="n">
        <f aca="false">MAX(0,MIN(AI63-AJ63,$B63-(E63+I63+M63+Q63+U63+Y63+AC63+AG63)))</f>
        <v>0</v>
      </c>
      <c r="AL63" s="43" t="n">
        <f aca="false">MAX(0,AI63-AJ63-AK63)</f>
        <v>0</v>
      </c>
      <c r="AM63" s="43" t="n">
        <f aca="false">IF(AP62&gt;0.005,AP62*(1+Ordem!$E$15),0)</f>
        <v>0</v>
      </c>
      <c r="AN63" s="43" t="n">
        <f aca="false">MIN(AM63,Ordem!$F$15)</f>
        <v>0</v>
      </c>
      <c r="AO63" s="43" t="n">
        <f aca="false">MAX(0,MIN(AM63-AN63,$B63-(E63+I63+M63+Q63+U63+Y63+AC63+AG63+AK63)))</f>
        <v>0</v>
      </c>
      <c r="AP63" s="43" t="n">
        <f aca="false">MAX(0,AM63-AN63-AO63)</f>
        <v>0</v>
      </c>
      <c r="AQ63" s="43" t="n">
        <f aca="false">F63+J63+N63+R63+V63+Z63+AD63+AH63+AL63+AP63</f>
        <v>0</v>
      </c>
      <c r="AR63" s="43" t="n">
        <f aca="false">D63+E63+H63+I63+L63+M63+P63+Q63+T63+U63+X63+Y63+AB63+AC63+AF63+AG63+AJ63+AK63+AN63+AO63</f>
        <v>0</v>
      </c>
    </row>
    <row r="64" customFormat="false" ht="15" hidden="false" customHeight="false" outlineLevel="0" collapsed="false">
      <c r="A64" s="0" t="n">
        <v>60</v>
      </c>
      <c r="B64" s="43" t="n">
        <f aca="false">MAX(0,Dívidas!$C$20-(D64+H64+L64+P64+T64+X64+AB64+AF64+AJ64+AN64))</f>
        <v>1450</v>
      </c>
      <c r="C64" s="43" t="n">
        <f aca="false">IF(F63&gt;0.005,F63*(1+Ordem!$E$6),0)</f>
        <v>0</v>
      </c>
      <c r="D64" s="43" t="n">
        <f aca="false">MIN(C64,Ordem!$F$6)</f>
        <v>0</v>
      </c>
      <c r="E64" s="43" t="n">
        <f aca="false">MAX(0,MIN(C64-D64,$B64-(0)))</f>
        <v>0</v>
      </c>
      <c r="F64" s="43" t="n">
        <f aca="false">MAX(0,C64-D64-E64)</f>
        <v>0</v>
      </c>
      <c r="G64" s="43" t="n">
        <f aca="false">IF(J63&gt;0.005,J63*(1+Ordem!$E$7),0)</f>
        <v>0</v>
      </c>
      <c r="H64" s="43" t="n">
        <f aca="false">MIN(G64,Ordem!$F$7)</f>
        <v>0</v>
      </c>
      <c r="I64" s="43" t="n">
        <f aca="false">MAX(0,MIN(G64-H64,$B64-(E64)))</f>
        <v>0</v>
      </c>
      <c r="J64" s="43" t="n">
        <f aca="false">MAX(0,G64-H64-I64)</f>
        <v>0</v>
      </c>
      <c r="K64" s="43" t="n">
        <f aca="false">IF(N63&gt;0.005,N63*(1+Ordem!$E$8),0)</f>
        <v>0</v>
      </c>
      <c r="L64" s="43" t="n">
        <f aca="false">MIN(K64,Ordem!$F$8)</f>
        <v>0</v>
      </c>
      <c r="M64" s="43" t="n">
        <f aca="false">MAX(0,MIN(K64-L64,$B64-(E64+I64)))</f>
        <v>0</v>
      </c>
      <c r="N64" s="43" t="n">
        <f aca="false">MAX(0,K64-L64-M64)</f>
        <v>0</v>
      </c>
      <c r="O64" s="43" t="n">
        <f aca="false">IF(R63&gt;0.005,R63*(1+Ordem!$E$9),0)</f>
        <v>0</v>
      </c>
      <c r="P64" s="43" t="n">
        <f aca="false">MIN(O64,Ordem!$F$9)</f>
        <v>0</v>
      </c>
      <c r="Q64" s="43" t="n">
        <f aca="false">MAX(0,MIN(O64-P64,$B64-(E64+I64+M64)))</f>
        <v>0</v>
      </c>
      <c r="R64" s="43" t="n">
        <f aca="false">MAX(0,O64-P64-Q64)</f>
        <v>0</v>
      </c>
      <c r="S64" s="43" t="n">
        <f aca="false">IF(V63&gt;0.005,V63*(1+Ordem!$E$10),0)</f>
        <v>0</v>
      </c>
      <c r="T64" s="43" t="n">
        <f aca="false">MIN(S64,Ordem!$F$10)</f>
        <v>0</v>
      </c>
      <c r="U64" s="43" t="n">
        <f aca="false">MAX(0,MIN(S64-T64,$B64-(E64+I64+M64+Q64)))</f>
        <v>0</v>
      </c>
      <c r="V64" s="43" t="n">
        <f aca="false">MAX(0,S64-T64-U64)</f>
        <v>0</v>
      </c>
      <c r="W64" s="43" t="n">
        <f aca="false">IF(Z63&gt;0.005,Z63*(1+Ordem!$E$11),0)</f>
        <v>0</v>
      </c>
      <c r="X64" s="43" t="n">
        <f aca="false">MIN(W64,Ordem!$F$11)</f>
        <v>0</v>
      </c>
      <c r="Y64" s="43" t="n">
        <f aca="false">MAX(0,MIN(W64-X64,$B64-(E64+I64+M64+Q64+U64)))</f>
        <v>0</v>
      </c>
      <c r="Z64" s="43" t="n">
        <f aca="false">MAX(0,W64-X64-Y64)</f>
        <v>0</v>
      </c>
      <c r="AA64" s="43" t="n">
        <f aca="false">IF(AD63&gt;0.005,AD63*(1+Ordem!$E$12),0)</f>
        <v>0</v>
      </c>
      <c r="AB64" s="43" t="n">
        <f aca="false">MIN(AA64,Ordem!$F$12)</f>
        <v>0</v>
      </c>
      <c r="AC64" s="43" t="n">
        <f aca="false">MAX(0,MIN(AA64-AB64,$B64-(E64+I64+M64+Q64+U64+Y64)))</f>
        <v>0</v>
      </c>
      <c r="AD64" s="43" t="n">
        <f aca="false">MAX(0,AA64-AB64-AC64)</f>
        <v>0</v>
      </c>
      <c r="AE64" s="43" t="n">
        <f aca="false">IF(AH63&gt;0.005,AH63*(1+Ordem!$E$13),0)</f>
        <v>0</v>
      </c>
      <c r="AF64" s="43" t="n">
        <f aca="false">MIN(AE64,Ordem!$F$13)</f>
        <v>0</v>
      </c>
      <c r="AG64" s="43" t="n">
        <f aca="false">MAX(0,MIN(AE64-AF64,$B64-(E64+I64+M64+Q64+U64+Y64+AC64)))</f>
        <v>0</v>
      </c>
      <c r="AH64" s="43" t="n">
        <f aca="false">MAX(0,AE64-AF64-AG64)</f>
        <v>0</v>
      </c>
      <c r="AI64" s="43" t="n">
        <f aca="false">IF(AL63&gt;0.005,AL63*(1+Ordem!$E$14),0)</f>
        <v>0</v>
      </c>
      <c r="AJ64" s="43" t="n">
        <f aca="false">MIN(AI64,Ordem!$F$14)</f>
        <v>0</v>
      </c>
      <c r="AK64" s="43" t="n">
        <f aca="false">MAX(0,MIN(AI64-AJ64,$B64-(E64+I64+M64+Q64+U64+Y64+AC64+AG64)))</f>
        <v>0</v>
      </c>
      <c r="AL64" s="43" t="n">
        <f aca="false">MAX(0,AI64-AJ64-AK64)</f>
        <v>0</v>
      </c>
      <c r="AM64" s="43" t="n">
        <f aca="false">IF(AP63&gt;0.005,AP63*(1+Ordem!$E$15),0)</f>
        <v>0</v>
      </c>
      <c r="AN64" s="43" t="n">
        <f aca="false">MIN(AM64,Ordem!$F$15)</f>
        <v>0</v>
      </c>
      <c r="AO64" s="43" t="n">
        <f aca="false">MAX(0,MIN(AM64-AN64,$B64-(E64+I64+M64+Q64+U64+Y64+AC64+AG64+AK64)))</f>
        <v>0</v>
      </c>
      <c r="AP64" s="43" t="n">
        <f aca="false">MAX(0,AM64-AN64-AO64)</f>
        <v>0</v>
      </c>
      <c r="AQ64" s="43" t="n">
        <f aca="false">F64+J64+N64+R64+V64+Z64+AD64+AH64+AL64+AP64</f>
        <v>0</v>
      </c>
      <c r="AR64" s="43" t="n">
        <f aca="false">D64+E64+H64+I64+L64+M64+P64+Q64+T64+U64+X64+Y64+AB64+AC64+AF64+AG64+AJ64+AK64+AN64+AO64</f>
        <v>0</v>
      </c>
    </row>
    <row r="65" customFormat="false" ht="15" hidden="false" customHeight="false" outlineLevel="0" collapsed="false">
      <c r="A65" s="0" t="n">
        <v>61</v>
      </c>
      <c r="B65" s="43" t="n">
        <f aca="false">MAX(0,Dívidas!$C$20-(D65+H65+L65+P65+T65+X65+AB65+AF65+AJ65+AN65))</f>
        <v>1450</v>
      </c>
      <c r="C65" s="43" t="n">
        <f aca="false">IF(F64&gt;0.005,F64*(1+Ordem!$E$6),0)</f>
        <v>0</v>
      </c>
      <c r="D65" s="43" t="n">
        <f aca="false">MIN(C65,Ordem!$F$6)</f>
        <v>0</v>
      </c>
      <c r="E65" s="43" t="n">
        <f aca="false">MAX(0,MIN(C65-D65,$B65-(0)))</f>
        <v>0</v>
      </c>
      <c r="F65" s="43" t="n">
        <f aca="false">MAX(0,C65-D65-E65)</f>
        <v>0</v>
      </c>
      <c r="G65" s="43" t="n">
        <f aca="false">IF(J64&gt;0.005,J64*(1+Ordem!$E$7),0)</f>
        <v>0</v>
      </c>
      <c r="H65" s="43" t="n">
        <f aca="false">MIN(G65,Ordem!$F$7)</f>
        <v>0</v>
      </c>
      <c r="I65" s="43" t="n">
        <f aca="false">MAX(0,MIN(G65-H65,$B65-(E65)))</f>
        <v>0</v>
      </c>
      <c r="J65" s="43" t="n">
        <f aca="false">MAX(0,G65-H65-I65)</f>
        <v>0</v>
      </c>
      <c r="K65" s="43" t="n">
        <f aca="false">IF(N64&gt;0.005,N64*(1+Ordem!$E$8),0)</f>
        <v>0</v>
      </c>
      <c r="L65" s="43" t="n">
        <f aca="false">MIN(K65,Ordem!$F$8)</f>
        <v>0</v>
      </c>
      <c r="M65" s="43" t="n">
        <f aca="false">MAX(0,MIN(K65-L65,$B65-(E65+I65)))</f>
        <v>0</v>
      </c>
      <c r="N65" s="43" t="n">
        <f aca="false">MAX(0,K65-L65-M65)</f>
        <v>0</v>
      </c>
      <c r="O65" s="43" t="n">
        <f aca="false">IF(R64&gt;0.005,R64*(1+Ordem!$E$9),0)</f>
        <v>0</v>
      </c>
      <c r="P65" s="43" t="n">
        <f aca="false">MIN(O65,Ordem!$F$9)</f>
        <v>0</v>
      </c>
      <c r="Q65" s="43" t="n">
        <f aca="false">MAX(0,MIN(O65-P65,$B65-(E65+I65+M65)))</f>
        <v>0</v>
      </c>
      <c r="R65" s="43" t="n">
        <f aca="false">MAX(0,O65-P65-Q65)</f>
        <v>0</v>
      </c>
      <c r="S65" s="43" t="n">
        <f aca="false">IF(V64&gt;0.005,V64*(1+Ordem!$E$10),0)</f>
        <v>0</v>
      </c>
      <c r="T65" s="43" t="n">
        <f aca="false">MIN(S65,Ordem!$F$10)</f>
        <v>0</v>
      </c>
      <c r="U65" s="43" t="n">
        <f aca="false">MAX(0,MIN(S65-T65,$B65-(E65+I65+M65+Q65)))</f>
        <v>0</v>
      </c>
      <c r="V65" s="43" t="n">
        <f aca="false">MAX(0,S65-T65-U65)</f>
        <v>0</v>
      </c>
      <c r="W65" s="43" t="n">
        <f aca="false">IF(Z64&gt;0.005,Z64*(1+Ordem!$E$11),0)</f>
        <v>0</v>
      </c>
      <c r="X65" s="43" t="n">
        <f aca="false">MIN(W65,Ordem!$F$11)</f>
        <v>0</v>
      </c>
      <c r="Y65" s="43" t="n">
        <f aca="false">MAX(0,MIN(W65-X65,$B65-(E65+I65+M65+Q65+U65)))</f>
        <v>0</v>
      </c>
      <c r="Z65" s="43" t="n">
        <f aca="false">MAX(0,W65-X65-Y65)</f>
        <v>0</v>
      </c>
      <c r="AA65" s="43" t="n">
        <f aca="false">IF(AD64&gt;0.005,AD64*(1+Ordem!$E$12),0)</f>
        <v>0</v>
      </c>
      <c r="AB65" s="43" t="n">
        <f aca="false">MIN(AA65,Ordem!$F$12)</f>
        <v>0</v>
      </c>
      <c r="AC65" s="43" t="n">
        <f aca="false">MAX(0,MIN(AA65-AB65,$B65-(E65+I65+M65+Q65+U65+Y65)))</f>
        <v>0</v>
      </c>
      <c r="AD65" s="43" t="n">
        <f aca="false">MAX(0,AA65-AB65-AC65)</f>
        <v>0</v>
      </c>
      <c r="AE65" s="43" t="n">
        <f aca="false">IF(AH64&gt;0.005,AH64*(1+Ordem!$E$13),0)</f>
        <v>0</v>
      </c>
      <c r="AF65" s="43" t="n">
        <f aca="false">MIN(AE65,Ordem!$F$13)</f>
        <v>0</v>
      </c>
      <c r="AG65" s="43" t="n">
        <f aca="false">MAX(0,MIN(AE65-AF65,$B65-(E65+I65+M65+Q65+U65+Y65+AC65)))</f>
        <v>0</v>
      </c>
      <c r="AH65" s="43" t="n">
        <f aca="false">MAX(0,AE65-AF65-AG65)</f>
        <v>0</v>
      </c>
      <c r="AI65" s="43" t="n">
        <f aca="false">IF(AL64&gt;0.005,AL64*(1+Ordem!$E$14),0)</f>
        <v>0</v>
      </c>
      <c r="AJ65" s="43" t="n">
        <f aca="false">MIN(AI65,Ordem!$F$14)</f>
        <v>0</v>
      </c>
      <c r="AK65" s="43" t="n">
        <f aca="false">MAX(0,MIN(AI65-AJ65,$B65-(E65+I65+M65+Q65+U65+Y65+AC65+AG65)))</f>
        <v>0</v>
      </c>
      <c r="AL65" s="43" t="n">
        <f aca="false">MAX(0,AI65-AJ65-AK65)</f>
        <v>0</v>
      </c>
      <c r="AM65" s="43" t="n">
        <f aca="false">IF(AP64&gt;0.005,AP64*(1+Ordem!$E$15),0)</f>
        <v>0</v>
      </c>
      <c r="AN65" s="43" t="n">
        <f aca="false">MIN(AM65,Ordem!$F$15)</f>
        <v>0</v>
      </c>
      <c r="AO65" s="43" t="n">
        <f aca="false">MAX(0,MIN(AM65-AN65,$B65-(E65+I65+M65+Q65+U65+Y65+AC65+AG65+AK65)))</f>
        <v>0</v>
      </c>
      <c r="AP65" s="43" t="n">
        <f aca="false">MAX(0,AM65-AN65-AO65)</f>
        <v>0</v>
      </c>
      <c r="AQ65" s="43" t="n">
        <f aca="false">F65+J65+N65+R65+V65+Z65+AD65+AH65+AL65+AP65</f>
        <v>0</v>
      </c>
      <c r="AR65" s="43" t="n">
        <f aca="false">D65+E65+H65+I65+L65+M65+P65+Q65+T65+U65+X65+Y65+AB65+AC65+AF65+AG65+AJ65+AK65+AN65+AO65</f>
        <v>0</v>
      </c>
    </row>
    <row r="66" customFormat="false" ht="15" hidden="false" customHeight="false" outlineLevel="0" collapsed="false">
      <c r="A66" s="0" t="n">
        <v>62</v>
      </c>
      <c r="B66" s="43" t="n">
        <f aca="false">MAX(0,Dívidas!$C$20-(D66+H66+L66+P66+T66+X66+AB66+AF66+AJ66+AN66))</f>
        <v>1450</v>
      </c>
      <c r="C66" s="43" t="n">
        <f aca="false">IF(F65&gt;0.005,F65*(1+Ordem!$E$6),0)</f>
        <v>0</v>
      </c>
      <c r="D66" s="43" t="n">
        <f aca="false">MIN(C66,Ordem!$F$6)</f>
        <v>0</v>
      </c>
      <c r="E66" s="43" t="n">
        <f aca="false">MAX(0,MIN(C66-D66,$B66-(0)))</f>
        <v>0</v>
      </c>
      <c r="F66" s="43" t="n">
        <f aca="false">MAX(0,C66-D66-E66)</f>
        <v>0</v>
      </c>
      <c r="G66" s="43" t="n">
        <f aca="false">IF(J65&gt;0.005,J65*(1+Ordem!$E$7),0)</f>
        <v>0</v>
      </c>
      <c r="H66" s="43" t="n">
        <f aca="false">MIN(G66,Ordem!$F$7)</f>
        <v>0</v>
      </c>
      <c r="I66" s="43" t="n">
        <f aca="false">MAX(0,MIN(G66-H66,$B66-(E66)))</f>
        <v>0</v>
      </c>
      <c r="J66" s="43" t="n">
        <f aca="false">MAX(0,G66-H66-I66)</f>
        <v>0</v>
      </c>
      <c r="K66" s="43" t="n">
        <f aca="false">IF(N65&gt;0.005,N65*(1+Ordem!$E$8),0)</f>
        <v>0</v>
      </c>
      <c r="L66" s="43" t="n">
        <f aca="false">MIN(K66,Ordem!$F$8)</f>
        <v>0</v>
      </c>
      <c r="M66" s="43" t="n">
        <f aca="false">MAX(0,MIN(K66-L66,$B66-(E66+I66)))</f>
        <v>0</v>
      </c>
      <c r="N66" s="43" t="n">
        <f aca="false">MAX(0,K66-L66-M66)</f>
        <v>0</v>
      </c>
      <c r="O66" s="43" t="n">
        <f aca="false">IF(R65&gt;0.005,R65*(1+Ordem!$E$9),0)</f>
        <v>0</v>
      </c>
      <c r="P66" s="43" t="n">
        <f aca="false">MIN(O66,Ordem!$F$9)</f>
        <v>0</v>
      </c>
      <c r="Q66" s="43" t="n">
        <f aca="false">MAX(0,MIN(O66-P66,$B66-(E66+I66+M66)))</f>
        <v>0</v>
      </c>
      <c r="R66" s="43" t="n">
        <f aca="false">MAX(0,O66-P66-Q66)</f>
        <v>0</v>
      </c>
      <c r="S66" s="43" t="n">
        <f aca="false">IF(V65&gt;0.005,V65*(1+Ordem!$E$10),0)</f>
        <v>0</v>
      </c>
      <c r="T66" s="43" t="n">
        <f aca="false">MIN(S66,Ordem!$F$10)</f>
        <v>0</v>
      </c>
      <c r="U66" s="43" t="n">
        <f aca="false">MAX(0,MIN(S66-T66,$B66-(E66+I66+M66+Q66)))</f>
        <v>0</v>
      </c>
      <c r="V66" s="43" t="n">
        <f aca="false">MAX(0,S66-T66-U66)</f>
        <v>0</v>
      </c>
      <c r="W66" s="43" t="n">
        <f aca="false">IF(Z65&gt;0.005,Z65*(1+Ordem!$E$11),0)</f>
        <v>0</v>
      </c>
      <c r="X66" s="43" t="n">
        <f aca="false">MIN(W66,Ordem!$F$11)</f>
        <v>0</v>
      </c>
      <c r="Y66" s="43" t="n">
        <f aca="false">MAX(0,MIN(W66-X66,$B66-(E66+I66+M66+Q66+U66)))</f>
        <v>0</v>
      </c>
      <c r="Z66" s="43" t="n">
        <f aca="false">MAX(0,W66-X66-Y66)</f>
        <v>0</v>
      </c>
      <c r="AA66" s="43" t="n">
        <f aca="false">IF(AD65&gt;0.005,AD65*(1+Ordem!$E$12),0)</f>
        <v>0</v>
      </c>
      <c r="AB66" s="43" t="n">
        <f aca="false">MIN(AA66,Ordem!$F$12)</f>
        <v>0</v>
      </c>
      <c r="AC66" s="43" t="n">
        <f aca="false">MAX(0,MIN(AA66-AB66,$B66-(E66+I66+M66+Q66+U66+Y66)))</f>
        <v>0</v>
      </c>
      <c r="AD66" s="43" t="n">
        <f aca="false">MAX(0,AA66-AB66-AC66)</f>
        <v>0</v>
      </c>
      <c r="AE66" s="43" t="n">
        <f aca="false">IF(AH65&gt;0.005,AH65*(1+Ordem!$E$13),0)</f>
        <v>0</v>
      </c>
      <c r="AF66" s="43" t="n">
        <f aca="false">MIN(AE66,Ordem!$F$13)</f>
        <v>0</v>
      </c>
      <c r="AG66" s="43" t="n">
        <f aca="false">MAX(0,MIN(AE66-AF66,$B66-(E66+I66+M66+Q66+U66+Y66+AC66)))</f>
        <v>0</v>
      </c>
      <c r="AH66" s="43" t="n">
        <f aca="false">MAX(0,AE66-AF66-AG66)</f>
        <v>0</v>
      </c>
      <c r="AI66" s="43" t="n">
        <f aca="false">IF(AL65&gt;0.005,AL65*(1+Ordem!$E$14),0)</f>
        <v>0</v>
      </c>
      <c r="AJ66" s="43" t="n">
        <f aca="false">MIN(AI66,Ordem!$F$14)</f>
        <v>0</v>
      </c>
      <c r="AK66" s="43" t="n">
        <f aca="false">MAX(0,MIN(AI66-AJ66,$B66-(E66+I66+M66+Q66+U66+Y66+AC66+AG66)))</f>
        <v>0</v>
      </c>
      <c r="AL66" s="43" t="n">
        <f aca="false">MAX(0,AI66-AJ66-AK66)</f>
        <v>0</v>
      </c>
      <c r="AM66" s="43" t="n">
        <f aca="false">IF(AP65&gt;0.005,AP65*(1+Ordem!$E$15),0)</f>
        <v>0</v>
      </c>
      <c r="AN66" s="43" t="n">
        <f aca="false">MIN(AM66,Ordem!$F$15)</f>
        <v>0</v>
      </c>
      <c r="AO66" s="43" t="n">
        <f aca="false">MAX(0,MIN(AM66-AN66,$B66-(E66+I66+M66+Q66+U66+Y66+AC66+AG66+AK66)))</f>
        <v>0</v>
      </c>
      <c r="AP66" s="43" t="n">
        <f aca="false">MAX(0,AM66-AN66-AO66)</f>
        <v>0</v>
      </c>
      <c r="AQ66" s="43" t="n">
        <f aca="false">F66+J66+N66+R66+V66+Z66+AD66+AH66+AL66+AP66</f>
        <v>0</v>
      </c>
      <c r="AR66" s="43" t="n">
        <f aca="false">D66+E66+H66+I66+L66+M66+P66+Q66+T66+U66+X66+Y66+AB66+AC66+AF66+AG66+AJ66+AK66+AN66+AO66</f>
        <v>0</v>
      </c>
    </row>
    <row r="67" customFormat="false" ht="15" hidden="false" customHeight="false" outlineLevel="0" collapsed="false">
      <c r="A67" s="0" t="n">
        <v>63</v>
      </c>
      <c r="B67" s="43" t="n">
        <f aca="false">MAX(0,Dívidas!$C$20-(D67+H67+L67+P67+T67+X67+AB67+AF67+AJ67+AN67))</f>
        <v>1450</v>
      </c>
      <c r="C67" s="43" t="n">
        <f aca="false">IF(F66&gt;0.005,F66*(1+Ordem!$E$6),0)</f>
        <v>0</v>
      </c>
      <c r="D67" s="43" t="n">
        <f aca="false">MIN(C67,Ordem!$F$6)</f>
        <v>0</v>
      </c>
      <c r="E67" s="43" t="n">
        <f aca="false">MAX(0,MIN(C67-D67,$B67-(0)))</f>
        <v>0</v>
      </c>
      <c r="F67" s="43" t="n">
        <f aca="false">MAX(0,C67-D67-E67)</f>
        <v>0</v>
      </c>
      <c r="G67" s="43" t="n">
        <f aca="false">IF(J66&gt;0.005,J66*(1+Ordem!$E$7),0)</f>
        <v>0</v>
      </c>
      <c r="H67" s="43" t="n">
        <f aca="false">MIN(G67,Ordem!$F$7)</f>
        <v>0</v>
      </c>
      <c r="I67" s="43" t="n">
        <f aca="false">MAX(0,MIN(G67-H67,$B67-(E67)))</f>
        <v>0</v>
      </c>
      <c r="J67" s="43" t="n">
        <f aca="false">MAX(0,G67-H67-I67)</f>
        <v>0</v>
      </c>
      <c r="K67" s="43" t="n">
        <f aca="false">IF(N66&gt;0.005,N66*(1+Ordem!$E$8),0)</f>
        <v>0</v>
      </c>
      <c r="L67" s="43" t="n">
        <f aca="false">MIN(K67,Ordem!$F$8)</f>
        <v>0</v>
      </c>
      <c r="M67" s="43" t="n">
        <f aca="false">MAX(0,MIN(K67-L67,$B67-(E67+I67)))</f>
        <v>0</v>
      </c>
      <c r="N67" s="43" t="n">
        <f aca="false">MAX(0,K67-L67-M67)</f>
        <v>0</v>
      </c>
      <c r="O67" s="43" t="n">
        <f aca="false">IF(R66&gt;0.005,R66*(1+Ordem!$E$9),0)</f>
        <v>0</v>
      </c>
      <c r="P67" s="43" t="n">
        <f aca="false">MIN(O67,Ordem!$F$9)</f>
        <v>0</v>
      </c>
      <c r="Q67" s="43" t="n">
        <f aca="false">MAX(0,MIN(O67-P67,$B67-(E67+I67+M67)))</f>
        <v>0</v>
      </c>
      <c r="R67" s="43" t="n">
        <f aca="false">MAX(0,O67-P67-Q67)</f>
        <v>0</v>
      </c>
      <c r="S67" s="43" t="n">
        <f aca="false">IF(V66&gt;0.005,V66*(1+Ordem!$E$10),0)</f>
        <v>0</v>
      </c>
      <c r="T67" s="43" t="n">
        <f aca="false">MIN(S67,Ordem!$F$10)</f>
        <v>0</v>
      </c>
      <c r="U67" s="43" t="n">
        <f aca="false">MAX(0,MIN(S67-T67,$B67-(E67+I67+M67+Q67)))</f>
        <v>0</v>
      </c>
      <c r="V67" s="43" t="n">
        <f aca="false">MAX(0,S67-T67-U67)</f>
        <v>0</v>
      </c>
      <c r="W67" s="43" t="n">
        <f aca="false">IF(Z66&gt;0.005,Z66*(1+Ordem!$E$11),0)</f>
        <v>0</v>
      </c>
      <c r="X67" s="43" t="n">
        <f aca="false">MIN(W67,Ordem!$F$11)</f>
        <v>0</v>
      </c>
      <c r="Y67" s="43" t="n">
        <f aca="false">MAX(0,MIN(W67-X67,$B67-(E67+I67+M67+Q67+U67)))</f>
        <v>0</v>
      </c>
      <c r="Z67" s="43" t="n">
        <f aca="false">MAX(0,W67-X67-Y67)</f>
        <v>0</v>
      </c>
      <c r="AA67" s="43" t="n">
        <f aca="false">IF(AD66&gt;0.005,AD66*(1+Ordem!$E$12),0)</f>
        <v>0</v>
      </c>
      <c r="AB67" s="43" t="n">
        <f aca="false">MIN(AA67,Ordem!$F$12)</f>
        <v>0</v>
      </c>
      <c r="AC67" s="43" t="n">
        <f aca="false">MAX(0,MIN(AA67-AB67,$B67-(E67+I67+M67+Q67+U67+Y67)))</f>
        <v>0</v>
      </c>
      <c r="AD67" s="43" t="n">
        <f aca="false">MAX(0,AA67-AB67-AC67)</f>
        <v>0</v>
      </c>
      <c r="AE67" s="43" t="n">
        <f aca="false">IF(AH66&gt;0.005,AH66*(1+Ordem!$E$13),0)</f>
        <v>0</v>
      </c>
      <c r="AF67" s="43" t="n">
        <f aca="false">MIN(AE67,Ordem!$F$13)</f>
        <v>0</v>
      </c>
      <c r="AG67" s="43" t="n">
        <f aca="false">MAX(0,MIN(AE67-AF67,$B67-(E67+I67+M67+Q67+U67+Y67+AC67)))</f>
        <v>0</v>
      </c>
      <c r="AH67" s="43" t="n">
        <f aca="false">MAX(0,AE67-AF67-AG67)</f>
        <v>0</v>
      </c>
      <c r="AI67" s="43" t="n">
        <f aca="false">IF(AL66&gt;0.005,AL66*(1+Ordem!$E$14),0)</f>
        <v>0</v>
      </c>
      <c r="AJ67" s="43" t="n">
        <f aca="false">MIN(AI67,Ordem!$F$14)</f>
        <v>0</v>
      </c>
      <c r="AK67" s="43" t="n">
        <f aca="false">MAX(0,MIN(AI67-AJ67,$B67-(E67+I67+M67+Q67+U67+Y67+AC67+AG67)))</f>
        <v>0</v>
      </c>
      <c r="AL67" s="43" t="n">
        <f aca="false">MAX(0,AI67-AJ67-AK67)</f>
        <v>0</v>
      </c>
      <c r="AM67" s="43" t="n">
        <f aca="false">IF(AP66&gt;0.005,AP66*(1+Ordem!$E$15),0)</f>
        <v>0</v>
      </c>
      <c r="AN67" s="43" t="n">
        <f aca="false">MIN(AM67,Ordem!$F$15)</f>
        <v>0</v>
      </c>
      <c r="AO67" s="43" t="n">
        <f aca="false">MAX(0,MIN(AM67-AN67,$B67-(E67+I67+M67+Q67+U67+Y67+AC67+AG67+AK67)))</f>
        <v>0</v>
      </c>
      <c r="AP67" s="43" t="n">
        <f aca="false">MAX(0,AM67-AN67-AO67)</f>
        <v>0</v>
      </c>
      <c r="AQ67" s="43" t="n">
        <f aca="false">F67+J67+N67+R67+V67+Z67+AD67+AH67+AL67+AP67</f>
        <v>0</v>
      </c>
      <c r="AR67" s="43" t="n">
        <f aca="false">D67+E67+H67+I67+L67+M67+P67+Q67+T67+U67+X67+Y67+AB67+AC67+AF67+AG67+AJ67+AK67+AN67+AO67</f>
        <v>0</v>
      </c>
    </row>
    <row r="68" customFormat="false" ht="15" hidden="false" customHeight="false" outlineLevel="0" collapsed="false">
      <c r="A68" s="0" t="n">
        <v>64</v>
      </c>
      <c r="B68" s="43" t="n">
        <f aca="false">MAX(0,Dívidas!$C$20-(D68+H68+L68+P68+T68+X68+AB68+AF68+AJ68+AN68))</f>
        <v>1450</v>
      </c>
      <c r="C68" s="43" t="n">
        <f aca="false">IF(F67&gt;0.005,F67*(1+Ordem!$E$6),0)</f>
        <v>0</v>
      </c>
      <c r="D68" s="43" t="n">
        <f aca="false">MIN(C68,Ordem!$F$6)</f>
        <v>0</v>
      </c>
      <c r="E68" s="43" t="n">
        <f aca="false">MAX(0,MIN(C68-D68,$B68-(0)))</f>
        <v>0</v>
      </c>
      <c r="F68" s="43" t="n">
        <f aca="false">MAX(0,C68-D68-E68)</f>
        <v>0</v>
      </c>
      <c r="G68" s="43" t="n">
        <f aca="false">IF(J67&gt;0.005,J67*(1+Ordem!$E$7),0)</f>
        <v>0</v>
      </c>
      <c r="H68" s="43" t="n">
        <f aca="false">MIN(G68,Ordem!$F$7)</f>
        <v>0</v>
      </c>
      <c r="I68" s="43" t="n">
        <f aca="false">MAX(0,MIN(G68-H68,$B68-(E68)))</f>
        <v>0</v>
      </c>
      <c r="J68" s="43" t="n">
        <f aca="false">MAX(0,G68-H68-I68)</f>
        <v>0</v>
      </c>
      <c r="K68" s="43" t="n">
        <f aca="false">IF(N67&gt;0.005,N67*(1+Ordem!$E$8),0)</f>
        <v>0</v>
      </c>
      <c r="L68" s="43" t="n">
        <f aca="false">MIN(K68,Ordem!$F$8)</f>
        <v>0</v>
      </c>
      <c r="M68" s="43" t="n">
        <f aca="false">MAX(0,MIN(K68-L68,$B68-(E68+I68)))</f>
        <v>0</v>
      </c>
      <c r="N68" s="43" t="n">
        <f aca="false">MAX(0,K68-L68-M68)</f>
        <v>0</v>
      </c>
      <c r="O68" s="43" t="n">
        <f aca="false">IF(R67&gt;0.005,R67*(1+Ordem!$E$9),0)</f>
        <v>0</v>
      </c>
      <c r="P68" s="43" t="n">
        <f aca="false">MIN(O68,Ordem!$F$9)</f>
        <v>0</v>
      </c>
      <c r="Q68" s="43" t="n">
        <f aca="false">MAX(0,MIN(O68-P68,$B68-(E68+I68+M68)))</f>
        <v>0</v>
      </c>
      <c r="R68" s="43" t="n">
        <f aca="false">MAX(0,O68-P68-Q68)</f>
        <v>0</v>
      </c>
      <c r="S68" s="43" t="n">
        <f aca="false">IF(V67&gt;0.005,V67*(1+Ordem!$E$10),0)</f>
        <v>0</v>
      </c>
      <c r="T68" s="43" t="n">
        <f aca="false">MIN(S68,Ordem!$F$10)</f>
        <v>0</v>
      </c>
      <c r="U68" s="43" t="n">
        <f aca="false">MAX(0,MIN(S68-T68,$B68-(E68+I68+M68+Q68)))</f>
        <v>0</v>
      </c>
      <c r="V68" s="43" t="n">
        <f aca="false">MAX(0,S68-T68-U68)</f>
        <v>0</v>
      </c>
      <c r="W68" s="43" t="n">
        <f aca="false">IF(Z67&gt;0.005,Z67*(1+Ordem!$E$11),0)</f>
        <v>0</v>
      </c>
      <c r="X68" s="43" t="n">
        <f aca="false">MIN(W68,Ordem!$F$11)</f>
        <v>0</v>
      </c>
      <c r="Y68" s="43" t="n">
        <f aca="false">MAX(0,MIN(W68-X68,$B68-(E68+I68+M68+Q68+U68)))</f>
        <v>0</v>
      </c>
      <c r="Z68" s="43" t="n">
        <f aca="false">MAX(0,W68-X68-Y68)</f>
        <v>0</v>
      </c>
      <c r="AA68" s="43" t="n">
        <f aca="false">IF(AD67&gt;0.005,AD67*(1+Ordem!$E$12),0)</f>
        <v>0</v>
      </c>
      <c r="AB68" s="43" t="n">
        <f aca="false">MIN(AA68,Ordem!$F$12)</f>
        <v>0</v>
      </c>
      <c r="AC68" s="43" t="n">
        <f aca="false">MAX(0,MIN(AA68-AB68,$B68-(E68+I68+M68+Q68+U68+Y68)))</f>
        <v>0</v>
      </c>
      <c r="AD68" s="43" t="n">
        <f aca="false">MAX(0,AA68-AB68-AC68)</f>
        <v>0</v>
      </c>
      <c r="AE68" s="43" t="n">
        <f aca="false">IF(AH67&gt;0.005,AH67*(1+Ordem!$E$13),0)</f>
        <v>0</v>
      </c>
      <c r="AF68" s="43" t="n">
        <f aca="false">MIN(AE68,Ordem!$F$13)</f>
        <v>0</v>
      </c>
      <c r="AG68" s="43" t="n">
        <f aca="false">MAX(0,MIN(AE68-AF68,$B68-(E68+I68+M68+Q68+U68+Y68+AC68)))</f>
        <v>0</v>
      </c>
      <c r="AH68" s="43" t="n">
        <f aca="false">MAX(0,AE68-AF68-AG68)</f>
        <v>0</v>
      </c>
      <c r="AI68" s="43" t="n">
        <f aca="false">IF(AL67&gt;0.005,AL67*(1+Ordem!$E$14),0)</f>
        <v>0</v>
      </c>
      <c r="AJ68" s="43" t="n">
        <f aca="false">MIN(AI68,Ordem!$F$14)</f>
        <v>0</v>
      </c>
      <c r="AK68" s="43" t="n">
        <f aca="false">MAX(0,MIN(AI68-AJ68,$B68-(E68+I68+M68+Q68+U68+Y68+AC68+AG68)))</f>
        <v>0</v>
      </c>
      <c r="AL68" s="43" t="n">
        <f aca="false">MAX(0,AI68-AJ68-AK68)</f>
        <v>0</v>
      </c>
      <c r="AM68" s="43" t="n">
        <f aca="false">IF(AP67&gt;0.005,AP67*(1+Ordem!$E$15),0)</f>
        <v>0</v>
      </c>
      <c r="AN68" s="43" t="n">
        <f aca="false">MIN(AM68,Ordem!$F$15)</f>
        <v>0</v>
      </c>
      <c r="AO68" s="43" t="n">
        <f aca="false">MAX(0,MIN(AM68-AN68,$B68-(E68+I68+M68+Q68+U68+Y68+AC68+AG68+AK68)))</f>
        <v>0</v>
      </c>
      <c r="AP68" s="43" t="n">
        <f aca="false">MAX(0,AM68-AN68-AO68)</f>
        <v>0</v>
      </c>
      <c r="AQ68" s="43" t="n">
        <f aca="false">F68+J68+N68+R68+V68+Z68+AD68+AH68+AL68+AP68</f>
        <v>0</v>
      </c>
      <c r="AR68" s="43" t="n">
        <f aca="false">D68+E68+H68+I68+L68+M68+P68+Q68+T68+U68+X68+Y68+AB68+AC68+AF68+AG68+AJ68+AK68+AN68+AO68</f>
        <v>0</v>
      </c>
    </row>
    <row r="69" customFormat="false" ht="15" hidden="false" customHeight="false" outlineLevel="0" collapsed="false">
      <c r="A69" s="0" t="n">
        <v>65</v>
      </c>
      <c r="B69" s="43" t="n">
        <f aca="false">MAX(0,Dívidas!$C$20-(D69+H69+L69+P69+T69+X69+AB69+AF69+AJ69+AN69))</f>
        <v>1450</v>
      </c>
      <c r="C69" s="43" t="n">
        <f aca="false">IF(F68&gt;0.005,F68*(1+Ordem!$E$6),0)</f>
        <v>0</v>
      </c>
      <c r="D69" s="43" t="n">
        <f aca="false">MIN(C69,Ordem!$F$6)</f>
        <v>0</v>
      </c>
      <c r="E69" s="43" t="n">
        <f aca="false">MAX(0,MIN(C69-D69,$B69-(0)))</f>
        <v>0</v>
      </c>
      <c r="F69" s="43" t="n">
        <f aca="false">MAX(0,C69-D69-E69)</f>
        <v>0</v>
      </c>
      <c r="G69" s="43" t="n">
        <f aca="false">IF(J68&gt;0.005,J68*(1+Ordem!$E$7),0)</f>
        <v>0</v>
      </c>
      <c r="H69" s="43" t="n">
        <f aca="false">MIN(G69,Ordem!$F$7)</f>
        <v>0</v>
      </c>
      <c r="I69" s="43" t="n">
        <f aca="false">MAX(0,MIN(G69-H69,$B69-(E69)))</f>
        <v>0</v>
      </c>
      <c r="J69" s="43" t="n">
        <f aca="false">MAX(0,G69-H69-I69)</f>
        <v>0</v>
      </c>
      <c r="K69" s="43" t="n">
        <f aca="false">IF(N68&gt;0.005,N68*(1+Ordem!$E$8),0)</f>
        <v>0</v>
      </c>
      <c r="L69" s="43" t="n">
        <f aca="false">MIN(K69,Ordem!$F$8)</f>
        <v>0</v>
      </c>
      <c r="M69" s="43" t="n">
        <f aca="false">MAX(0,MIN(K69-L69,$B69-(E69+I69)))</f>
        <v>0</v>
      </c>
      <c r="N69" s="43" t="n">
        <f aca="false">MAX(0,K69-L69-M69)</f>
        <v>0</v>
      </c>
      <c r="O69" s="43" t="n">
        <f aca="false">IF(R68&gt;0.005,R68*(1+Ordem!$E$9),0)</f>
        <v>0</v>
      </c>
      <c r="P69" s="43" t="n">
        <f aca="false">MIN(O69,Ordem!$F$9)</f>
        <v>0</v>
      </c>
      <c r="Q69" s="43" t="n">
        <f aca="false">MAX(0,MIN(O69-P69,$B69-(E69+I69+M69)))</f>
        <v>0</v>
      </c>
      <c r="R69" s="43" t="n">
        <f aca="false">MAX(0,O69-P69-Q69)</f>
        <v>0</v>
      </c>
      <c r="S69" s="43" t="n">
        <f aca="false">IF(V68&gt;0.005,V68*(1+Ordem!$E$10),0)</f>
        <v>0</v>
      </c>
      <c r="T69" s="43" t="n">
        <f aca="false">MIN(S69,Ordem!$F$10)</f>
        <v>0</v>
      </c>
      <c r="U69" s="43" t="n">
        <f aca="false">MAX(0,MIN(S69-T69,$B69-(E69+I69+M69+Q69)))</f>
        <v>0</v>
      </c>
      <c r="V69" s="43" t="n">
        <f aca="false">MAX(0,S69-T69-U69)</f>
        <v>0</v>
      </c>
      <c r="W69" s="43" t="n">
        <f aca="false">IF(Z68&gt;0.005,Z68*(1+Ordem!$E$11),0)</f>
        <v>0</v>
      </c>
      <c r="X69" s="43" t="n">
        <f aca="false">MIN(W69,Ordem!$F$11)</f>
        <v>0</v>
      </c>
      <c r="Y69" s="43" t="n">
        <f aca="false">MAX(0,MIN(W69-X69,$B69-(E69+I69+M69+Q69+U69)))</f>
        <v>0</v>
      </c>
      <c r="Z69" s="43" t="n">
        <f aca="false">MAX(0,W69-X69-Y69)</f>
        <v>0</v>
      </c>
      <c r="AA69" s="43" t="n">
        <f aca="false">IF(AD68&gt;0.005,AD68*(1+Ordem!$E$12),0)</f>
        <v>0</v>
      </c>
      <c r="AB69" s="43" t="n">
        <f aca="false">MIN(AA69,Ordem!$F$12)</f>
        <v>0</v>
      </c>
      <c r="AC69" s="43" t="n">
        <f aca="false">MAX(0,MIN(AA69-AB69,$B69-(E69+I69+M69+Q69+U69+Y69)))</f>
        <v>0</v>
      </c>
      <c r="AD69" s="43" t="n">
        <f aca="false">MAX(0,AA69-AB69-AC69)</f>
        <v>0</v>
      </c>
      <c r="AE69" s="43" t="n">
        <f aca="false">IF(AH68&gt;0.005,AH68*(1+Ordem!$E$13),0)</f>
        <v>0</v>
      </c>
      <c r="AF69" s="43" t="n">
        <f aca="false">MIN(AE69,Ordem!$F$13)</f>
        <v>0</v>
      </c>
      <c r="AG69" s="43" t="n">
        <f aca="false">MAX(0,MIN(AE69-AF69,$B69-(E69+I69+M69+Q69+U69+Y69+AC69)))</f>
        <v>0</v>
      </c>
      <c r="AH69" s="43" t="n">
        <f aca="false">MAX(0,AE69-AF69-AG69)</f>
        <v>0</v>
      </c>
      <c r="AI69" s="43" t="n">
        <f aca="false">IF(AL68&gt;0.005,AL68*(1+Ordem!$E$14),0)</f>
        <v>0</v>
      </c>
      <c r="AJ69" s="43" t="n">
        <f aca="false">MIN(AI69,Ordem!$F$14)</f>
        <v>0</v>
      </c>
      <c r="AK69" s="43" t="n">
        <f aca="false">MAX(0,MIN(AI69-AJ69,$B69-(E69+I69+M69+Q69+U69+Y69+AC69+AG69)))</f>
        <v>0</v>
      </c>
      <c r="AL69" s="43" t="n">
        <f aca="false">MAX(0,AI69-AJ69-AK69)</f>
        <v>0</v>
      </c>
      <c r="AM69" s="43" t="n">
        <f aca="false">IF(AP68&gt;0.005,AP68*(1+Ordem!$E$15),0)</f>
        <v>0</v>
      </c>
      <c r="AN69" s="43" t="n">
        <f aca="false">MIN(AM69,Ordem!$F$15)</f>
        <v>0</v>
      </c>
      <c r="AO69" s="43" t="n">
        <f aca="false">MAX(0,MIN(AM69-AN69,$B69-(E69+I69+M69+Q69+U69+Y69+AC69+AG69+AK69)))</f>
        <v>0</v>
      </c>
      <c r="AP69" s="43" t="n">
        <f aca="false">MAX(0,AM69-AN69-AO69)</f>
        <v>0</v>
      </c>
      <c r="AQ69" s="43" t="n">
        <f aca="false">F69+J69+N69+R69+V69+Z69+AD69+AH69+AL69+AP69</f>
        <v>0</v>
      </c>
      <c r="AR69" s="43" t="n">
        <f aca="false">D69+E69+H69+I69+L69+M69+P69+Q69+T69+U69+X69+Y69+AB69+AC69+AF69+AG69+AJ69+AK69+AN69+AO69</f>
        <v>0</v>
      </c>
    </row>
    <row r="70" customFormat="false" ht="15" hidden="false" customHeight="false" outlineLevel="0" collapsed="false">
      <c r="A70" s="0" t="n">
        <v>66</v>
      </c>
      <c r="B70" s="43" t="n">
        <f aca="false">MAX(0,Dívidas!$C$20-(D70+H70+L70+P70+T70+X70+AB70+AF70+AJ70+AN70))</f>
        <v>1450</v>
      </c>
      <c r="C70" s="43" t="n">
        <f aca="false">IF(F69&gt;0.005,F69*(1+Ordem!$E$6),0)</f>
        <v>0</v>
      </c>
      <c r="D70" s="43" t="n">
        <f aca="false">MIN(C70,Ordem!$F$6)</f>
        <v>0</v>
      </c>
      <c r="E70" s="43" t="n">
        <f aca="false">MAX(0,MIN(C70-D70,$B70-(0)))</f>
        <v>0</v>
      </c>
      <c r="F70" s="43" t="n">
        <f aca="false">MAX(0,C70-D70-E70)</f>
        <v>0</v>
      </c>
      <c r="G70" s="43" t="n">
        <f aca="false">IF(J69&gt;0.005,J69*(1+Ordem!$E$7),0)</f>
        <v>0</v>
      </c>
      <c r="H70" s="43" t="n">
        <f aca="false">MIN(G70,Ordem!$F$7)</f>
        <v>0</v>
      </c>
      <c r="I70" s="43" t="n">
        <f aca="false">MAX(0,MIN(G70-H70,$B70-(E70)))</f>
        <v>0</v>
      </c>
      <c r="J70" s="43" t="n">
        <f aca="false">MAX(0,G70-H70-I70)</f>
        <v>0</v>
      </c>
      <c r="K70" s="43" t="n">
        <f aca="false">IF(N69&gt;0.005,N69*(1+Ordem!$E$8),0)</f>
        <v>0</v>
      </c>
      <c r="L70" s="43" t="n">
        <f aca="false">MIN(K70,Ordem!$F$8)</f>
        <v>0</v>
      </c>
      <c r="M70" s="43" t="n">
        <f aca="false">MAX(0,MIN(K70-L70,$B70-(E70+I70)))</f>
        <v>0</v>
      </c>
      <c r="N70" s="43" t="n">
        <f aca="false">MAX(0,K70-L70-M70)</f>
        <v>0</v>
      </c>
      <c r="O70" s="43" t="n">
        <f aca="false">IF(R69&gt;0.005,R69*(1+Ordem!$E$9),0)</f>
        <v>0</v>
      </c>
      <c r="P70" s="43" t="n">
        <f aca="false">MIN(O70,Ordem!$F$9)</f>
        <v>0</v>
      </c>
      <c r="Q70" s="43" t="n">
        <f aca="false">MAX(0,MIN(O70-P70,$B70-(E70+I70+M70)))</f>
        <v>0</v>
      </c>
      <c r="R70" s="43" t="n">
        <f aca="false">MAX(0,O70-P70-Q70)</f>
        <v>0</v>
      </c>
      <c r="S70" s="43" t="n">
        <f aca="false">IF(V69&gt;0.005,V69*(1+Ordem!$E$10),0)</f>
        <v>0</v>
      </c>
      <c r="T70" s="43" t="n">
        <f aca="false">MIN(S70,Ordem!$F$10)</f>
        <v>0</v>
      </c>
      <c r="U70" s="43" t="n">
        <f aca="false">MAX(0,MIN(S70-T70,$B70-(E70+I70+M70+Q70)))</f>
        <v>0</v>
      </c>
      <c r="V70" s="43" t="n">
        <f aca="false">MAX(0,S70-T70-U70)</f>
        <v>0</v>
      </c>
      <c r="W70" s="43" t="n">
        <f aca="false">IF(Z69&gt;0.005,Z69*(1+Ordem!$E$11),0)</f>
        <v>0</v>
      </c>
      <c r="X70" s="43" t="n">
        <f aca="false">MIN(W70,Ordem!$F$11)</f>
        <v>0</v>
      </c>
      <c r="Y70" s="43" t="n">
        <f aca="false">MAX(0,MIN(W70-X70,$B70-(E70+I70+M70+Q70+U70)))</f>
        <v>0</v>
      </c>
      <c r="Z70" s="43" t="n">
        <f aca="false">MAX(0,W70-X70-Y70)</f>
        <v>0</v>
      </c>
      <c r="AA70" s="43" t="n">
        <f aca="false">IF(AD69&gt;0.005,AD69*(1+Ordem!$E$12),0)</f>
        <v>0</v>
      </c>
      <c r="AB70" s="43" t="n">
        <f aca="false">MIN(AA70,Ordem!$F$12)</f>
        <v>0</v>
      </c>
      <c r="AC70" s="43" t="n">
        <f aca="false">MAX(0,MIN(AA70-AB70,$B70-(E70+I70+M70+Q70+U70+Y70)))</f>
        <v>0</v>
      </c>
      <c r="AD70" s="43" t="n">
        <f aca="false">MAX(0,AA70-AB70-AC70)</f>
        <v>0</v>
      </c>
      <c r="AE70" s="43" t="n">
        <f aca="false">IF(AH69&gt;0.005,AH69*(1+Ordem!$E$13),0)</f>
        <v>0</v>
      </c>
      <c r="AF70" s="43" t="n">
        <f aca="false">MIN(AE70,Ordem!$F$13)</f>
        <v>0</v>
      </c>
      <c r="AG70" s="43" t="n">
        <f aca="false">MAX(0,MIN(AE70-AF70,$B70-(E70+I70+M70+Q70+U70+Y70+AC70)))</f>
        <v>0</v>
      </c>
      <c r="AH70" s="43" t="n">
        <f aca="false">MAX(0,AE70-AF70-AG70)</f>
        <v>0</v>
      </c>
      <c r="AI70" s="43" t="n">
        <f aca="false">IF(AL69&gt;0.005,AL69*(1+Ordem!$E$14),0)</f>
        <v>0</v>
      </c>
      <c r="AJ70" s="43" t="n">
        <f aca="false">MIN(AI70,Ordem!$F$14)</f>
        <v>0</v>
      </c>
      <c r="AK70" s="43" t="n">
        <f aca="false">MAX(0,MIN(AI70-AJ70,$B70-(E70+I70+M70+Q70+U70+Y70+AC70+AG70)))</f>
        <v>0</v>
      </c>
      <c r="AL70" s="43" t="n">
        <f aca="false">MAX(0,AI70-AJ70-AK70)</f>
        <v>0</v>
      </c>
      <c r="AM70" s="43" t="n">
        <f aca="false">IF(AP69&gt;0.005,AP69*(1+Ordem!$E$15),0)</f>
        <v>0</v>
      </c>
      <c r="AN70" s="43" t="n">
        <f aca="false">MIN(AM70,Ordem!$F$15)</f>
        <v>0</v>
      </c>
      <c r="AO70" s="43" t="n">
        <f aca="false">MAX(0,MIN(AM70-AN70,$B70-(E70+I70+M70+Q70+U70+Y70+AC70+AG70+AK70)))</f>
        <v>0</v>
      </c>
      <c r="AP70" s="43" t="n">
        <f aca="false">MAX(0,AM70-AN70-AO70)</f>
        <v>0</v>
      </c>
      <c r="AQ70" s="43" t="n">
        <f aca="false">F70+J70+N70+R70+V70+Z70+AD70+AH70+AL70+AP70</f>
        <v>0</v>
      </c>
      <c r="AR70" s="43" t="n">
        <f aca="false">D70+E70+H70+I70+L70+M70+P70+Q70+T70+U70+X70+Y70+AB70+AC70+AF70+AG70+AJ70+AK70+AN70+AO70</f>
        <v>0</v>
      </c>
    </row>
    <row r="71" customFormat="false" ht="15" hidden="false" customHeight="false" outlineLevel="0" collapsed="false">
      <c r="A71" s="0" t="n">
        <v>67</v>
      </c>
      <c r="B71" s="43" t="n">
        <f aca="false">MAX(0,Dívidas!$C$20-(D71+H71+L71+P71+T71+X71+AB71+AF71+AJ71+AN71))</f>
        <v>1450</v>
      </c>
      <c r="C71" s="43" t="n">
        <f aca="false">IF(F70&gt;0.005,F70*(1+Ordem!$E$6),0)</f>
        <v>0</v>
      </c>
      <c r="D71" s="43" t="n">
        <f aca="false">MIN(C71,Ordem!$F$6)</f>
        <v>0</v>
      </c>
      <c r="E71" s="43" t="n">
        <f aca="false">MAX(0,MIN(C71-D71,$B71-(0)))</f>
        <v>0</v>
      </c>
      <c r="F71" s="43" t="n">
        <f aca="false">MAX(0,C71-D71-E71)</f>
        <v>0</v>
      </c>
      <c r="G71" s="43" t="n">
        <f aca="false">IF(J70&gt;0.005,J70*(1+Ordem!$E$7),0)</f>
        <v>0</v>
      </c>
      <c r="H71" s="43" t="n">
        <f aca="false">MIN(G71,Ordem!$F$7)</f>
        <v>0</v>
      </c>
      <c r="I71" s="43" t="n">
        <f aca="false">MAX(0,MIN(G71-H71,$B71-(E71)))</f>
        <v>0</v>
      </c>
      <c r="J71" s="43" t="n">
        <f aca="false">MAX(0,G71-H71-I71)</f>
        <v>0</v>
      </c>
      <c r="K71" s="43" t="n">
        <f aca="false">IF(N70&gt;0.005,N70*(1+Ordem!$E$8),0)</f>
        <v>0</v>
      </c>
      <c r="L71" s="43" t="n">
        <f aca="false">MIN(K71,Ordem!$F$8)</f>
        <v>0</v>
      </c>
      <c r="M71" s="43" t="n">
        <f aca="false">MAX(0,MIN(K71-L71,$B71-(E71+I71)))</f>
        <v>0</v>
      </c>
      <c r="N71" s="43" t="n">
        <f aca="false">MAX(0,K71-L71-M71)</f>
        <v>0</v>
      </c>
      <c r="O71" s="43" t="n">
        <f aca="false">IF(R70&gt;0.005,R70*(1+Ordem!$E$9),0)</f>
        <v>0</v>
      </c>
      <c r="P71" s="43" t="n">
        <f aca="false">MIN(O71,Ordem!$F$9)</f>
        <v>0</v>
      </c>
      <c r="Q71" s="43" t="n">
        <f aca="false">MAX(0,MIN(O71-P71,$B71-(E71+I71+M71)))</f>
        <v>0</v>
      </c>
      <c r="R71" s="43" t="n">
        <f aca="false">MAX(0,O71-P71-Q71)</f>
        <v>0</v>
      </c>
      <c r="S71" s="43" t="n">
        <f aca="false">IF(V70&gt;0.005,V70*(1+Ordem!$E$10),0)</f>
        <v>0</v>
      </c>
      <c r="T71" s="43" t="n">
        <f aca="false">MIN(S71,Ordem!$F$10)</f>
        <v>0</v>
      </c>
      <c r="U71" s="43" t="n">
        <f aca="false">MAX(0,MIN(S71-T71,$B71-(E71+I71+M71+Q71)))</f>
        <v>0</v>
      </c>
      <c r="V71" s="43" t="n">
        <f aca="false">MAX(0,S71-T71-U71)</f>
        <v>0</v>
      </c>
      <c r="W71" s="43" t="n">
        <f aca="false">IF(Z70&gt;0.005,Z70*(1+Ordem!$E$11),0)</f>
        <v>0</v>
      </c>
      <c r="X71" s="43" t="n">
        <f aca="false">MIN(W71,Ordem!$F$11)</f>
        <v>0</v>
      </c>
      <c r="Y71" s="43" t="n">
        <f aca="false">MAX(0,MIN(W71-X71,$B71-(E71+I71+M71+Q71+U71)))</f>
        <v>0</v>
      </c>
      <c r="Z71" s="43" t="n">
        <f aca="false">MAX(0,W71-X71-Y71)</f>
        <v>0</v>
      </c>
      <c r="AA71" s="43" t="n">
        <f aca="false">IF(AD70&gt;0.005,AD70*(1+Ordem!$E$12),0)</f>
        <v>0</v>
      </c>
      <c r="AB71" s="43" t="n">
        <f aca="false">MIN(AA71,Ordem!$F$12)</f>
        <v>0</v>
      </c>
      <c r="AC71" s="43" t="n">
        <f aca="false">MAX(0,MIN(AA71-AB71,$B71-(E71+I71+M71+Q71+U71+Y71)))</f>
        <v>0</v>
      </c>
      <c r="AD71" s="43" t="n">
        <f aca="false">MAX(0,AA71-AB71-AC71)</f>
        <v>0</v>
      </c>
      <c r="AE71" s="43" t="n">
        <f aca="false">IF(AH70&gt;0.005,AH70*(1+Ordem!$E$13),0)</f>
        <v>0</v>
      </c>
      <c r="AF71" s="43" t="n">
        <f aca="false">MIN(AE71,Ordem!$F$13)</f>
        <v>0</v>
      </c>
      <c r="AG71" s="43" t="n">
        <f aca="false">MAX(0,MIN(AE71-AF71,$B71-(E71+I71+M71+Q71+U71+Y71+AC71)))</f>
        <v>0</v>
      </c>
      <c r="AH71" s="43" t="n">
        <f aca="false">MAX(0,AE71-AF71-AG71)</f>
        <v>0</v>
      </c>
      <c r="AI71" s="43" t="n">
        <f aca="false">IF(AL70&gt;0.005,AL70*(1+Ordem!$E$14),0)</f>
        <v>0</v>
      </c>
      <c r="AJ71" s="43" t="n">
        <f aca="false">MIN(AI71,Ordem!$F$14)</f>
        <v>0</v>
      </c>
      <c r="AK71" s="43" t="n">
        <f aca="false">MAX(0,MIN(AI71-AJ71,$B71-(E71+I71+M71+Q71+U71+Y71+AC71+AG71)))</f>
        <v>0</v>
      </c>
      <c r="AL71" s="43" t="n">
        <f aca="false">MAX(0,AI71-AJ71-AK71)</f>
        <v>0</v>
      </c>
      <c r="AM71" s="43" t="n">
        <f aca="false">IF(AP70&gt;0.005,AP70*(1+Ordem!$E$15),0)</f>
        <v>0</v>
      </c>
      <c r="AN71" s="43" t="n">
        <f aca="false">MIN(AM71,Ordem!$F$15)</f>
        <v>0</v>
      </c>
      <c r="AO71" s="43" t="n">
        <f aca="false">MAX(0,MIN(AM71-AN71,$B71-(E71+I71+M71+Q71+U71+Y71+AC71+AG71+AK71)))</f>
        <v>0</v>
      </c>
      <c r="AP71" s="43" t="n">
        <f aca="false">MAX(0,AM71-AN71-AO71)</f>
        <v>0</v>
      </c>
      <c r="AQ71" s="43" t="n">
        <f aca="false">F71+J71+N71+R71+V71+Z71+AD71+AH71+AL71+AP71</f>
        <v>0</v>
      </c>
      <c r="AR71" s="43" t="n">
        <f aca="false">D71+E71+H71+I71+L71+M71+P71+Q71+T71+U71+X71+Y71+AB71+AC71+AF71+AG71+AJ71+AK71+AN71+AO71</f>
        <v>0</v>
      </c>
    </row>
    <row r="72" customFormat="false" ht="15" hidden="false" customHeight="false" outlineLevel="0" collapsed="false">
      <c r="A72" s="0" t="n">
        <v>68</v>
      </c>
      <c r="B72" s="43" t="n">
        <f aca="false">MAX(0,Dívidas!$C$20-(D72+H72+L72+P72+T72+X72+AB72+AF72+AJ72+AN72))</f>
        <v>1450</v>
      </c>
      <c r="C72" s="43" t="n">
        <f aca="false">IF(F71&gt;0.005,F71*(1+Ordem!$E$6),0)</f>
        <v>0</v>
      </c>
      <c r="D72" s="43" t="n">
        <f aca="false">MIN(C72,Ordem!$F$6)</f>
        <v>0</v>
      </c>
      <c r="E72" s="43" t="n">
        <f aca="false">MAX(0,MIN(C72-D72,$B72-(0)))</f>
        <v>0</v>
      </c>
      <c r="F72" s="43" t="n">
        <f aca="false">MAX(0,C72-D72-E72)</f>
        <v>0</v>
      </c>
      <c r="G72" s="43" t="n">
        <f aca="false">IF(J71&gt;0.005,J71*(1+Ordem!$E$7),0)</f>
        <v>0</v>
      </c>
      <c r="H72" s="43" t="n">
        <f aca="false">MIN(G72,Ordem!$F$7)</f>
        <v>0</v>
      </c>
      <c r="I72" s="43" t="n">
        <f aca="false">MAX(0,MIN(G72-H72,$B72-(E72)))</f>
        <v>0</v>
      </c>
      <c r="J72" s="43" t="n">
        <f aca="false">MAX(0,G72-H72-I72)</f>
        <v>0</v>
      </c>
      <c r="K72" s="43" t="n">
        <f aca="false">IF(N71&gt;0.005,N71*(1+Ordem!$E$8),0)</f>
        <v>0</v>
      </c>
      <c r="L72" s="43" t="n">
        <f aca="false">MIN(K72,Ordem!$F$8)</f>
        <v>0</v>
      </c>
      <c r="M72" s="43" t="n">
        <f aca="false">MAX(0,MIN(K72-L72,$B72-(E72+I72)))</f>
        <v>0</v>
      </c>
      <c r="N72" s="43" t="n">
        <f aca="false">MAX(0,K72-L72-M72)</f>
        <v>0</v>
      </c>
      <c r="O72" s="43" t="n">
        <f aca="false">IF(R71&gt;0.005,R71*(1+Ordem!$E$9),0)</f>
        <v>0</v>
      </c>
      <c r="P72" s="43" t="n">
        <f aca="false">MIN(O72,Ordem!$F$9)</f>
        <v>0</v>
      </c>
      <c r="Q72" s="43" t="n">
        <f aca="false">MAX(0,MIN(O72-P72,$B72-(E72+I72+M72)))</f>
        <v>0</v>
      </c>
      <c r="R72" s="43" t="n">
        <f aca="false">MAX(0,O72-P72-Q72)</f>
        <v>0</v>
      </c>
      <c r="S72" s="43" t="n">
        <f aca="false">IF(V71&gt;0.005,V71*(1+Ordem!$E$10),0)</f>
        <v>0</v>
      </c>
      <c r="T72" s="43" t="n">
        <f aca="false">MIN(S72,Ordem!$F$10)</f>
        <v>0</v>
      </c>
      <c r="U72" s="43" t="n">
        <f aca="false">MAX(0,MIN(S72-T72,$B72-(E72+I72+M72+Q72)))</f>
        <v>0</v>
      </c>
      <c r="V72" s="43" t="n">
        <f aca="false">MAX(0,S72-T72-U72)</f>
        <v>0</v>
      </c>
      <c r="W72" s="43" t="n">
        <f aca="false">IF(Z71&gt;0.005,Z71*(1+Ordem!$E$11),0)</f>
        <v>0</v>
      </c>
      <c r="X72" s="43" t="n">
        <f aca="false">MIN(W72,Ordem!$F$11)</f>
        <v>0</v>
      </c>
      <c r="Y72" s="43" t="n">
        <f aca="false">MAX(0,MIN(W72-X72,$B72-(E72+I72+M72+Q72+U72)))</f>
        <v>0</v>
      </c>
      <c r="Z72" s="43" t="n">
        <f aca="false">MAX(0,W72-X72-Y72)</f>
        <v>0</v>
      </c>
      <c r="AA72" s="43" t="n">
        <f aca="false">IF(AD71&gt;0.005,AD71*(1+Ordem!$E$12),0)</f>
        <v>0</v>
      </c>
      <c r="AB72" s="43" t="n">
        <f aca="false">MIN(AA72,Ordem!$F$12)</f>
        <v>0</v>
      </c>
      <c r="AC72" s="43" t="n">
        <f aca="false">MAX(0,MIN(AA72-AB72,$B72-(E72+I72+M72+Q72+U72+Y72)))</f>
        <v>0</v>
      </c>
      <c r="AD72" s="43" t="n">
        <f aca="false">MAX(0,AA72-AB72-AC72)</f>
        <v>0</v>
      </c>
      <c r="AE72" s="43" t="n">
        <f aca="false">IF(AH71&gt;0.005,AH71*(1+Ordem!$E$13),0)</f>
        <v>0</v>
      </c>
      <c r="AF72" s="43" t="n">
        <f aca="false">MIN(AE72,Ordem!$F$13)</f>
        <v>0</v>
      </c>
      <c r="AG72" s="43" t="n">
        <f aca="false">MAX(0,MIN(AE72-AF72,$B72-(E72+I72+M72+Q72+U72+Y72+AC72)))</f>
        <v>0</v>
      </c>
      <c r="AH72" s="43" t="n">
        <f aca="false">MAX(0,AE72-AF72-AG72)</f>
        <v>0</v>
      </c>
      <c r="AI72" s="43" t="n">
        <f aca="false">IF(AL71&gt;0.005,AL71*(1+Ordem!$E$14),0)</f>
        <v>0</v>
      </c>
      <c r="AJ72" s="43" t="n">
        <f aca="false">MIN(AI72,Ordem!$F$14)</f>
        <v>0</v>
      </c>
      <c r="AK72" s="43" t="n">
        <f aca="false">MAX(0,MIN(AI72-AJ72,$B72-(E72+I72+M72+Q72+U72+Y72+AC72+AG72)))</f>
        <v>0</v>
      </c>
      <c r="AL72" s="43" t="n">
        <f aca="false">MAX(0,AI72-AJ72-AK72)</f>
        <v>0</v>
      </c>
      <c r="AM72" s="43" t="n">
        <f aca="false">IF(AP71&gt;0.005,AP71*(1+Ordem!$E$15),0)</f>
        <v>0</v>
      </c>
      <c r="AN72" s="43" t="n">
        <f aca="false">MIN(AM72,Ordem!$F$15)</f>
        <v>0</v>
      </c>
      <c r="AO72" s="43" t="n">
        <f aca="false">MAX(0,MIN(AM72-AN72,$B72-(E72+I72+M72+Q72+U72+Y72+AC72+AG72+AK72)))</f>
        <v>0</v>
      </c>
      <c r="AP72" s="43" t="n">
        <f aca="false">MAX(0,AM72-AN72-AO72)</f>
        <v>0</v>
      </c>
      <c r="AQ72" s="43" t="n">
        <f aca="false">F72+J72+N72+R72+V72+Z72+AD72+AH72+AL72+AP72</f>
        <v>0</v>
      </c>
      <c r="AR72" s="43" t="n">
        <f aca="false">D72+E72+H72+I72+L72+M72+P72+Q72+T72+U72+X72+Y72+AB72+AC72+AF72+AG72+AJ72+AK72+AN72+AO72</f>
        <v>0</v>
      </c>
    </row>
    <row r="73" customFormat="false" ht="15" hidden="false" customHeight="false" outlineLevel="0" collapsed="false">
      <c r="A73" s="0" t="n">
        <v>69</v>
      </c>
      <c r="B73" s="43" t="n">
        <f aca="false">MAX(0,Dívidas!$C$20-(D73+H73+L73+P73+T73+X73+AB73+AF73+AJ73+AN73))</f>
        <v>1450</v>
      </c>
      <c r="C73" s="43" t="n">
        <f aca="false">IF(F72&gt;0.005,F72*(1+Ordem!$E$6),0)</f>
        <v>0</v>
      </c>
      <c r="D73" s="43" t="n">
        <f aca="false">MIN(C73,Ordem!$F$6)</f>
        <v>0</v>
      </c>
      <c r="E73" s="43" t="n">
        <f aca="false">MAX(0,MIN(C73-D73,$B73-(0)))</f>
        <v>0</v>
      </c>
      <c r="F73" s="43" t="n">
        <f aca="false">MAX(0,C73-D73-E73)</f>
        <v>0</v>
      </c>
      <c r="G73" s="43" t="n">
        <f aca="false">IF(J72&gt;0.005,J72*(1+Ordem!$E$7),0)</f>
        <v>0</v>
      </c>
      <c r="H73" s="43" t="n">
        <f aca="false">MIN(G73,Ordem!$F$7)</f>
        <v>0</v>
      </c>
      <c r="I73" s="43" t="n">
        <f aca="false">MAX(0,MIN(G73-H73,$B73-(E73)))</f>
        <v>0</v>
      </c>
      <c r="J73" s="43" t="n">
        <f aca="false">MAX(0,G73-H73-I73)</f>
        <v>0</v>
      </c>
      <c r="K73" s="43" t="n">
        <f aca="false">IF(N72&gt;0.005,N72*(1+Ordem!$E$8),0)</f>
        <v>0</v>
      </c>
      <c r="L73" s="43" t="n">
        <f aca="false">MIN(K73,Ordem!$F$8)</f>
        <v>0</v>
      </c>
      <c r="M73" s="43" t="n">
        <f aca="false">MAX(0,MIN(K73-L73,$B73-(E73+I73)))</f>
        <v>0</v>
      </c>
      <c r="N73" s="43" t="n">
        <f aca="false">MAX(0,K73-L73-M73)</f>
        <v>0</v>
      </c>
      <c r="O73" s="43" t="n">
        <f aca="false">IF(R72&gt;0.005,R72*(1+Ordem!$E$9),0)</f>
        <v>0</v>
      </c>
      <c r="P73" s="43" t="n">
        <f aca="false">MIN(O73,Ordem!$F$9)</f>
        <v>0</v>
      </c>
      <c r="Q73" s="43" t="n">
        <f aca="false">MAX(0,MIN(O73-P73,$B73-(E73+I73+M73)))</f>
        <v>0</v>
      </c>
      <c r="R73" s="43" t="n">
        <f aca="false">MAX(0,O73-P73-Q73)</f>
        <v>0</v>
      </c>
      <c r="S73" s="43" t="n">
        <f aca="false">IF(V72&gt;0.005,V72*(1+Ordem!$E$10),0)</f>
        <v>0</v>
      </c>
      <c r="T73" s="43" t="n">
        <f aca="false">MIN(S73,Ordem!$F$10)</f>
        <v>0</v>
      </c>
      <c r="U73" s="43" t="n">
        <f aca="false">MAX(0,MIN(S73-T73,$B73-(E73+I73+M73+Q73)))</f>
        <v>0</v>
      </c>
      <c r="V73" s="43" t="n">
        <f aca="false">MAX(0,S73-T73-U73)</f>
        <v>0</v>
      </c>
      <c r="W73" s="43" t="n">
        <f aca="false">IF(Z72&gt;0.005,Z72*(1+Ordem!$E$11),0)</f>
        <v>0</v>
      </c>
      <c r="X73" s="43" t="n">
        <f aca="false">MIN(W73,Ordem!$F$11)</f>
        <v>0</v>
      </c>
      <c r="Y73" s="43" t="n">
        <f aca="false">MAX(0,MIN(W73-X73,$B73-(E73+I73+M73+Q73+U73)))</f>
        <v>0</v>
      </c>
      <c r="Z73" s="43" t="n">
        <f aca="false">MAX(0,W73-X73-Y73)</f>
        <v>0</v>
      </c>
      <c r="AA73" s="43" t="n">
        <f aca="false">IF(AD72&gt;0.005,AD72*(1+Ordem!$E$12),0)</f>
        <v>0</v>
      </c>
      <c r="AB73" s="43" t="n">
        <f aca="false">MIN(AA73,Ordem!$F$12)</f>
        <v>0</v>
      </c>
      <c r="AC73" s="43" t="n">
        <f aca="false">MAX(0,MIN(AA73-AB73,$B73-(E73+I73+M73+Q73+U73+Y73)))</f>
        <v>0</v>
      </c>
      <c r="AD73" s="43" t="n">
        <f aca="false">MAX(0,AA73-AB73-AC73)</f>
        <v>0</v>
      </c>
      <c r="AE73" s="43" t="n">
        <f aca="false">IF(AH72&gt;0.005,AH72*(1+Ordem!$E$13),0)</f>
        <v>0</v>
      </c>
      <c r="AF73" s="43" t="n">
        <f aca="false">MIN(AE73,Ordem!$F$13)</f>
        <v>0</v>
      </c>
      <c r="AG73" s="43" t="n">
        <f aca="false">MAX(0,MIN(AE73-AF73,$B73-(E73+I73+M73+Q73+U73+Y73+AC73)))</f>
        <v>0</v>
      </c>
      <c r="AH73" s="43" t="n">
        <f aca="false">MAX(0,AE73-AF73-AG73)</f>
        <v>0</v>
      </c>
      <c r="AI73" s="43" t="n">
        <f aca="false">IF(AL72&gt;0.005,AL72*(1+Ordem!$E$14),0)</f>
        <v>0</v>
      </c>
      <c r="AJ73" s="43" t="n">
        <f aca="false">MIN(AI73,Ordem!$F$14)</f>
        <v>0</v>
      </c>
      <c r="AK73" s="43" t="n">
        <f aca="false">MAX(0,MIN(AI73-AJ73,$B73-(E73+I73+M73+Q73+U73+Y73+AC73+AG73)))</f>
        <v>0</v>
      </c>
      <c r="AL73" s="43" t="n">
        <f aca="false">MAX(0,AI73-AJ73-AK73)</f>
        <v>0</v>
      </c>
      <c r="AM73" s="43" t="n">
        <f aca="false">IF(AP72&gt;0.005,AP72*(1+Ordem!$E$15),0)</f>
        <v>0</v>
      </c>
      <c r="AN73" s="43" t="n">
        <f aca="false">MIN(AM73,Ordem!$F$15)</f>
        <v>0</v>
      </c>
      <c r="AO73" s="43" t="n">
        <f aca="false">MAX(0,MIN(AM73-AN73,$B73-(E73+I73+M73+Q73+U73+Y73+AC73+AG73+AK73)))</f>
        <v>0</v>
      </c>
      <c r="AP73" s="43" t="n">
        <f aca="false">MAX(0,AM73-AN73-AO73)</f>
        <v>0</v>
      </c>
      <c r="AQ73" s="43" t="n">
        <f aca="false">F73+J73+N73+R73+V73+Z73+AD73+AH73+AL73+AP73</f>
        <v>0</v>
      </c>
      <c r="AR73" s="43" t="n">
        <f aca="false">D73+E73+H73+I73+L73+M73+P73+Q73+T73+U73+X73+Y73+AB73+AC73+AF73+AG73+AJ73+AK73+AN73+AO73</f>
        <v>0</v>
      </c>
    </row>
    <row r="74" customFormat="false" ht="15" hidden="false" customHeight="false" outlineLevel="0" collapsed="false">
      <c r="A74" s="0" t="n">
        <v>70</v>
      </c>
      <c r="B74" s="43" t="n">
        <f aca="false">MAX(0,Dívidas!$C$20-(D74+H74+L74+P74+T74+X74+AB74+AF74+AJ74+AN74))</f>
        <v>1450</v>
      </c>
      <c r="C74" s="43" t="n">
        <f aca="false">IF(F73&gt;0.005,F73*(1+Ordem!$E$6),0)</f>
        <v>0</v>
      </c>
      <c r="D74" s="43" t="n">
        <f aca="false">MIN(C74,Ordem!$F$6)</f>
        <v>0</v>
      </c>
      <c r="E74" s="43" t="n">
        <f aca="false">MAX(0,MIN(C74-D74,$B74-(0)))</f>
        <v>0</v>
      </c>
      <c r="F74" s="43" t="n">
        <f aca="false">MAX(0,C74-D74-E74)</f>
        <v>0</v>
      </c>
      <c r="G74" s="43" t="n">
        <f aca="false">IF(J73&gt;0.005,J73*(1+Ordem!$E$7),0)</f>
        <v>0</v>
      </c>
      <c r="H74" s="43" t="n">
        <f aca="false">MIN(G74,Ordem!$F$7)</f>
        <v>0</v>
      </c>
      <c r="I74" s="43" t="n">
        <f aca="false">MAX(0,MIN(G74-H74,$B74-(E74)))</f>
        <v>0</v>
      </c>
      <c r="J74" s="43" t="n">
        <f aca="false">MAX(0,G74-H74-I74)</f>
        <v>0</v>
      </c>
      <c r="K74" s="43" t="n">
        <f aca="false">IF(N73&gt;0.005,N73*(1+Ordem!$E$8),0)</f>
        <v>0</v>
      </c>
      <c r="L74" s="43" t="n">
        <f aca="false">MIN(K74,Ordem!$F$8)</f>
        <v>0</v>
      </c>
      <c r="M74" s="43" t="n">
        <f aca="false">MAX(0,MIN(K74-L74,$B74-(E74+I74)))</f>
        <v>0</v>
      </c>
      <c r="N74" s="43" t="n">
        <f aca="false">MAX(0,K74-L74-M74)</f>
        <v>0</v>
      </c>
      <c r="O74" s="43" t="n">
        <f aca="false">IF(R73&gt;0.005,R73*(1+Ordem!$E$9),0)</f>
        <v>0</v>
      </c>
      <c r="P74" s="43" t="n">
        <f aca="false">MIN(O74,Ordem!$F$9)</f>
        <v>0</v>
      </c>
      <c r="Q74" s="43" t="n">
        <f aca="false">MAX(0,MIN(O74-P74,$B74-(E74+I74+M74)))</f>
        <v>0</v>
      </c>
      <c r="R74" s="43" t="n">
        <f aca="false">MAX(0,O74-P74-Q74)</f>
        <v>0</v>
      </c>
      <c r="S74" s="43" t="n">
        <f aca="false">IF(V73&gt;0.005,V73*(1+Ordem!$E$10),0)</f>
        <v>0</v>
      </c>
      <c r="T74" s="43" t="n">
        <f aca="false">MIN(S74,Ordem!$F$10)</f>
        <v>0</v>
      </c>
      <c r="U74" s="43" t="n">
        <f aca="false">MAX(0,MIN(S74-T74,$B74-(E74+I74+M74+Q74)))</f>
        <v>0</v>
      </c>
      <c r="V74" s="43" t="n">
        <f aca="false">MAX(0,S74-T74-U74)</f>
        <v>0</v>
      </c>
      <c r="W74" s="43" t="n">
        <f aca="false">IF(Z73&gt;0.005,Z73*(1+Ordem!$E$11),0)</f>
        <v>0</v>
      </c>
      <c r="X74" s="43" t="n">
        <f aca="false">MIN(W74,Ordem!$F$11)</f>
        <v>0</v>
      </c>
      <c r="Y74" s="43" t="n">
        <f aca="false">MAX(0,MIN(W74-X74,$B74-(E74+I74+M74+Q74+U74)))</f>
        <v>0</v>
      </c>
      <c r="Z74" s="43" t="n">
        <f aca="false">MAX(0,W74-X74-Y74)</f>
        <v>0</v>
      </c>
      <c r="AA74" s="43" t="n">
        <f aca="false">IF(AD73&gt;0.005,AD73*(1+Ordem!$E$12),0)</f>
        <v>0</v>
      </c>
      <c r="AB74" s="43" t="n">
        <f aca="false">MIN(AA74,Ordem!$F$12)</f>
        <v>0</v>
      </c>
      <c r="AC74" s="43" t="n">
        <f aca="false">MAX(0,MIN(AA74-AB74,$B74-(E74+I74+M74+Q74+U74+Y74)))</f>
        <v>0</v>
      </c>
      <c r="AD74" s="43" t="n">
        <f aca="false">MAX(0,AA74-AB74-AC74)</f>
        <v>0</v>
      </c>
      <c r="AE74" s="43" t="n">
        <f aca="false">IF(AH73&gt;0.005,AH73*(1+Ordem!$E$13),0)</f>
        <v>0</v>
      </c>
      <c r="AF74" s="43" t="n">
        <f aca="false">MIN(AE74,Ordem!$F$13)</f>
        <v>0</v>
      </c>
      <c r="AG74" s="43" t="n">
        <f aca="false">MAX(0,MIN(AE74-AF74,$B74-(E74+I74+M74+Q74+U74+Y74+AC74)))</f>
        <v>0</v>
      </c>
      <c r="AH74" s="43" t="n">
        <f aca="false">MAX(0,AE74-AF74-AG74)</f>
        <v>0</v>
      </c>
      <c r="AI74" s="43" t="n">
        <f aca="false">IF(AL73&gt;0.005,AL73*(1+Ordem!$E$14),0)</f>
        <v>0</v>
      </c>
      <c r="AJ74" s="43" t="n">
        <f aca="false">MIN(AI74,Ordem!$F$14)</f>
        <v>0</v>
      </c>
      <c r="AK74" s="43" t="n">
        <f aca="false">MAX(0,MIN(AI74-AJ74,$B74-(E74+I74+M74+Q74+U74+Y74+AC74+AG74)))</f>
        <v>0</v>
      </c>
      <c r="AL74" s="43" t="n">
        <f aca="false">MAX(0,AI74-AJ74-AK74)</f>
        <v>0</v>
      </c>
      <c r="AM74" s="43" t="n">
        <f aca="false">IF(AP73&gt;0.005,AP73*(1+Ordem!$E$15),0)</f>
        <v>0</v>
      </c>
      <c r="AN74" s="43" t="n">
        <f aca="false">MIN(AM74,Ordem!$F$15)</f>
        <v>0</v>
      </c>
      <c r="AO74" s="43" t="n">
        <f aca="false">MAX(0,MIN(AM74-AN74,$B74-(E74+I74+M74+Q74+U74+Y74+AC74+AG74+AK74)))</f>
        <v>0</v>
      </c>
      <c r="AP74" s="43" t="n">
        <f aca="false">MAX(0,AM74-AN74-AO74)</f>
        <v>0</v>
      </c>
      <c r="AQ74" s="43" t="n">
        <f aca="false">F74+J74+N74+R74+V74+Z74+AD74+AH74+AL74+AP74</f>
        <v>0</v>
      </c>
      <c r="AR74" s="43" t="n">
        <f aca="false">D74+E74+H74+I74+L74+M74+P74+Q74+T74+U74+X74+Y74+AB74+AC74+AF74+AG74+AJ74+AK74+AN74+AO74</f>
        <v>0</v>
      </c>
    </row>
    <row r="75" customFormat="false" ht="15" hidden="false" customHeight="false" outlineLevel="0" collapsed="false">
      <c r="A75" s="0" t="n">
        <v>71</v>
      </c>
      <c r="B75" s="43" t="n">
        <f aca="false">MAX(0,Dívidas!$C$20-(D75+H75+L75+P75+T75+X75+AB75+AF75+AJ75+AN75))</f>
        <v>1450</v>
      </c>
      <c r="C75" s="43" t="n">
        <f aca="false">IF(F74&gt;0.005,F74*(1+Ordem!$E$6),0)</f>
        <v>0</v>
      </c>
      <c r="D75" s="43" t="n">
        <f aca="false">MIN(C75,Ordem!$F$6)</f>
        <v>0</v>
      </c>
      <c r="E75" s="43" t="n">
        <f aca="false">MAX(0,MIN(C75-D75,$B75-(0)))</f>
        <v>0</v>
      </c>
      <c r="F75" s="43" t="n">
        <f aca="false">MAX(0,C75-D75-E75)</f>
        <v>0</v>
      </c>
      <c r="G75" s="43" t="n">
        <f aca="false">IF(J74&gt;0.005,J74*(1+Ordem!$E$7),0)</f>
        <v>0</v>
      </c>
      <c r="H75" s="43" t="n">
        <f aca="false">MIN(G75,Ordem!$F$7)</f>
        <v>0</v>
      </c>
      <c r="I75" s="43" t="n">
        <f aca="false">MAX(0,MIN(G75-H75,$B75-(E75)))</f>
        <v>0</v>
      </c>
      <c r="J75" s="43" t="n">
        <f aca="false">MAX(0,G75-H75-I75)</f>
        <v>0</v>
      </c>
      <c r="K75" s="43" t="n">
        <f aca="false">IF(N74&gt;0.005,N74*(1+Ordem!$E$8),0)</f>
        <v>0</v>
      </c>
      <c r="L75" s="43" t="n">
        <f aca="false">MIN(K75,Ordem!$F$8)</f>
        <v>0</v>
      </c>
      <c r="M75" s="43" t="n">
        <f aca="false">MAX(0,MIN(K75-L75,$B75-(E75+I75)))</f>
        <v>0</v>
      </c>
      <c r="N75" s="43" t="n">
        <f aca="false">MAX(0,K75-L75-M75)</f>
        <v>0</v>
      </c>
      <c r="O75" s="43" t="n">
        <f aca="false">IF(R74&gt;0.005,R74*(1+Ordem!$E$9),0)</f>
        <v>0</v>
      </c>
      <c r="P75" s="43" t="n">
        <f aca="false">MIN(O75,Ordem!$F$9)</f>
        <v>0</v>
      </c>
      <c r="Q75" s="43" t="n">
        <f aca="false">MAX(0,MIN(O75-P75,$B75-(E75+I75+M75)))</f>
        <v>0</v>
      </c>
      <c r="R75" s="43" t="n">
        <f aca="false">MAX(0,O75-P75-Q75)</f>
        <v>0</v>
      </c>
      <c r="S75" s="43" t="n">
        <f aca="false">IF(V74&gt;0.005,V74*(1+Ordem!$E$10),0)</f>
        <v>0</v>
      </c>
      <c r="T75" s="43" t="n">
        <f aca="false">MIN(S75,Ordem!$F$10)</f>
        <v>0</v>
      </c>
      <c r="U75" s="43" t="n">
        <f aca="false">MAX(0,MIN(S75-T75,$B75-(E75+I75+M75+Q75)))</f>
        <v>0</v>
      </c>
      <c r="V75" s="43" t="n">
        <f aca="false">MAX(0,S75-T75-U75)</f>
        <v>0</v>
      </c>
      <c r="W75" s="43" t="n">
        <f aca="false">IF(Z74&gt;0.005,Z74*(1+Ordem!$E$11),0)</f>
        <v>0</v>
      </c>
      <c r="X75" s="43" t="n">
        <f aca="false">MIN(W75,Ordem!$F$11)</f>
        <v>0</v>
      </c>
      <c r="Y75" s="43" t="n">
        <f aca="false">MAX(0,MIN(W75-X75,$B75-(E75+I75+M75+Q75+U75)))</f>
        <v>0</v>
      </c>
      <c r="Z75" s="43" t="n">
        <f aca="false">MAX(0,W75-X75-Y75)</f>
        <v>0</v>
      </c>
      <c r="AA75" s="43" t="n">
        <f aca="false">IF(AD74&gt;0.005,AD74*(1+Ordem!$E$12),0)</f>
        <v>0</v>
      </c>
      <c r="AB75" s="43" t="n">
        <f aca="false">MIN(AA75,Ordem!$F$12)</f>
        <v>0</v>
      </c>
      <c r="AC75" s="43" t="n">
        <f aca="false">MAX(0,MIN(AA75-AB75,$B75-(E75+I75+M75+Q75+U75+Y75)))</f>
        <v>0</v>
      </c>
      <c r="AD75" s="43" t="n">
        <f aca="false">MAX(0,AA75-AB75-AC75)</f>
        <v>0</v>
      </c>
      <c r="AE75" s="43" t="n">
        <f aca="false">IF(AH74&gt;0.005,AH74*(1+Ordem!$E$13),0)</f>
        <v>0</v>
      </c>
      <c r="AF75" s="43" t="n">
        <f aca="false">MIN(AE75,Ordem!$F$13)</f>
        <v>0</v>
      </c>
      <c r="AG75" s="43" t="n">
        <f aca="false">MAX(0,MIN(AE75-AF75,$B75-(E75+I75+M75+Q75+U75+Y75+AC75)))</f>
        <v>0</v>
      </c>
      <c r="AH75" s="43" t="n">
        <f aca="false">MAX(0,AE75-AF75-AG75)</f>
        <v>0</v>
      </c>
      <c r="AI75" s="43" t="n">
        <f aca="false">IF(AL74&gt;0.005,AL74*(1+Ordem!$E$14),0)</f>
        <v>0</v>
      </c>
      <c r="AJ75" s="43" t="n">
        <f aca="false">MIN(AI75,Ordem!$F$14)</f>
        <v>0</v>
      </c>
      <c r="AK75" s="43" t="n">
        <f aca="false">MAX(0,MIN(AI75-AJ75,$B75-(E75+I75+M75+Q75+U75+Y75+AC75+AG75)))</f>
        <v>0</v>
      </c>
      <c r="AL75" s="43" t="n">
        <f aca="false">MAX(0,AI75-AJ75-AK75)</f>
        <v>0</v>
      </c>
      <c r="AM75" s="43" t="n">
        <f aca="false">IF(AP74&gt;0.005,AP74*(1+Ordem!$E$15),0)</f>
        <v>0</v>
      </c>
      <c r="AN75" s="43" t="n">
        <f aca="false">MIN(AM75,Ordem!$F$15)</f>
        <v>0</v>
      </c>
      <c r="AO75" s="43" t="n">
        <f aca="false">MAX(0,MIN(AM75-AN75,$B75-(E75+I75+M75+Q75+U75+Y75+AC75+AG75+AK75)))</f>
        <v>0</v>
      </c>
      <c r="AP75" s="43" t="n">
        <f aca="false">MAX(0,AM75-AN75-AO75)</f>
        <v>0</v>
      </c>
      <c r="AQ75" s="43" t="n">
        <f aca="false">F75+J75+N75+R75+V75+Z75+AD75+AH75+AL75+AP75</f>
        <v>0</v>
      </c>
      <c r="AR75" s="43" t="n">
        <f aca="false">D75+E75+H75+I75+L75+M75+P75+Q75+T75+U75+X75+Y75+AB75+AC75+AF75+AG75+AJ75+AK75+AN75+AO75</f>
        <v>0</v>
      </c>
    </row>
    <row r="76" customFormat="false" ht="15" hidden="false" customHeight="false" outlineLevel="0" collapsed="false">
      <c r="A76" s="0" t="n">
        <v>72</v>
      </c>
      <c r="B76" s="43" t="n">
        <f aca="false">MAX(0,Dívidas!$C$20-(D76+H76+L76+P76+T76+X76+AB76+AF76+AJ76+AN76))</f>
        <v>1450</v>
      </c>
      <c r="C76" s="43" t="n">
        <f aca="false">IF(F75&gt;0.005,F75*(1+Ordem!$E$6),0)</f>
        <v>0</v>
      </c>
      <c r="D76" s="43" t="n">
        <f aca="false">MIN(C76,Ordem!$F$6)</f>
        <v>0</v>
      </c>
      <c r="E76" s="43" t="n">
        <f aca="false">MAX(0,MIN(C76-D76,$B76-(0)))</f>
        <v>0</v>
      </c>
      <c r="F76" s="43" t="n">
        <f aca="false">MAX(0,C76-D76-E76)</f>
        <v>0</v>
      </c>
      <c r="G76" s="43" t="n">
        <f aca="false">IF(J75&gt;0.005,J75*(1+Ordem!$E$7),0)</f>
        <v>0</v>
      </c>
      <c r="H76" s="43" t="n">
        <f aca="false">MIN(G76,Ordem!$F$7)</f>
        <v>0</v>
      </c>
      <c r="I76" s="43" t="n">
        <f aca="false">MAX(0,MIN(G76-H76,$B76-(E76)))</f>
        <v>0</v>
      </c>
      <c r="J76" s="43" t="n">
        <f aca="false">MAX(0,G76-H76-I76)</f>
        <v>0</v>
      </c>
      <c r="K76" s="43" t="n">
        <f aca="false">IF(N75&gt;0.005,N75*(1+Ordem!$E$8),0)</f>
        <v>0</v>
      </c>
      <c r="L76" s="43" t="n">
        <f aca="false">MIN(K76,Ordem!$F$8)</f>
        <v>0</v>
      </c>
      <c r="M76" s="43" t="n">
        <f aca="false">MAX(0,MIN(K76-L76,$B76-(E76+I76)))</f>
        <v>0</v>
      </c>
      <c r="N76" s="43" t="n">
        <f aca="false">MAX(0,K76-L76-M76)</f>
        <v>0</v>
      </c>
      <c r="O76" s="43" t="n">
        <f aca="false">IF(R75&gt;0.005,R75*(1+Ordem!$E$9),0)</f>
        <v>0</v>
      </c>
      <c r="P76" s="43" t="n">
        <f aca="false">MIN(O76,Ordem!$F$9)</f>
        <v>0</v>
      </c>
      <c r="Q76" s="43" t="n">
        <f aca="false">MAX(0,MIN(O76-P76,$B76-(E76+I76+M76)))</f>
        <v>0</v>
      </c>
      <c r="R76" s="43" t="n">
        <f aca="false">MAX(0,O76-P76-Q76)</f>
        <v>0</v>
      </c>
      <c r="S76" s="43" t="n">
        <f aca="false">IF(V75&gt;0.005,V75*(1+Ordem!$E$10),0)</f>
        <v>0</v>
      </c>
      <c r="T76" s="43" t="n">
        <f aca="false">MIN(S76,Ordem!$F$10)</f>
        <v>0</v>
      </c>
      <c r="U76" s="43" t="n">
        <f aca="false">MAX(0,MIN(S76-T76,$B76-(E76+I76+M76+Q76)))</f>
        <v>0</v>
      </c>
      <c r="V76" s="43" t="n">
        <f aca="false">MAX(0,S76-T76-U76)</f>
        <v>0</v>
      </c>
      <c r="W76" s="43" t="n">
        <f aca="false">IF(Z75&gt;0.005,Z75*(1+Ordem!$E$11),0)</f>
        <v>0</v>
      </c>
      <c r="X76" s="43" t="n">
        <f aca="false">MIN(W76,Ordem!$F$11)</f>
        <v>0</v>
      </c>
      <c r="Y76" s="43" t="n">
        <f aca="false">MAX(0,MIN(W76-X76,$B76-(E76+I76+M76+Q76+U76)))</f>
        <v>0</v>
      </c>
      <c r="Z76" s="43" t="n">
        <f aca="false">MAX(0,W76-X76-Y76)</f>
        <v>0</v>
      </c>
      <c r="AA76" s="43" t="n">
        <f aca="false">IF(AD75&gt;0.005,AD75*(1+Ordem!$E$12),0)</f>
        <v>0</v>
      </c>
      <c r="AB76" s="43" t="n">
        <f aca="false">MIN(AA76,Ordem!$F$12)</f>
        <v>0</v>
      </c>
      <c r="AC76" s="43" t="n">
        <f aca="false">MAX(0,MIN(AA76-AB76,$B76-(E76+I76+M76+Q76+U76+Y76)))</f>
        <v>0</v>
      </c>
      <c r="AD76" s="43" t="n">
        <f aca="false">MAX(0,AA76-AB76-AC76)</f>
        <v>0</v>
      </c>
      <c r="AE76" s="43" t="n">
        <f aca="false">IF(AH75&gt;0.005,AH75*(1+Ordem!$E$13),0)</f>
        <v>0</v>
      </c>
      <c r="AF76" s="43" t="n">
        <f aca="false">MIN(AE76,Ordem!$F$13)</f>
        <v>0</v>
      </c>
      <c r="AG76" s="43" t="n">
        <f aca="false">MAX(0,MIN(AE76-AF76,$B76-(E76+I76+M76+Q76+U76+Y76+AC76)))</f>
        <v>0</v>
      </c>
      <c r="AH76" s="43" t="n">
        <f aca="false">MAX(0,AE76-AF76-AG76)</f>
        <v>0</v>
      </c>
      <c r="AI76" s="43" t="n">
        <f aca="false">IF(AL75&gt;0.005,AL75*(1+Ordem!$E$14),0)</f>
        <v>0</v>
      </c>
      <c r="AJ76" s="43" t="n">
        <f aca="false">MIN(AI76,Ordem!$F$14)</f>
        <v>0</v>
      </c>
      <c r="AK76" s="43" t="n">
        <f aca="false">MAX(0,MIN(AI76-AJ76,$B76-(E76+I76+M76+Q76+U76+Y76+AC76+AG76)))</f>
        <v>0</v>
      </c>
      <c r="AL76" s="43" t="n">
        <f aca="false">MAX(0,AI76-AJ76-AK76)</f>
        <v>0</v>
      </c>
      <c r="AM76" s="43" t="n">
        <f aca="false">IF(AP75&gt;0.005,AP75*(1+Ordem!$E$15),0)</f>
        <v>0</v>
      </c>
      <c r="AN76" s="43" t="n">
        <f aca="false">MIN(AM76,Ordem!$F$15)</f>
        <v>0</v>
      </c>
      <c r="AO76" s="43" t="n">
        <f aca="false">MAX(0,MIN(AM76-AN76,$B76-(E76+I76+M76+Q76+U76+Y76+AC76+AG76+AK76)))</f>
        <v>0</v>
      </c>
      <c r="AP76" s="43" t="n">
        <f aca="false">MAX(0,AM76-AN76-AO76)</f>
        <v>0</v>
      </c>
      <c r="AQ76" s="43" t="n">
        <f aca="false">F76+J76+N76+R76+V76+Z76+AD76+AH76+AL76+AP76</f>
        <v>0</v>
      </c>
      <c r="AR76" s="43" t="n">
        <f aca="false">D76+E76+H76+I76+L76+M76+P76+Q76+T76+U76+X76+Y76+AB76+AC76+AF76+AG76+AJ76+AK76+AN76+AO76</f>
        <v>0</v>
      </c>
    </row>
    <row r="77" customFormat="false" ht="15" hidden="false" customHeight="false" outlineLevel="0" collapsed="false">
      <c r="A77" s="0" t="n">
        <v>73</v>
      </c>
      <c r="B77" s="43" t="n">
        <f aca="false">MAX(0,Dívidas!$C$20-(D77+H77+L77+P77+T77+X77+AB77+AF77+AJ77+AN77))</f>
        <v>1450</v>
      </c>
      <c r="C77" s="43" t="n">
        <f aca="false">IF(F76&gt;0.005,F76*(1+Ordem!$E$6),0)</f>
        <v>0</v>
      </c>
      <c r="D77" s="43" t="n">
        <f aca="false">MIN(C77,Ordem!$F$6)</f>
        <v>0</v>
      </c>
      <c r="E77" s="43" t="n">
        <f aca="false">MAX(0,MIN(C77-D77,$B77-(0)))</f>
        <v>0</v>
      </c>
      <c r="F77" s="43" t="n">
        <f aca="false">MAX(0,C77-D77-E77)</f>
        <v>0</v>
      </c>
      <c r="G77" s="43" t="n">
        <f aca="false">IF(J76&gt;0.005,J76*(1+Ordem!$E$7),0)</f>
        <v>0</v>
      </c>
      <c r="H77" s="43" t="n">
        <f aca="false">MIN(G77,Ordem!$F$7)</f>
        <v>0</v>
      </c>
      <c r="I77" s="43" t="n">
        <f aca="false">MAX(0,MIN(G77-H77,$B77-(E77)))</f>
        <v>0</v>
      </c>
      <c r="J77" s="43" t="n">
        <f aca="false">MAX(0,G77-H77-I77)</f>
        <v>0</v>
      </c>
      <c r="K77" s="43" t="n">
        <f aca="false">IF(N76&gt;0.005,N76*(1+Ordem!$E$8),0)</f>
        <v>0</v>
      </c>
      <c r="L77" s="43" t="n">
        <f aca="false">MIN(K77,Ordem!$F$8)</f>
        <v>0</v>
      </c>
      <c r="M77" s="43" t="n">
        <f aca="false">MAX(0,MIN(K77-L77,$B77-(E77+I77)))</f>
        <v>0</v>
      </c>
      <c r="N77" s="43" t="n">
        <f aca="false">MAX(0,K77-L77-M77)</f>
        <v>0</v>
      </c>
      <c r="O77" s="43" t="n">
        <f aca="false">IF(R76&gt;0.005,R76*(1+Ordem!$E$9),0)</f>
        <v>0</v>
      </c>
      <c r="P77" s="43" t="n">
        <f aca="false">MIN(O77,Ordem!$F$9)</f>
        <v>0</v>
      </c>
      <c r="Q77" s="43" t="n">
        <f aca="false">MAX(0,MIN(O77-P77,$B77-(E77+I77+M77)))</f>
        <v>0</v>
      </c>
      <c r="R77" s="43" t="n">
        <f aca="false">MAX(0,O77-P77-Q77)</f>
        <v>0</v>
      </c>
      <c r="S77" s="43" t="n">
        <f aca="false">IF(V76&gt;0.005,V76*(1+Ordem!$E$10),0)</f>
        <v>0</v>
      </c>
      <c r="T77" s="43" t="n">
        <f aca="false">MIN(S77,Ordem!$F$10)</f>
        <v>0</v>
      </c>
      <c r="U77" s="43" t="n">
        <f aca="false">MAX(0,MIN(S77-T77,$B77-(E77+I77+M77+Q77)))</f>
        <v>0</v>
      </c>
      <c r="V77" s="43" t="n">
        <f aca="false">MAX(0,S77-T77-U77)</f>
        <v>0</v>
      </c>
      <c r="W77" s="43" t="n">
        <f aca="false">IF(Z76&gt;0.005,Z76*(1+Ordem!$E$11),0)</f>
        <v>0</v>
      </c>
      <c r="X77" s="43" t="n">
        <f aca="false">MIN(W77,Ordem!$F$11)</f>
        <v>0</v>
      </c>
      <c r="Y77" s="43" t="n">
        <f aca="false">MAX(0,MIN(W77-X77,$B77-(E77+I77+M77+Q77+U77)))</f>
        <v>0</v>
      </c>
      <c r="Z77" s="43" t="n">
        <f aca="false">MAX(0,W77-X77-Y77)</f>
        <v>0</v>
      </c>
      <c r="AA77" s="43" t="n">
        <f aca="false">IF(AD76&gt;0.005,AD76*(1+Ordem!$E$12),0)</f>
        <v>0</v>
      </c>
      <c r="AB77" s="43" t="n">
        <f aca="false">MIN(AA77,Ordem!$F$12)</f>
        <v>0</v>
      </c>
      <c r="AC77" s="43" t="n">
        <f aca="false">MAX(0,MIN(AA77-AB77,$B77-(E77+I77+M77+Q77+U77+Y77)))</f>
        <v>0</v>
      </c>
      <c r="AD77" s="43" t="n">
        <f aca="false">MAX(0,AA77-AB77-AC77)</f>
        <v>0</v>
      </c>
      <c r="AE77" s="43" t="n">
        <f aca="false">IF(AH76&gt;0.005,AH76*(1+Ordem!$E$13),0)</f>
        <v>0</v>
      </c>
      <c r="AF77" s="43" t="n">
        <f aca="false">MIN(AE77,Ordem!$F$13)</f>
        <v>0</v>
      </c>
      <c r="AG77" s="43" t="n">
        <f aca="false">MAX(0,MIN(AE77-AF77,$B77-(E77+I77+M77+Q77+U77+Y77+AC77)))</f>
        <v>0</v>
      </c>
      <c r="AH77" s="43" t="n">
        <f aca="false">MAX(0,AE77-AF77-AG77)</f>
        <v>0</v>
      </c>
      <c r="AI77" s="43" t="n">
        <f aca="false">IF(AL76&gt;0.005,AL76*(1+Ordem!$E$14),0)</f>
        <v>0</v>
      </c>
      <c r="AJ77" s="43" t="n">
        <f aca="false">MIN(AI77,Ordem!$F$14)</f>
        <v>0</v>
      </c>
      <c r="AK77" s="43" t="n">
        <f aca="false">MAX(0,MIN(AI77-AJ77,$B77-(E77+I77+M77+Q77+U77+Y77+AC77+AG77)))</f>
        <v>0</v>
      </c>
      <c r="AL77" s="43" t="n">
        <f aca="false">MAX(0,AI77-AJ77-AK77)</f>
        <v>0</v>
      </c>
      <c r="AM77" s="43" t="n">
        <f aca="false">IF(AP76&gt;0.005,AP76*(1+Ordem!$E$15),0)</f>
        <v>0</v>
      </c>
      <c r="AN77" s="43" t="n">
        <f aca="false">MIN(AM77,Ordem!$F$15)</f>
        <v>0</v>
      </c>
      <c r="AO77" s="43" t="n">
        <f aca="false">MAX(0,MIN(AM77-AN77,$B77-(E77+I77+M77+Q77+U77+Y77+AC77+AG77+AK77)))</f>
        <v>0</v>
      </c>
      <c r="AP77" s="43" t="n">
        <f aca="false">MAX(0,AM77-AN77-AO77)</f>
        <v>0</v>
      </c>
      <c r="AQ77" s="43" t="n">
        <f aca="false">F77+J77+N77+R77+V77+Z77+AD77+AH77+AL77+AP77</f>
        <v>0</v>
      </c>
      <c r="AR77" s="43" t="n">
        <f aca="false">D77+E77+H77+I77+L77+M77+P77+Q77+T77+U77+X77+Y77+AB77+AC77+AF77+AG77+AJ77+AK77+AN77+AO77</f>
        <v>0</v>
      </c>
    </row>
    <row r="78" customFormat="false" ht="15" hidden="false" customHeight="false" outlineLevel="0" collapsed="false">
      <c r="A78" s="0" t="n">
        <v>74</v>
      </c>
      <c r="B78" s="43" t="n">
        <f aca="false">MAX(0,Dívidas!$C$20-(D78+H78+L78+P78+T78+X78+AB78+AF78+AJ78+AN78))</f>
        <v>1450</v>
      </c>
      <c r="C78" s="43" t="n">
        <f aca="false">IF(F77&gt;0.005,F77*(1+Ordem!$E$6),0)</f>
        <v>0</v>
      </c>
      <c r="D78" s="43" t="n">
        <f aca="false">MIN(C78,Ordem!$F$6)</f>
        <v>0</v>
      </c>
      <c r="E78" s="43" t="n">
        <f aca="false">MAX(0,MIN(C78-D78,$B78-(0)))</f>
        <v>0</v>
      </c>
      <c r="F78" s="43" t="n">
        <f aca="false">MAX(0,C78-D78-E78)</f>
        <v>0</v>
      </c>
      <c r="G78" s="43" t="n">
        <f aca="false">IF(J77&gt;0.005,J77*(1+Ordem!$E$7),0)</f>
        <v>0</v>
      </c>
      <c r="H78" s="43" t="n">
        <f aca="false">MIN(G78,Ordem!$F$7)</f>
        <v>0</v>
      </c>
      <c r="I78" s="43" t="n">
        <f aca="false">MAX(0,MIN(G78-H78,$B78-(E78)))</f>
        <v>0</v>
      </c>
      <c r="J78" s="43" t="n">
        <f aca="false">MAX(0,G78-H78-I78)</f>
        <v>0</v>
      </c>
      <c r="K78" s="43" t="n">
        <f aca="false">IF(N77&gt;0.005,N77*(1+Ordem!$E$8),0)</f>
        <v>0</v>
      </c>
      <c r="L78" s="43" t="n">
        <f aca="false">MIN(K78,Ordem!$F$8)</f>
        <v>0</v>
      </c>
      <c r="M78" s="43" t="n">
        <f aca="false">MAX(0,MIN(K78-L78,$B78-(E78+I78)))</f>
        <v>0</v>
      </c>
      <c r="N78" s="43" t="n">
        <f aca="false">MAX(0,K78-L78-M78)</f>
        <v>0</v>
      </c>
      <c r="O78" s="43" t="n">
        <f aca="false">IF(R77&gt;0.005,R77*(1+Ordem!$E$9),0)</f>
        <v>0</v>
      </c>
      <c r="P78" s="43" t="n">
        <f aca="false">MIN(O78,Ordem!$F$9)</f>
        <v>0</v>
      </c>
      <c r="Q78" s="43" t="n">
        <f aca="false">MAX(0,MIN(O78-P78,$B78-(E78+I78+M78)))</f>
        <v>0</v>
      </c>
      <c r="R78" s="43" t="n">
        <f aca="false">MAX(0,O78-P78-Q78)</f>
        <v>0</v>
      </c>
      <c r="S78" s="43" t="n">
        <f aca="false">IF(V77&gt;0.005,V77*(1+Ordem!$E$10),0)</f>
        <v>0</v>
      </c>
      <c r="T78" s="43" t="n">
        <f aca="false">MIN(S78,Ordem!$F$10)</f>
        <v>0</v>
      </c>
      <c r="U78" s="43" t="n">
        <f aca="false">MAX(0,MIN(S78-T78,$B78-(E78+I78+M78+Q78)))</f>
        <v>0</v>
      </c>
      <c r="V78" s="43" t="n">
        <f aca="false">MAX(0,S78-T78-U78)</f>
        <v>0</v>
      </c>
      <c r="W78" s="43" t="n">
        <f aca="false">IF(Z77&gt;0.005,Z77*(1+Ordem!$E$11),0)</f>
        <v>0</v>
      </c>
      <c r="X78" s="43" t="n">
        <f aca="false">MIN(W78,Ordem!$F$11)</f>
        <v>0</v>
      </c>
      <c r="Y78" s="43" t="n">
        <f aca="false">MAX(0,MIN(W78-X78,$B78-(E78+I78+M78+Q78+U78)))</f>
        <v>0</v>
      </c>
      <c r="Z78" s="43" t="n">
        <f aca="false">MAX(0,W78-X78-Y78)</f>
        <v>0</v>
      </c>
      <c r="AA78" s="43" t="n">
        <f aca="false">IF(AD77&gt;0.005,AD77*(1+Ordem!$E$12),0)</f>
        <v>0</v>
      </c>
      <c r="AB78" s="43" t="n">
        <f aca="false">MIN(AA78,Ordem!$F$12)</f>
        <v>0</v>
      </c>
      <c r="AC78" s="43" t="n">
        <f aca="false">MAX(0,MIN(AA78-AB78,$B78-(E78+I78+M78+Q78+U78+Y78)))</f>
        <v>0</v>
      </c>
      <c r="AD78" s="43" t="n">
        <f aca="false">MAX(0,AA78-AB78-AC78)</f>
        <v>0</v>
      </c>
      <c r="AE78" s="43" t="n">
        <f aca="false">IF(AH77&gt;0.005,AH77*(1+Ordem!$E$13),0)</f>
        <v>0</v>
      </c>
      <c r="AF78" s="43" t="n">
        <f aca="false">MIN(AE78,Ordem!$F$13)</f>
        <v>0</v>
      </c>
      <c r="AG78" s="43" t="n">
        <f aca="false">MAX(0,MIN(AE78-AF78,$B78-(E78+I78+M78+Q78+U78+Y78+AC78)))</f>
        <v>0</v>
      </c>
      <c r="AH78" s="43" t="n">
        <f aca="false">MAX(0,AE78-AF78-AG78)</f>
        <v>0</v>
      </c>
      <c r="AI78" s="43" t="n">
        <f aca="false">IF(AL77&gt;0.005,AL77*(1+Ordem!$E$14),0)</f>
        <v>0</v>
      </c>
      <c r="AJ78" s="43" t="n">
        <f aca="false">MIN(AI78,Ordem!$F$14)</f>
        <v>0</v>
      </c>
      <c r="AK78" s="43" t="n">
        <f aca="false">MAX(0,MIN(AI78-AJ78,$B78-(E78+I78+M78+Q78+U78+Y78+AC78+AG78)))</f>
        <v>0</v>
      </c>
      <c r="AL78" s="43" t="n">
        <f aca="false">MAX(0,AI78-AJ78-AK78)</f>
        <v>0</v>
      </c>
      <c r="AM78" s="43" t="n">
        <f aca="false">IF(AP77&gt;0.005,AP77*(1+Ordem!$E$15),0)</f>
        <v>0</v>
      </c>
      <c r="AN78" s="43" t="n">
        <f aca="false">MIN(AM78,Ordem!$F$15)</f>
        <v>0</v>
      </c>
      <c r="AO78" s="43" t="n">
        <f aca="false">MAX(0,MIN(AM78-AN78,$B78-(E78+I78+M78+Q78+U78+Y78+AC78+AG78+AK78)))</f>
        <v>0</v>
      </c>
      <c r="AP78" s="43" t="n">
        <f aca="false">MAX(0,AM78-AN78-AO78)</f>
        <v>0</v>
      </c>
      <c r="AQ78" s="43" t="n">
        <f aca="false">F78+J78+N78+R78+V78+Z78+AD78+AH78+AL78+AP78</f>
        <v>0</v>
      </c>
      <c r="AR78" s="43" t="n">
        <f aca="false">D78+E78+H78+I78+L78+M78+P78+Q78+T78+U78+X78+Y78+AB78+AC78+AF78+AG78+AJ78+AK78+AN78+AO78</f>
        <v>0</v>
      </c>
    </row>
    <row r="79" customFormat="false" ht="15" hidden="false" customHeight="false" outlineLevel="0" collapsed="false">
      <c r="A79" s="0" t="n">
        <v>75</v>
      </c>
      <c r="B79" s="43" t="n">
        <f aca="false">MAX(0,Dívidas!$C$20-(D79+H79+L79+P79+T79+X79+AB79+AF79+AJ79+AN79))</f>
        <v>1450</v>
      </c>
      <c r="C79" s="43" t="n">
        <f aca="false">IF(F78&gt;0.005,F78*(1+Ordem!$E$6),0)</f>
        <v>0</v>
      </c>
      <c r="D79" s="43" t="n">
        <f aca="false">MIN(C79,Ordem!$F$6)</f>
        <v>0</v>
      </c>
      <c r="E79" s="43" t="n">
        <f aca="false">MAX(0,MIN(C79-D79,$B79-(0)))</f>
        <v>0</v>
      </c>
      <c r="F79" s="43" t="n">
        <f aca="false">MAX(0,C79-D79-E79)</f>
        <v>0</v>
      </c>
      <c r="G79" s="43" t="n">
        <f aca="false">IF(J78&gt;0.005,J78*(1+Ordem!$E$7),0)</f>
        <v>0</v>
      </c>
      <c r="H79" s="43" t="n">
        <f aca="false">MIN(G79,Ordem!$F$7)</f>
        <v>0</v>
      </c>
      <c r="I79" s="43" t="n">
        <f aca="false">MAX(0,MIN(G79-H79,$B79-(E79)))</f>
        <v>0</v>
      </c>
      <c r="J79" s="43" t="n">
        <f aca="false">MAX(0,G79-H79-I79)</f>
        <v>0</v>
      </c>
      <c r="K79" s="43" t="n">
        <f aca="false">IF(N78&gt;0.005,N78*(1+Ordem!$E$8),0)</f>
        <v>0</v>
      </c>
      <c r="L79" s="43" t="n">
        <f aca="false">MIN(K79,Ordem!$F$8)</f>
        <v>0</v>
      </c>
      <c r="M79" s="43" t="n">
        <f aca="false">MAX(0,MIN(K79-L79,$B79-(E79+I79)))</f>
        <v>0</v>
      </c>
      <c r="N79" s="43" t="n">
        <f aca="false">MAX(0,K79-L79-M79)</f>
        <v>0</v>
      </c>
      <c r="O79" s="43" t="n">
        <f aca="false">IF(R78&gt;0.005,R78*(1+Ordem!$E$9),0)</f>
        <v>0</v>
      </c>
      <c r="P79" s="43" t="n">
        <f aca="false">MIN(O79,Ordem!$F$9)</f>
        <v>0</v>
      </c>
      <c r="Q79" s="43" t="n">
        <f aca="false">MAX(0,MIN(O79-P79,$B79-(E79+I79+M79)))</f>
        <v>0</v>
      </c>
      <c r="R79" s="43" t="n">
        <f aca="false">MAX(0,O79-P79-Q79)</f>
        <v>0</v>
      </c>
      <c r="S79" s="43" t="n">
        <f aca="false">IF(V78&gt;0.005,V78*(1+Ordem!$E$10),0)</f>
        <v>0</v>
      </c>
      <c r="T79" s="43" t="n">
        <f aca="false">MIN(S79,Ordem!$F$10)</f>
        <v>0</v>
      </c>
      <c r="U79" s="43" t="n">
        <f aca="false">MAX(0,MIN(S79-T79,$B79-(E79+I79+M79+Q79)))</f>
        <v>0</v>
      </c>
      <c r="V79" s="43" t="n">
        <f aca="false">MAX(0,S79-T79-U79)</f>
        <v>0</v>
      </c>
      <c r="W79" s="43" t="n">
        <f aca="false">IF(Z78&gt;0.005,Z78*(1+Ordem!$E$11),0)</f>
        <v>0</v>
      </c>
      <c r="X79" s="43" t="n">
        <f aca="false">MIN(W79,Ordem!$F$11)</f>
        <v>0</v>
      </c>
      <c r="Y79" s="43" t="n">
        <f aca="false">MAX(0,MIN(W79-X79,$B79-(E79+I79+M79+Q79+U79)))</f>
        <v>0</v>
      </c>
      <c r="Z79" s="43" t="n">
        <f aca="false">MAX(0,W79-X79-Y79)</f>
        <v>0</v>
      </c>
      <c r="AA79" s="43" t="n">
        <f aca="false">IF(AD78&gt;0.005,AD78*(1+Ordem!$E$12),0)</f>
        <v>0</v>
      </c>
      <c r="AB79" s="43" t="n">
        <f aca="false">MIN(AA79,Ordem!$F$12)</f>
        <v>0</v>
      </c>
      <c r="AC79" s="43" t="n">
        <f aca="false">MAX(0,MIN(AA79-AB79,$B79-(E79+I79+M79+Q79+U79+Y79)))</f>
        <v>0</v>
      </c>
      <c r="AD79" s="43" t="n">
        <f aca="false">MAX(0,AA79-AB79-AC79)</f>
        <v>0</v>
      </c>
      <c r="AE79" s="43" t="n">
        <f aca="false">IF(AH78&gt;0.005,AH78*(1+Ordem!$E$13),0)</f>
        <v>0</v>
      </c>
      <c r="AF79" s="43" t="n">
        <f aca="false">MIN(AE79,Ordem!$F$13)</f>
        <v>0</v>
      </c>
      <c r="AG79" s="43" t="n">
        <f aca="false">MAX(0,MIN(AE79-AF79,$B79-(E79+I79+M79+Q79+U79+Y79+AC79)))</f>
        <v>0</v>
      </c>
      <c r="AH79" s="43" t="n">
        <f aca="false">MAX(0,AE79-AF79-AG79)</f>
        <v>0</v>
      </c>
      <c r="AI79" s="43" t="n">
        <f aca="false">IF(AL78&gt;0.005,AL78*(1+Ordem!$E$14),0)</f>
        <v>0</v>
      </c>
      <c r="AJ79" s="43" t="n">
        <f aca="false">MIN(AI79,Ordem!$F$14)</f>
        <v>0</v>
      </c>
      <c r="AK79" s="43" t="n">
        <f aca="false">MAX(0,MIN(AI79-AJ79,$B79-(E79+I79+M79+Q79+U79+Y79+AC79+AG79)))</f>
        <v>0</v>
      </c>
      <c r="AL79" s="43" t="n">
        <f aca="false">MAX(0,AI79-AJ79-AK79)</f>
        <v>0</v>
      </c>
      <c r="AM79" s="43" t="n">
        <f aca="false">IF(AP78&gt;0.005,AP78*(1+Ordem!$E$15),0)</f>
        <v>0</v>
      </c>
      <c r="AN79" s="43" t="n">
        <f aca="false">MIN(AM79,Ordem!$F$15)</f>
        <v>0</v>
      </c>
      <c r="AO79" s="43" t="n">
        <f aca="false">MAX(0,MIN(AM79-AN79,$B79-(E79+I79+M79+Q79+U79+Y79+AC79+AG79+AK79)))</f>
        <v>0</v>
      </c>
      <c r="AP79" s="43" t="n">
        <f aca="false">MAX(0,AM79-AN79-AO79)</f>
        <v>0</v>
      </c>
      <c r="AQ79" s="43" t="n">
        <f aca="false">F79+J79+N79+R79+V79+Z79+AD79+AH79+AL79+AP79</f>
        <v>0</v>
      </c>
      <c r="AR79" s="43" t="n">
        <f aca="false">D79+E79+H79+I79+L79+M79+P79+Q79+T79+U79+X79+Y79+AB79+AC79+AF79+AG79+AJ79+AK79+AN79+AO79</f>
        <v>0</v>
      </c>
    </row>
    <row r="80" customFormat="false" ht="15" hidden="false" customHeight="false" outlineLevel="0" collapsed="false">
      <c r="A80" s="0" t="n">
        <v>76</v>
      </c>
      <c r="B80" s="43" t="n">
        <f aca="false">MAX(0,Dívidas!$C$20-(D80+H80+L80+P80+T80+X80+AB80+AF80+AJ80+AN80))</f>
        <v>1450</v>
      </c>
      <c r="C80" s="43" t="n">
        <f aca="false">IF(F79&gt;0.005,F79*(1+Ordem!$E$6),0)</f>
        <v>0</v>
      </c>
      <c r="D80" s="43" t="n">
        <f aca="false">MIN(C80,Ordem!$F$6)</f>
        <v>0</v>
      </c>
      <c r="E80" s="43" t="n">
        <f aca="false">MAX(0,MIN(C80-D80,$B80-(0)))</f>
        <v>0</v>
      </c>
      <c r="F80" s="43" t="n">
        <f aca="false">MAX(0,C80-D80-E80)</f>
        <v>0</v>
      </c>
      <c r="G80" s="43" t="n">
        <f aca="false">IF(J79&gt;0.005,J79*(1+Ordem!$E$7),0)</f>
        <v>0</v>
      </c>
      <c r="H80" s="43" t="n">
        <f aca="false">MIN(G80,Ordem!$F$7)</f>
        <v>0</v>
      </c>
      <c r="I80" s="43" t="n">
        <f aca="false">MAX(0,MIN(G80-H80,$B80-(E80)))</f>
        <v>0</v>
      </c>
      <c r="J80" s="43" t="n">
        <f aca="false">MAX(0,G80-H80-I80)</f>
        <v>0</v>
      </c>
      <c r="K80" s="43" t="n">
        <f aca="false">IF(N79&gt;0.005,N79*(1+Ordem!$E$8),0)</f>
        <v>0</v>
      </c>
      <c r="L80" s="43" t="n">
        <f aca="false">MIN(K80,Ordem!$F$8)</f>
        <v>0</v>
      </c>
      <c r="M80" s="43" t="n">
        <f aca="false">MAX(0,MIN(K80-L80,$B80-(E80+I80)))</f>
        <v>0</v>
      </c>
      <c r="N80" s="43" t="n">
        <f aca="false">MAX(0,K80-L80-M80)</f>
        <v>0</v>
      </c>
      <c r="O80" s="43" t="n">
        <f aca="false">IF(R79&gt;0.005,R79*(1+Ordem!$E$9),0)</f>
        <v>0</v>
      </c>
      <c r="P80" s="43" t="n">
        <f aca="false">MIN(O80,Ordem!$F$9)</f>
        <v>0</v>
      </c>
      <c r="Q80" s="43" t="n">
        <f aca="false">MAX(0,MIN(O80-P80,$B80-(E80+I80+M80)))</f>
        <v>0</v>
      </c>
      <c r="R80" s="43" t="n">
        <f aca="false">MAX(0,O80-P80-Q80)</f>
        <v>0</v>
      </c>
      <c r="S80" s="43" t="n">
        <f aca="false">IF(V79&gt;0.005,V79*(1+Ordem!$E$10),0)</f>
        <v>0</v>
      </c>
      <c r="T80" s="43" t="n">
        <f aca="false">MIN(S80,Ordem!$F$10)</f>
        <v>0</v>
      </c>
      <c r="U80" s="43" t="n">
        <f aca="false">MAX(0,MIN(S80-T80,$B80-(E80+I80+M80+Q80)))</f>
        <v>0</v>
      </c>
      <c r="V80" s="43" t="n">
        <f aca="false">MAX(0,S80-T80-U80)</f>
        <v>0</v>
      </c>
      <c r="W80" s="43" t="n">
        <f aca="false">IF(Z79&gt;0.005,Z79*(1+Ordem!$E$11),0)</f>
        <v>0</v>
      </c>
      <c r="X80" s="43" t="n">
        <f aca="false">MIN(W80,Ordem!$F$11)</f>
        <v>0</v>
      </c>
      <c r="Y80" s="43" t="n">
        <f aca="false">MAX(0,MIN(W80-X80,$B80-(E80+I80+M80+Q80+U80)))</f>
        <v>0</v>
      </c>
      <c r="Z80" s="43" t="n">
        <f aca="false">MAX(0,W80-X80-Y80)</f>
        <v>0</v>
      </c>
      <c r="AA80" s="43" t="n">
        <f aca="false">IF(AD79&gt;0.005,AD79*(1+Ordem!$E$12),0)</f>
        <v>0</v>
      </c>
      <c r="AB80" s="43" t="n">
        <f aca="false">MIN(AA80,Ordem!$F$12)</f>
        <v>0</v>
      </c>
      <c r="AC80" s="43" t="n">
        <f aca="false">MAX(0,MIN(AA80-AB80,$B80-(E80+I80+M80+Q80+U80+Y80)))</f>
        <v>0</v>
      </c>
      <c r="AD80" s="43" t="n">
        <f aca="false">MAX(0,AA80-AB80-AC80)</f>
        <v>0</v>
      </c>
      <c r="AE80" s="43" t="n">
        <f aca="false">IF(AH79&gt;0.005,AH79*(1+Ordem!$E$13),0)</f>
        <v>0</v>
      </c>
      <c r="AF80" s="43" t="n">
        <f aca="false">MIN(AE80,Ordem!$F$13)</f>
        <v>0</v>
      </c>
      <c r="AG80" s="43" t="n">
        <f aca="false">MAX(0,MIN(AE80-AF80,$B80-(E80+I80+M80+Q80+U80+Y80+AC80)))</f>
        <v>0</v>
      </c>
      <c r="AH80" s="43" t="n">
        <f aca="false">MAX(0,AE80-AF80-AG80)</f>
        <v>0</v>
      </c>
      <c r="AI80" s="43" t="n">
        <f aca="false">IF(AL79&gt;0.005,AL79*(1+Ordem!$E$14),0)</f>
        <v>0</v>
      </c>
      <c r="AJ80" s="43" t="n">
        <f aca="false">MIN(AI80,Ordem!$F$14)</f>
        <v>0</v>
      </c>
      <c r="AK80" s="43" t="n">
        <f aca="false">MAX(0,MIN(AI80-AJ80,$B80-(E80+I80+M80+Q80+U80+Y80+AC80+AG80)))</f>
        <v>0</v>
      </c>
      <c r="AL80" s="43" t="n">
        <f aca="false">MAX(0,AI80-AJ80-AK80)</f>
        <v>0</v>
      </c>
      <c r="AM80" s="43" t="n">
        <f aca="false">IF(AP79&gt;0.005,AP79*(1+Ordem!$E$15),0)</f>
        <v>0</v>
      </c>
      <c r="AN80" s="43" t="n">
        <f aca="false">MIN(AM80,Ordem!$F$15)</f>
        <v>0</v>
      </c>
      <c r="AO80" s="43" t="n">
        <f aca="false">MAX(0,MIN(AM80-AN80,$B80-(E80+I80+M80+Q80+U80+Y80+AC80+AG80+AK80)))</f>
        <v>0</v>
      </c>
      <c r="AP80" s="43" t="n">
        <f aca="false">MAX(0,AM80-AN80-AO80)</f>
        <v>0</v>
      </c>
      <c r="AQ80" s="43" t="n">
        <f aca="false">F80+J80+N80+R80+V80+Z80+AD80+AH80+AL80+AP80</f>
        <v>0</v>
      </c>
      <c r="AR80" s="43" t="n">
        <f aca="false">D80+E80+H80+I80+L80+M80+P80+Q80+T80+U80+X80+Y80+AB80+AC80+AF80+AG80+AJ80+AK80+AN80+AO80</f>
        <v>0</v>
      </c>
    </row>
    <row r="81" customFormat="false" ht="15" hidden="false" customHeight="false" outlineLevel="0" collapsed="false">
      <c r="A81" s="0" t="n">
        <v>77</v>
      </c>
      <c r="B81" s="43" t="n">
        <f aca="false">MAX(0,Dívidas!$C$20-(D81+H81+L81+P81+T81+X81+AB81+AF81+AJ81+AN81))</f>
        <v>1450</v>
      </c>
      <c r="C81" s="43" t="n">
        <f aca="false">IF(F80&gt;0.005,F80*(1+Ordem!$E$6),0)</f>
        <v>0</v>
      </c>
      <c r="D81" s="43" t="n">
        <f aca="false">MIN(C81,Ordem!$F$6)</f>
        <v>0</v>
      </c>
      <c r="E81" s="43" t="n">
        <f aca="false">MAX(0,MIN(C81-D81,$B81-(0)))</f>
        <v>0</v>
      </c>
      <c r="F81" s="43" t="n">
        <f aca="false">MAX(0,C81-D81-E81)</f>
        <v>0</v>
      </c>
      <c r="G81" s="43" t="n">
        <f aca="false">IF(J80&gt;0.005,J80*(1+Ordem!$E$7),0)</f>
        <v>0</v>
      </c>
      <c r="H81" s="43" t="n">
        <f aca="false">MIN(G81,Ordem!$F$7)</f>
        <v>0</v>
      </c>
      <c r="I81" s="43" t="n">
        <f aca="false">MAX(0,MIN(G81-H81,$B81-(E81)))</f>
        <v>0</v>
      </c>
      <c r="J81" s="43" t="n">
        <f aca="false">MAX(0,G81-H81-I81)</f>
        <v>0</v>
      </c>
      <c r="K81" s="43" t="n">
        <f aca="false">IF(N80&gt;0.005,N80*(1+Ordem!$E$8),0)</f>
        <v>0</v>
      </c>
      <c r="L81" s="43" t="n">
        <f aca="false">MIN(K81,Ordem!$F$8)</f>
        <v>0</v>
      </c>
      <c r="M81" s="43" t="n">
        <f aca="false">MAX(0,MIN(K81-L81,$B81-(E81+I81)))</f>
        <v>0</v>
      </c>
      <c r="N81" s="43" t="n">
        <f aca="false">MAX(0,K81-L81-M81)</f>
        <v>0</v>
      </c>
      <c r="O81" s="43" t="n">
        <f aca="false">IF(R80&gt;0.005,R80*(1+Ordem!$E$9),0)</f>
        <v>0</v>
      </c>
      <c r="P81" s="43" t="n">
        <f aca="false">MIN(O81,Ordem!$F$9)</f>
        <v>0</v>
      </c>
      <c r="Q81" s="43" t="n">
        <f aca="false">MAX(0,MIN(O81-P81,$B81-(E81+I81+M81)))</f>
        <v>0</v>
      </c>
      <c r="R81" s="43" t="n">
        <f aca="false">MAX(0,O81-P81-Q81)</f>
        <v>0</v>
      </c>
      <c r="S81" s="43" t="n">
        <f aca="false">IF(V80&gt;0.005,V80*(1+Ordem!$E$10),0)</f>
        <v>0</v>
      </c>
      <c r="T81" s="43" t="n">
        <f aca="false">MIN(S81,Ordem!$F$10)</f>
        <v>0</v>
      </c>
      <c r="U81" s="43" t="n">
        <f aca="false">MAX(0,MIN(S81-T81,$B81-(E81+I81+M81+Q81)))</f>
        <v>0</v>
      </c>
      <c r="V81" s="43" t="n">
        <f aca="false">MAX(0,S81-T81-U81)</f>
        <v>0</v>
      </c>
      <c r="W81" s="43" t="n">
        <f aca="false">IF(Z80&gt;0.005,Z80*(1+Ordem!$E$11),0)</f>
        <v>0</v>
      </c>
      <c r="X81" s="43" t="n">
        <f aca="false">MIN(W81,Ordem!$F$11)</f>
        <v>0</v>
      </c>
      <c r="Y81" s="43" t="n">
        <f aca="false">MAX(0,MIN(W81-X81,$B81-(E81+I81+M81+Q81+U81)))</f>
        <v>0</v>
      </c>
      <c r="Z81" s="43" t="n">
        <f aca="false">MAX(0,W81-X81-Y81)</f>
        <v>0</v>
      </c>
      <c r="AA81" s="43" t="n">
        <f aca="false">IF(AD80&gt;0.005,AD80*(1+Ordem!$E$12),0)</f>
        <v>0</v>
      </c>
      <c r="AB81" s="43" t="n">
        <f aca="false">MIN(AA81,Ordem!$F$12)</f>
        <v>0</v>
      </c>
      <c r="AC81" s="43" t="n">
        <f aca="false">MAX(0,MIN(AA81-AB81,$B81-(E81+I81+M81+Q81+U81+Y81)))</f>
        <v>0</v>
      </c>
      <c r="AD81" s="43" t="n">
        <f aca="false">MAX(0,AA81-AB81-AC81)</f>
        <v>0</v>
      </c>
      <c r="AE81" s="43" t="n">
        <f aca="false">IF(AH80&gt;0.005,AH80*(1+Ordem!$E$13),0)</f>
        <v>0</v>
      </c>
      <c r="AF81" s="43" t="n">
        <f aca="false">MIN(AE81,Ordem!$F$13)</f>
        <v>0</v>
      </c>
      <c r="AG81" s="43" t="n">
        <f aca="false">MAX(0,MIN(AE81-AF81,$B81-(E81+I81+M81+Q81+U81+Y81+AC81)))</f>
        <v>0</v>
      </c>
      <c r="AH81" s="43" t="n">
        <f aca="false">MAX(0,AE81-AF81-AG81)</f>
        <v>0</v>
      </c>
      <c r="AI81" s="43" t="n">
        <f aca="false">IF(AL80&gt;0.005,AL80*(1+Ordem!$E$14),0)</f>
        <v>0</v>
      </c>
      <c r="AJ81" s="43" t="n">
        <f aca="false">MIN(AI81,Ordem!$F$14)</f>
        <v>0</v>
      </c>
      <c r="AK81" s="43" t="n">
        <f aca="false">MAX(0,MIN(AI81-AJ81,$B81-(E81+I81+M81+Q81+U81+Y81+AC81+AG81)))</f>
        <v>0</v>
      </c>
      <c r="AL81" s="43" t="n">
        <f aca="false">MAX(0,AI81-AJ81-AK81)</f>
        <v>0</v>
      </c>
      <c r="AM81" s="43" t="n">
        <f aca="false">IF(AP80&gt;0.005,AP80*(1+Ordem!$E$15),0)</f>
        <v>0</v>
      </c>
      <c r="AN81" s="43" t="n">
        <f aca="false">MIN(AM81,Ordem!$F$15)</f>
        <v>0</v>
      </c>
      <c r="AO81" s="43" t="n">
        <f aca="false">MAX(0,MIN(AM81-AN81,$B81-(E81+I81+M81+Q81+U81+Y81+AC81+AG81+AK81)))</f>
        <v>0</v>
      </c>
      <c r="AP81" s="43" t="n">
        <f aca="false">MAX(0,AM81-AN81-AO81)</f>
        <v>0</v>
      </c>
      <c r="AQ81" s="43" t="n">
        <f aca="false">F81+J81+N81+R81+V81+Z81+AD81+AH81+AL81+AP81</f>
        <v>0</v>
      </c>
      <c r="AR81" s="43" t="n">
        <f aca="false">D81+E81+H81+I81+L81+M81+P81+Q81+T81+U81+X81+Y81+AB81+AC81+AF81+AG81+AJ81+AK81+AN81+AO81</f>
        <v>0</v>
      </c>
    </row>
    <row r="82" customFormat="false" ht="15" hidden="false" customHeight="false" outlineLevel="0" collapsed="false">
      <c r="A82" s="0" t="n">
        <v>78</v>
      </c>
      <c r="B82" s="43" t="n">
        <f aca="false">MAX(0,Dívidas!$C$20-(D82+H82+L82+P82+T82+X82+AB82+AF82+AJ82+AN82))</f>
        <v>1450</v>
      </c>
      <c r="C82" s="43" t="n">
        <f aca="false">IF(F81&gt;0.005,F81*(1+Ordem!$E$6),0)</f>
        <v>0</v>
      </c>
      <c r="D82" s="43" t="n">
        <f aca="false">MIN(C82,Ordem!$F$6)</f>
        <v>0</v>
      </c>
      <c r="E82" s="43" t="n">
        <f aca="false">MAX(0,MIN(C82-D82,$B82-(0)))</f>
        <v>0</v>
      </c>
      <c r="F82" s="43" t="n">
        <f aca="false">MAX(0,C82-D82-E82)</f>
        <v>0</v>
      </c>
      <c r="G82" s="43" t="n">
        <f aca="false">IF(J81&gt;0.005,J81*(1+Ordem!$E$7),0)</f>
        <v>0</v>
      </c>
      <c r="H82" s="43" t="n">
        <f aca="false">MIN(G82,Ordem!$F$7)</f>
        <v>0</v>
      </c>
      <c r="I82" s="43" t="n">
        <f aca="false">MAX(0,MIN(G82-H82,$B82-(E82)))</f>
        <v>0</v>
      </c>
      <c r="J82" s="43" t="n">
        <f aca="false">MAX(0,G82-H82-I82)</f>
        <v>0</v>
      </c>
      <c r="K82" s="43" t="n">
        <f aca="false">IF(N81&gt;0.005,N81*(1+Ordem!$E$8),0)</f>
        <v>0</v>
      </c>
      <c r="L82" s="43" t="n">
        <f aca="false">MIN(K82,Ordem!$F$8)</f>
        <v>0</v>
      </c>
      <c r="M82" s="43" t="n">
        <f aca="false">MAX(0,MIN(K82-L82,$B82-(E82+I82)))</f>
        <v>0</v>
      </c>
      <c r="N82" s="43" t="n">
        <f aca="false">MAX(0,K82-L82-M82)</f>
        <v>0</v>
      </c>
      <c r="O82" s="43" t="n">
        <f aca="false">IF(R81&gt;0.005,R81*(1+Ordem!$E$9),0)</f>
        <v>0</v>
      </c>
      <c r="P82" s="43" t="n">
        <f aca="false">MIN(O82,Ordem!$F$9)</f>
        <v>0</v>
      </c>
      <c r="Q82" s="43" t="n">
        <f aca="false">MAX(0,MIN(O82-P82,$B82-(E82+I82+M82)))</f>
        <v>0</v>
      </c>
      <c r="R82" s="43" t="n">
        <f aca="false">MAX(0,O82-P82-Q82)</f>
        <v>0</v>
      </c>
      <c r="S82" s="43" t="n">
        <f aca="false">IF(V81&gt;0.005,V81*(1+Ordem!$E$10),0)</f>
        <v>0</v>
      </c>
      <c r="T82" s="43" t="n">
        <f aca="false">MIN(S82,Ordem!$F$10)</f>
        <v>0</v>
      </c>
      <c r="U82" s="43" t="n">
        <f aca="false">MAX(0,MIN(S82-T82,$B82-(E82+I82+M82+Q82)))</f>
        <v>0</v>
      </c>
      <c r="V82" s="43" t="n">
        <f aca="false">MAX(0,S82-T82-U82)</f>
        <v>0</v>
      </c>
      <c r="W82" s="43" t="n">
        <f aca="false">IF(Z81&gt;0.005,Z81*(1+Ordem!$E$11),0)</f>
        <v>0</v>
      </c>
      <c r="X82" s="43" t="n">
        <f aca="false">MIN(W82,Ordem!$F$11)</f>
        <v>0</v>
      </c>
      <c r="Y82" s="43" t="n">
        <f aca="false">MAX(0,MIN(W82-X82,$B82-(E82+I82+M82+Q82+U82)))</f>
        <v>0</v>
      </c>
      <c r="Z82" s="43" t="n">
        <f aca="false">MAX(0,W82-X82-Y82)</f>
        <v>0</v>
      </c>
      <c r="AA82" s="43" t="n">
        <f aca="false">IF(AD81&gt;0.005,AD81*(1+Ordem!$E$12),0)</f>
        <v>0</v>
      </c>
      <c r="AB82" s="43" t="n">
        <f aca="false">MIN(AA82,Ordem!$F$12)</f>
        <v>0</v>
      </c>
      <c r="AC82" s="43" t="n">
        <f aca="false">MAX(0,MIN(AA82-AB82,$B82-(E82+I82+M82+Q82+U82+Y82)))</f>
        <v>0</v>
      </c>
      <c r="AD82" s="43" t="n">
        <f aca="false">MAX(0,AA82-AB82-AC82)</f>
        <v>0</v>
      </c>
      <c r="AE82" s="43" t="n">
        <f aca="false">IF(AH81&gt;0.005,AH81*(1+Ordem!$E$13),0)</f>
        <v>0</v>
      </c>
      <c r="AF82" s="43" t="n">
        <f aca="false">MIN(AE82,Ordem!$F$13)</f>
        <v>0</v>
      </c>
      <c r="AG82" s="43" t="n">
        <f aca="false">MAX(0,MIN(AE82-AF82,$B82-(E82+I82+M82+Q82+U82+Y82+AC82)))</f>
        <v>0</v>
      </c>
      <c r="AH82" s="43" t="n">
        <f aca="false">MAX(0,AE82-AF82-AG82)</f>
        <v>0</v>
      </c>
      <c r="AI82" s="43" t="n">
        <f aca="false">IF(AL81&gt;0.005,AL81*(1+Ordem!$E$14),0)</f>
        <v>0</v>
      </c>
      <c r="AJ82" s="43" t="n">
        <f aca="false">MIN(AI82,Ordem!$F$14)</f>
        <v>0</v>
      </c>
      <c r="AK82" s="43" t="n">
        <f aca="false">MAX(0,MIN(AI82-AJ82,$B82-(E82+I82+M82+Q82+U82+Y82+AC82+AG82)))</f>
        <v>0</v>
      </c>
      <c r="AL82" s="43" t="n">
        <f aca="false">MAX(0,AI82-AJ82-AK82)</f>
        <v>0</v>
      </c>
      <c r="AM82" s="43" t="n">
        <f aca="false">IF(AP81&gt;0.005,AP81*(1+Ordem!$E$15),0)</f>
        <v>0</v>
      </c>
      <c r="AN82" s="43" t="n">
        <f aca="false">MIN(AM82,Ordem!$F$15)</f>
        <v>0</v>
      </c>
      <c r="AO82" s="43" t="n">
        <f aca="false">MAX(0,MIN(AM82-AN82,$B82-(E82+I82+M82+Q82+U82+Y82+AC82+AG82+AK82)))</f>
        <v>0</v>
      </c>
      <c r="AP82" s="43" t="n">
        <f aca="false">MAX(0,AM82-AN82-AO82)</f>
        <v>0</v>
      </c>
      <c r="AQ82" s="43" t="n">
        <f aca="false">F82+J82+N82+R82+V82+Z82+AD82+AH82+AL82+AP82</f>
        <v>0</v>
      </c>
      <c r="AR82" s="43" t="n">
        <f aca="false">D82+E82+H82+I82+L82+M82+P82+Q82+T82+U82+X82+Y82+AB82+AC82+AF82+AG82+AJ82+AK82+AN82+AO82</f>
        <v>0</v>
      </c>
    </row>
    <row r="83" customFormat="false" ht="15" hidden="false" customHeight="false" outlineLevel="0" collapsed="false">
      <c r="A83" s="0" t="n">
        <v>79</v>
      </c>
      <c r="B83" s="43" t="n">
        <f aca="false">MAX(0,Dívidas!$C$20-(D83+H83+L83+P83+T83+X83+AB83+AF83+AJ83+AN83))</f>
        <v>1450</v>
      </c>
      <c r="C83" s="43" t="n">
        <f aca="false">IF(F82&gt;0.005,F82*(1+Ordem!$E$6),0)</f>
        <v>0</v>
      </c>
      <c r="D83" s="43" t="n">
        <f aca="false">MIN(C83,Ordem!$F$6)</f>
        <v>0</v>
      </c>
      <c r="E83" s="43" t="n">
        <f aca="false">MAX(0,MIN(C83-D83,$B83-(0)))</f>
        <v>0</v>
      </c>
      <c r="F83" s="43" t="n">
        <f aca="false">MAX(0,C83-D83-E83)</f>
        <v>0</v>
      </c>
      <c r="G83" s="43" t="n">
        <f aca="false">IF(J82&gt;0.005,J82*(1+Ordem!$E$7),0)</f>
        <v>0</v>
      </c>
      <c r="H83" s="43" t="n">
        <f aca="false">MIN(G83,Ordem!$F$7)</f>
        <v>0</v>
      </c>
      <c r="I83" s="43" t="n">
        <f aca="false">MAX(0,MIN(G83-H83,$B83-(E83)))</f>
        <v>0</v>
      </c>
      <c r="J83" s="43" t="n">
        <f aca="false">MAX(0,G83-H83-I83)</f>
        <v>0</v>
      </c>
      <c r="K83" s="43" t="n">
        <f aca="false">IF(N82&gt;0.005,N82*(1+Ordem!$E$8),0)</f>
        <v>0</v>
      </c>
      <c r="L83" s="43" t="n">
        <f aca="false">MIN(K83,Ordem!$F$8)</f>
        <v>0</v>
      </c>
      <c r="M83" s="43" t="n">
        <f aca="false">MAX(0,MIN(K83-L83,$B83-(E83+I83)))</f>
        <v>0</v>
      </c>
      <c r="N83" s="43" t="n">
        <f aca="false">MAX(0,K83-L83-M83)</f>
        <v>0</v>
      </c>
      <c r="O83" s="43" t="n">
        <f aca="false">IF(R82&gt;0.005,R82*(1+Ordem!$E$9),0)</f>
        <v>0</v>
      </c>
      <c r="P83" s="43" t="n">
        <f aca="false">MIN(O83,Ordem!$F$9)</f>
        <v>0</v>
      </c>
      <c r="Q83" s="43" t="n">
        <f aca="false">MAX(0,MIN(O83-P83,$B83-(E83+I83+M83)))</f>
        <v>0</v>
      </c>
      <c r="R83" s="43" t="n">
        <f aca="false">MAX(0,O83-P83-Q83)</f>
        <v>0</v>
      </c>
      <c r="S83" s="43" t="n">
        <f aca="false">IF(V82&gt;0.005,V82*(1+Ordem!$E$10),0)</f>
        <v>0</v>
      </c>
      <c r="T83" s="43" t="n">
        <f aca="false">MIN(S83,Ordem!$F$10)</f>
        <v>0</v>
      </c>
      <c r="U83" s="43" t="n">
        <f aca="false">MAX(0,MIN(S83-T83,$B83-(E83+I83+M83+Q83)))</f>
        <v>0</v>
      </c>
      <c r="V83" s="43" t="n">
        <f aca="false">MAX(0,S83-T83-U83)</f>
        <v>0</v>
      </c>
      <c r="W83" s="43" t="n">
        <f aca="false">IF(Z82&gt;0.005,Z82*(1+Ordem!$E$11),0)</f>
        <v>0</v>
      </c>
      <c r="X83" s="43" t="n">
        <f aca="false">MIN(W83,Ordem!$F$11)</f>
        <v>0</v>
      </c>
      <c r="Y83" s="43" t="n">
        <f aca="false">MAX(0,MIN(W83-X83,$B83-(E83+I83+M83+Q83+U83)))</f>
        <v>0</v>
      </c>
      <c r="Z83" s="43" t="n">
        <f aca="false">MAX(0,W83-X83-Y83)</f>
        <v>0</v>
      </c>
      <c r="AA83" s="43" t="n">
        <f aca="false">IF(AD82&gt;0.005,AD82*(1+Ordem!$E$12),0)</f>
        <v>0</v>
      </c>
      <c r="AB83" s="43" t="n">
        <f aca="false">MIN(AA83,Ordem!$F$12)</f>
        <v>0</v>
      </c>
      <c r="AC83" s="43" t="n">
        <f aca="false">MAX(0,MIN(AA83-AB83,$B83-(E83+I83+M83+Q83+U83+Y83)))</f>
        <v>0</v>
      </c>
      <c r="AD83" s="43" t="n">
        <f aca="false">MAX(0,AA83-AB83-AC83)</f>
        <v>0</v>
      </c>
      <c r="AE83" s="43" t="n">
        <f aca="false">IF(AH82&gt;0.005,AH82*(1+Ordem!$E$13),0)</f>
        <v>0</v>
      </c>
      <c r="AF83" s="43" t="n">
        <f aca="false">MIN(AE83,Ordem!$F$13)</f>
        <v>0</v>
      </c>
      <c r="AG83" s="43" t="n">
        <f aca="false">MAX(0,MIN(AE83-AF83,$B83-(E83+I83+M83+Q83+U83+Y83+AC83)))</f>
        <v>0</v>
      </c>
      <c r="AH83" s="43" t="n">
        <f aca="false">MAX(0,AE83-AF83-AG83)</f>
        <v>0</v>
      </c>
      <c r="AI83" s="43" t="n">
        <f aca="false">IF(AL82&gt;0.005,AL82*(1+Ordem!$E$14),0)</f>
        <v>0</v>
      </c>
      <c r="AJ83" s="43" t="n">
        <f aca="false">MIN(AI83,Ordem!$F$14)</f>
        <v>0</v>
      </c>
      <c r="AK83" s="43" t="n">
        <f aca="false">MAX(0,MIN(AI83-AJ83,$B83-(E83+I83+M83+Q83+U83+Y83+AC83+AG83)))</f>
        <v>0</v>
      </c>
      <c r="AL83" s="43" t="n">
        <f aca="false">MAX(0,AI83-AJ83-AK83)</f>
        <v>0</v>
      </c>
      <c r="AM83" s="43" t="n">
        <f aca="false">IF(AP82&gt;0.005,AP82*(1+Ordem!$E$15),0)</f>
        <v>0</v>
      </c>
      <c r="AN83" s="43" t="n">
        <f aca="false">MIN(AM83,Ordem!$F$15)</f>
        <v>0</v>
      </c>
      <c r="AO83" s="43" t="n">
        <f aca="false">MAX(0,MIN(AM83-AN83,$B83-(E83+I83+M83+Q83+U83+Y83+AC83+AG83+AK83)))</f>
        <v>0</v>
      </c>
      <c r="AP83" s="43" t="n">
        <f aca="false">MAX(0,AM83-AN83-AO83)</f>
        <v>0</v>
      </c>
      <c r="AQ83" s="43" t="n">
        <f aca="false">F83+J83+N83+R83+V83+Z83+AD83+AH83+AL83+AP83</f>
        <v>0</v>
      </c>
      <c r="AR83" s="43" t="n">
        <f aca="false">D83+E83+H83+I83+L83+M83+P83+Q83+T83+U83+X83+Y83+AB83+AC83+AF83+AG83+AJ83+AK83+AN83+AO83</f>
        <v>0</v>
      </c>
    </row>
    <row r="84" customFormat="false" ht="15" hidden="false" customHeight="false" outlineLevel="0" collapsed="false">
      <c r="A84" s="0" t="n">
        <v>80</v>
      </c>
      <c r="B84" s="43" t="n">
        <f aca="false">MAX(0,Dívidas!$C$20-(D84+H84+L84+P84+T84+X84+AB84+AF84+AJ84+AN84))</f>
        <v>1450</v>
      </c>
      <c r="C84" s="43" t="n">
        <f aca="false">IF(F83&gt;0.005,F83*(1+Ordem!$E$6),0)</f>
        <v>0</v>
      </c>
      <c r="D84" s="43" t="n">
        <f aca="false">MIN(C84,Ordem!$F$6)</f>
        <v>0</v>
      </c>
      <c r="E84" s="43" t="n">
        <f aca="false">MAX(0,MIN(C84-D84,$B84-(0)))</f>
        <v>0</v>
      </c>
      <c r="F84" s="43" t="n">
        <f aca="false">MAX(0,C84-D84-E84)</f>
        <v>0</v>
      </c>
      <c r="G84" s="43" t="n">
        <f aca="false">IF(J83&gt;0.005,J83*(1+Ordem!$E$7),0)</f>
        <v>0</v>
      </c>
      <c r="H84" s="43" t="n">
        <f aca="false">MIN(G84,Ordem!$F$7)</f>
        <v>0</v>
      </c>
      <c r="I84" s="43" t="n">
        <f aca="false">MAX(0,MIN(G84-H84,$B84-(E84)))</f>
        <v>0</v>
      </c>
      <c r="J84" s="43" t="n">
        <f aca="false">MAX(0,G84-H84-I84)</f>
        <v>0</v>
      </c>
      <c r="K84" s="43" t="n">
        <f aca="false">IF(N83&gt;0.005,N83*(1+Ordem!$E$8),0)</f>
        <v>0</v>
      </c>
      <c r="L84" s="43" t="n">
        <f aca="false">MIN(K84,Ordem!$F$8)</f>
        <v>0</v>
      </c>
      <c r="M84" s="43" t="n">
        <f aca="false">MAX(0,MIN(K84-L84,$B84-(E84+I84)))</f>
        <v>0</v>
      </c>
      <c r="N84" s="43" t="n">
        <f aca="false">MAX(0,K84-L84-M84)</f>
        <v>0</v>
      </c>
      <c r="O84" s="43" t="n">
        <f aca="false">IF(R83&gt;0.005,R83*(1+Ordem!$E$9),0)</f>
        <v>0</v>
      </c>
      <c r="P84" s="43" t="n">
        <f aca="false">MIN(O84,Ordem!$F$9)</f>
        <v>0</v>
      </c>
      <c r="Q84" s="43" t="n">
        <f aca="false">MAX(0,MIN(O84-P84,$B84-(E84+I84+M84)))</f>
        <v>0</v>
      </c>
      <c r="R84" s="43" t="n">
        <f aca="false">MAX(0,O84-P84-Q84)</f>
        <v>0</v>
      </c>
      <c r="S84" s="43" t="n">
        <f aca="false">IF(V83&gt;0.005,V83*(1+Ordem!$E$10),0)</f>
        <v>0</v>
      </c>
      <c r="T84" s="43" t="n">
        <f aca="false">MIN(S84,Ordem!$F$10)</f>
        <v>0</v>
      </c>
      <c r="U84" s="43" t="n">
        <f aca="false">MAX(0,MIN(S84-T84,$B84-(E84+I84+M84+Q84)))</f>
        <v>0</v>
      </c>
      <c r="V84" s="43" t="n">
        <f aca="false">MAX(0,S84-T84-U84)</f>
        <v>0</v>
      </c>
      <c r="W84" s="43" t="n">
        <f aca="false">IF(Z83&gt;0.005,Z83*(1+Ordem!$E$11),0)</f>
        <v>0</v>
      </c>
      <c r="X84" s="43" t="n">
        <f aca="false">MIN(W84,Ordem!$F$11)</f>
        <v>0</v>
      </c>
      <c r="Y84" s="43" t="n">
        <f aca="false">MAX(0,MIN(W84-X84,$B84-(E84+I84+M84+Q84+U84)))</f>
        <v>0</v>
      </c>
      <c r="Z84" s="43" t="n">
        <f aca="false">MAX(0,W84-X84-Y84)</f>
        <v>0</v>
      </c>
      <c r="AA84" s="43" t="n">
        <f aca="false">IF(AD83&gt;0.005,AD83*(1+Ordem!$E$12),0)</f>
        <v>0</v>
      </c>
      <c r="AB84" s="43" t="n">
        <f aca="false">MIN(AA84,Ordem!$F$12)</f>
        <v>0</v>
      </c>
      <c r="AC84" s="43" t="n">
        <f aca="false">MAX(0,MIN(AA84-AB84,$B84-(E84+I84+M84+Q84+U84+Y84)))</f>
        <v>0</v>
      </c>
      <c r="AD84" s="43" t="n">
        <f aca="false">MAX(0,AA84-AB84-AC84)</f>
        <v>0</v>
      </c>
      <c r="AE84" s="43" t="n">
        <f aca="false">IF(AH83&gt;0.005,AH83*(1+Ordem!$E$13),0)</f>
        <v>0</v>
      </c>
      <c r="AF84" s="43" t="n">
        <f aca="false">MIN(AE84,Ordem!$F$13)</f>
        <v>0</v>
      </c>
      <c r="AG84" s="43" t="n">
        <f aca="false">MAX(0,MIN(AE84-AF84,$B84-(E84+I84+M84+Q84+U84+Y84+AC84)))</f>
        <v>0</v>
      </c>
      <c r="AH84" s="43" t="n">
        <f aca="false">MAX(0,AE84-AF84-AG84)</f>
        <v>0</v>
      </c>
      <c r="AI84" s="43" t="n">
        <f aca="false">IF(AL83&gt;0.005,AL83*(1+Ordem!$E$14),0)</f>
        <v>0</v>
      </c>
      <c r="AJ84" s="43" t="n">
        <f aca="false">MIN(AI84,Ordem!$F$14)</f>
        <v>0</v>
      </c>
      <c r="AK84" s="43" t="n">
        <f aca="false">MAX(0,MIN(AI84-AJ84,$B84-(E84+I84+M84+Q84+U84+Y84+AC84+AG84)))</f>
        <v>0</v>
      </c>
      <c r="AL84" s="43" t="n">
        <f aca="false">MAX(0,AI84-AJ84-AK84)</f>
        <v>0</v>
      </c>
      <c r="AM84" s="43" t="n">
        <f aca="false">IF(AP83&gt;0.005,AP83*(1+Ordem!$E$15),0)</f>
        <v>0</v>
      </c>
      <c r="AN84" s="43" t="n">
        <f aca="false">MIN(AM84,Ordem!$F$15)</f>
        <v>0</v>
      </c>
      <c r="AO84" s="43" t="n">
        <f aca="false">MAX(0,MIN(AM84-AN84,$B84-(E84+I84+M84+Q84+U84+Y84+AC84+AG84+AK84)))</f>
        <v>0</v>
      </c>
      <c r="AP84" s="43" t="n">
        <f aca="false">MAX(0,AM84-AN84-AO84)</f>
        <v>0</v>
      </c>
      <c r="AQ84" s="43" t="n">
        <f aca="false">F84+J84+N84+R84+V84+Z84+AD84+AH84+AL84+AP84</f>
        <v>0</v>
      </c>
      <c r="AR84" s="43" t="n">
        <f aca="false">D84+E84+H84+I84+L84+M84+P84+Q84+T84+U84+X84+Y84+AB84+AC84+AF84+AG84+AJ84+AK84+AN84+AO84</f>
        <v>0</v>
      </c>
    </row>
    <row r="85" customFormat="false" ht="15" hidden="false" customHeight="false" outlineLevel="0" collapsed="false">
      <c r="A85" s="0" t="n">
        <v>81</v>
      </c>
      <c r="B85" s="43" t="n">
        <f aca="false">MAX(0,Dívidas!$C$20-(D85+H85+L85+P85+T85+X85+AB85+AF85+AJ85+AN85))</f>
        <v>1450</v>
      </c>
      <c r="C85" s="43" t="n">
        <f aca="false">IF(F84&gt;0.005,F84*(1+Ordem!$E$6),0)</f>
        <v>0</v>
      </c>
      <c r="D85" s="43" t="n">
        <f aca="false">MIN(C85,Ordem!$F$6)</f>
        <v>0</v>
      </c>
      <c r="E85" s="43" t="n">
        <f aca="false">MAX(0,MIN(C85-D85,$B85-(0)))</f>
        <v>0</v>
      </c>
      <c r="F85" s="43" t="n">
        <f aca="false">MAX(0,C85-D85-E85)</f>
        <v>0</v>
      </c>
      <c r="G85" s="43" t="n">
        <f aca="false">IF(J84&gt;0.005,J84*(1+Ordem!$E$7),0)</f>
        <v>0</v>
      </c>
      <c r="H85" s="43" t="n">
        <f aca="false">MIN(G85,Ordem!$F$7)</f>
        <v>0</v>
      </c>
      <c r="I85" s="43" t="n">
        <f aca="false">MAX(0,MIN(G85-H85,$B85-(E85)))</f>
        <v>0</v>
      </c>
      <c r="J85" s="43" t="n">
        <f aca="false">MAX(0,G85-H85-I85)</f>
        <v>0</v>
      </c>
      <c r="K85" s="43" t="n">
        <f aca="false">IF(N84&gt;0.005,N84*(1+Ordem!$E$8),0)</f>
        <v>0</v>
      </c>
      <c r="L85" s="43" t="n">
        <f aca="false">MIN(K85,Ordem!$F$8)</f>
        <v>0</v>
      </c>
      <c r="M85" s="43" t="n">
        <f aca="false">MAX(0,MIN(K85-L85,$B85-(E85+I85)))</f>
        <v>0</v>
      </c>
      <c r="N85" s="43" t="n">
        <f aca="false">MAX(0,K85-L85-M85)</f>
        <v>0</v>
      </c>
      <c r="O85" s="43" t="n">
        <f aca="false">IF(R84&gt;0.005,R84*(1+Ordem!$E$9),0)</f>
        <v>0</v>
      </c>
      <c r="P85" s="43" t="n">
        <f aca="false">MIN(O85,Ordem!$F$9)</f>
        <v>0</v>
      </c>
      <c r="Q85" s="43" t="n">
        <f aca="false">MAX(0,MIN(O85-P85,$B85-(E85+I85+M85)))</f>
        <v>0</v>
      </c>
      <c r="R85" s="43" t="n">
        <f aca="false">MAX(0,O85-P85-Q85)</f>
        <v>0</v>
      </c>
      <c r="S85" s="43" t="n">
        <f aca="false">IF(V84&gt;0.005,V84*(1+Ordem!$E$10),0)</f>
        <v>0</v>
      </c>
      <c r="T85" s="43" t="n">
        <f aca="false">MIN(S85,Ordem!$F$10)</f>
        <v>0</v>
      </c>
      <c r="U85" s="43" t="n">
        <f aca="false">MAX(0,MIN(S85-T85,$B85-(E85+I85+M85+Q85)))</f>
        <v>0</v>
      </c>
      <c r="V85" s="43" t="n">
        <f aca="false">MAX(0,S85-T85-U85)</f>
        <v>0</v>
      </c>
      <c r="W85" s="43" t="n">
        <f aca="false">IF(Z84&gt;0.005,Z84*(1+Ordem!$E$11),0)</f>
        <v>0</v>
      </c>
      <c r="X85" s="43" t="n">
        <f aca="false">MIN(W85,Ordem!$F$11)</f>
        <v>0</v>
      </c>
      <c r="Y85" s="43" t="n">
        <f aca="false">MAX(0,MIN(W85-X85,$B85-(E85+I85+M85+Q85+U85)))</f>
        <v>0</v>
      </c>
      <c r="Z85" s="43" t="n">
        <f aca="false">MAX(0,W85-X85-Y85)</f>
        <v>0</v>
      </c>
      <c r="AA85" s="43" t="n">
        <f aca="false">IF(AD84&gt;0.005,AD84*(1+Ordem!$E$12),0)</f>
        <v>0</v>
      </c>
      <c r="AB85" s="43" t="n">
        <f aca="false">MIN(AA85,Ordem!$F$12)</f>
        <v>0</v>
      </c>
      <c r="AC85" s="43" t="n">
        <f aca="false">MAX(0,MIN(AA85-AB85,$B85-(E85+I85+M85+Q85+U85+Y85)))</f>
        <v>0</v>
      </c>
      <c r="AD85" s="43" t="n">
        <f aca="false">MAX(0,AA85-AB85-AC85)</f>
        <v>0</v>
      </c>
      <c r="AE85" s="43" t="n">
        <f aca="false">IF(AH84&gt;0.005,AH84*(1+Ordem!$E$13),0)</f>
        <v>0</v>
      </c>
      <c r="AF85" s="43" t="n">
        <f aca="false">MIN(AE85,Ordem!$F$13)</f>
        <v>0</v>
      </c>
      <c r="AG85" s="43" t="n">
        <f aca="false">MAX(0,MIN(AE85-AF85,$B85-(E85+I85+M85+Q85+U85+Y85+AC85)))</f>
        <v>0</v>
      </c>
      <c r="AH85" s="43" t="n">
        <f aca="false">MAX(0,AE85-AF85-AG85)</f>
        <v>0</v>
      </c>
      <c r="AI85" s="43" t="n">
        <f aca="false">IF(AL84&gt;0.005,AL84*(1+Ordem!$E$14),0)</f>
        <v>0</v>
      </c>
      <c r="AJ85" s="43" t="n">
        <f aca="false">MIN(AI85,Ordem!$F$14)</f>
        <v>0</v>
      </c>
      <c r="AK85" s="43" t="n">
        <f aca="false">MAX(0,MIN(AI85-AJ85,$B85-(E85+I85+M85+Q85+U85+Y85+AC85+AG85)))</f>
        <v>0</v>
      </c>
      <c r="AL85" s="43" t="n">
        <f aca="false">MAX(0,AI85-AJ85-AK85)</f>
        <v>0</v>
      </c>
      <c r="AM85" s="43" t="n">
        <f aca="false">IF(AP84&gt;0.005,AP84*(1+Ordem!$E$15),0)</f>
        <v>0</v>
      </c>
      <c r="AN85" s="43" t="n">
        <f aca="false">MIN(AM85,Ordem!$F$15)</f>
        <v>0</v>
      </c>
      <c r="AO85" s="43" t="n">
        <f aca="false">MAX(0,MIN(AM85-AN85,$B85-(E85+I85+M85+Q85+U85+Y85+AC85+AG85+AK85)))</f>
        <v>0</v>
      </c>
      <c r="AP85" s="43" t="n">
        <f aca="false">MAX(0,AM85-AN85-AO85)</f>
        <v>0</v>
      </c>
      <c r="AQ85" s="43" t="n">
        <f aca="false">F85+J85+N85+R85+V85+Z85+AD85+AH85+AL85+AP85</f>
        <v>0</v>
      </c>
      <c r="AR85" s="43" t="n">
        <f aca="false">D85+E85+H85+I85+L85+M85+P85+Q85+T85+U85+X85+Y85+AB85+AC85+AF85+AG85+AJ85+AK85+AN85+AO85</f>
        <v>0</v>
      </c>
    </row>
    <row r="86" customFormat="false" ht="15" hidden="false" customHeight="false" outlineLevel="0" collapsed="false">
      <c r="A86" s="0" t="n">
        <v>82</v>
      </c>
      <c r="B86" s="43" t="n">
        <f aca="false">MAX(0,Dívidas!$C$20-(D86+H86+L86+P86+T86+X86+AB86+AF86+AJ86+AN86))</f>
        <v>1450</v>
      </c>
      <c r="C86" s="43" t="n">
        <f aca="false">IF(F85&gt;0.005,F85*(1+Ordem!$E$6),0)</f>
        <v>0</v>
      </c>
      <c r="D86" s="43" t="n">
        <f aca="false">MIN(C86,Ordem!$F$6)</f>
        <v>0</v>
      </c>
      <c r="E86" s="43" t="n">
        <f aca="false">MAX(0,MIN(C86-D86,$B86-(0)))</f>
        <v>0</v>
      </c>
      <c r="F86" s="43" t="n">
        <f aca="false">MAX(0,C86-D86-E86)</f>
        <v>0</v>
      </c>
      <c r="G86" s="43" t="n">
        <f aca="false">IF(J85&gt;0.005,J85*(1+Ordem!$E$7),0)</f>
        <v>0</v>
      </c>
      <c r="H86" s="43" t="n">
        <f aca="false">MIN(G86,Ordem!$F$7)</f>
        <v>0</v>
      </c>
      <c r="I86" s="43" t="n">
        <f aca="false">MAX(0,MIN(G86-H86,$B86-(E86)))</f>
        <v>0</v>
      </c>
      <c r="J86" s="43" t="n">
        <f aca="false">MAX(0,G86-H86-I86)</f>
        <v>0</v>
      </c>
      <c r="K86" s="43" t="n">
        <f aca="false">IF(N85&gt;0.005,N85*(1+Ordem!$E$8),0)</f>
        <v>0</v>
      </c>
      <c r="L86" s="43" t="n">
        <f aca="false">MIN(K86,Ordem!$F$8)</f>
        <v>0</v>
      </c>
      <c r="M86" s="43" t="n">
        <f aca="false">MAX(0,MIN(K86-L86,$B86-(E86+I86)))</f>
        <v>0</v>
      </c>
      <c r="N86" s="43" t="n">
        <f aca="false">MAX(0,K86-L86-M86)</f>
        <v>0</v>
      </c>
      <c r="O86" s="43" t="n">
        <f aca="false">IF(R85&gt;0.005,R85*(1+Ordem!$E$9),0)</f>
        <v>0</v>
      </c>
      <c r="P86" s="43" t="n">
        <f aca="false">MIN(O86,Ordem!$F$9)</f>
        <v>0</v>
      </c>
      <c r="Q86" s="43" t="n">
        <f aca="false">MAX(0,MIN(O86-P86,$B86-(E86+I86+M86)))</f>
        <v>0</v>
      </c>
      <c r="R86" s="43" t="n">
        <f aca="false">MAX(0,O86-P86-Q86)</f>
        <v>0</v>
      </c>
      <c r="S86" s="43" t="n">
        <f aca="false">IF(V85&gt;0.005,V85*(1+Ordem!$E$10),0)</f>
        <v>0</v>
      </c>
      <c r="T86" s="43" t="n">
        <f aca="false">MIN(S86,Ordem!$F$10)</f>
        <v>0</v>
      </c>
      <c r="U86" s="43" t="n">
        <f aca="false">MAX(0,MIN(S86-T86,$B86-(E86+I86+M86+Q86)))</f>
        <v>0</v>
      </c>
      <c r="V86" s="43" t="n">
        <f aca="false">MAX(0,S86-T86-U86)</f>
        <v>0</v>
      </c>
      <c r="W86" s="43" t="n">
        <f aca="false">IF(Z85&gt;0.005,Z85*(1+Ordem!$E$11),0)</f>
        <v>0</v>
      </c>
      <c r="X86" s="43" t="n">
        <f aca="false">MIN(W86,Ordem!$F$11)</f>
        <v>0</v>
      </c>
      <c r="Y86" s="43" t="n">
        <f aca="false">MAX(0,MIN(W86-X86,$B86-(E86+I86+M86+Q86+U86)))</f>
        <v>0</v>
      </c>
      <c r="Z86" s="43" t="n">
        <f aca="false">MAX(0,W86-X86-Y86)</f>
        <v>0</v>
      </c>
      <c r="AA86" s="43" t="n">
        <f aca="false">IF(AD85&gt;0.005,AD85*(1+Ordem!$E$12),0)</f>
        <v>0</v>
      </c>
      <c r="AB86" s="43" t="n">
        <f aca="false">MIN(AA86,Ordem!$F$12)</f>
        <v>0</v>
      </c>
      <c r="AC86" s="43" t="n">
        <f aca="false">MAX(0,MIN(AA86-AB86,$B86-(E86+I86+M86+Q86+U86+Y86)))</f>
        <v>0</v>
      </c>
      <c r="AD86" s="43" t="n">
        <f aca="false">MAX(0,AA86-AB86-AC86)</f>
        <v>0</v>
      </c>
      <c r="AE86" s="43" t="n">
        <f aca="false">IF(AH85&gt;0.005,AH85*(1+Ordem!$E$13),0)</f>
        <v>0</v>
      </c>
      <c r="AF86" s="43" t="n">
        <f aca="false">MIN(AE86,Ordem!$F$13)</f>
        <v>0</v>
      </c>
      <c r="AG86" s="43" t="n">
        <f aca="false">MAX(0,MIN(AE86-AF86,$B86-(E86+I86+M86+Q86+U86+Y86+AC86)))</f>
        <v>0</v>
      </c>
      <c r="AH86" s="43" t="n">
        <f aca="false">MAX(0,AE86-AF86-AG86)</f>
        <v>0</v>
      </c>
      <c r="AI86" s="43" t="n">
        <f aca="false">IF(AL85&gt;0.005,AL85*(1+Ordem!$E$14),0)</f>
        <v>0</v>
      </c>
      <c r="AJ86" s="43" t="n">
        <f aca="false">MIN(AI86,Ordem!$F$14)</f>
        <v>0</v>
      </c>
      <c r="AK86" s="43" t="n">
        <f aca="false">MAX(0,MIN(AI86-AJ86,$B86-(E86+I86+M86+Q86+U86+Y86+AC86+AG86)))</f>
        <v>0</v>
      </c>
      <c r="AL86" s="43" t="n">
        <f aca="false">MAX(0,AI86-AJ86-AK86)</f>
        <v>0</v>
      </c>
      <c r="AM86" s="43" t="n">
        <f aca="false">IF(AP85&gt;0.005,AP85*(1+Ordem!$E$15),0)</f>
        <v>0</v>
      </c>
      <c r="AN86" s="43" t="n">
        <f aca="false">MIN(AM86,Ordem!$F$15)</f>
        <v>0</v>
      </c>
      <c r="AO86" s="43" t="n">
        <f aca="false">MAX(0,MIN(AM86-AN86,$B86-(E86+I86+M86+Q86+U86+Y86+AC86+AG86+AK86)))</f>
        <v>0</v>
      </c>
      <c r="AP86" s="43" t="n">
        <f aca="false">MAX(0,AM86-AN86-AO86)</f>
        <v>0</v>
      </c>
      <c r="AQ86" s="43" t="n">
        <f aca="false">F86+J86+N86+R86+V86+Z86+AD86+AH86+AL86+AP86</f>
        <v>0</v>
      </c>
      <c r="AR86" s="43" t="n">
        <f aca="false">D86+E86+H86+I86+L86+M86+P86+Q86+T86+U86+X86+Y86+AB86+AC86+AF86+AG86+AJ86+AK86+AN86+AO86</f>
        <v>0</v>
      </c>
    </row>
    <row r="87" customFormat="false" ht="15" hidden="false" customHeight="false" outlineLevel="0" collapsed="false">
      <c r="A87" s="0" t="n">
        <v>83</v>
      </c>
      <c r="B87" s="43" t="n">
        <f aca="false">MAX(0,Dívidas!$C$20-(D87+H87+L87+P87+T87+X87+AB87+AF87+AJ87+AN87))</f>
        <v>1450</v>
      </c>
      <c r="C87" s="43" t="n">
        <f aca="false">IF(F86&gt;0.005,F86*(1+Ordem!$E$6),0)</f>
        <v>0</v>
      </c>
      <c r="D87" s="43" t="n">
        <f aca="false">MIN(C87,Ordem!$F$6)</f>
        <v>0</v>
      </c>
      <c r="E87" s="43" t="n">
        <f aca="false">MAX(0,MIN(C87-D87,$B87-(0)))</f>
        <v>0</v>
      </c>
      <c r="F87" s="43" t="n">
        <f aca="false">MAX(0,C87-D87-E87)</f>
        <v>0</v>
      </c>
      <c r="G87" s="43" t="n">
        <f aca="false">IF(J86&gt;0.005,J86*(1+Ordem!$E$7),0)</f>
        <v>0</v>
      </c>
      <c r="H87" s="43" t="n">
        <f aca="false">MIN(G87,Ordem!$F$7)</f>
        <v>0</v>
      </c>
      <c r="I87" s="43" t="n">
        <f aca="false">MAX(0,MIN(G87-H87,$B87-(E87)))</f>
        <v>0</v>
      </c>
      <c r="J87" s="43" t="n">
        <f aca="false">MAX(0,G87-H87-I87)</f>
        <v>0</v>
      </c>
      <c r="K87" s="43" t="n">
        <f aca="false">IF(N86&gt;0.005,N86*(1+Ordem!$E$8),0)</f>
        <v>0</v>
      </c>
      <c r="L87" s="43" t="n">
        <f aca="false">MIN(K87,Ordem!$F$8)</f>
        <v>0</v>
      </c>
      <c r="M87" s="43" t="n">
        <f aca="false">MAX(0,MIN(K87-L87,$B87-(E87+I87)))</f>
        <v>0</v>
      </c>
      <c r="N87" s="43" t="n">
        <f aca="false">MAX(0,K87-L87-M87)</f>
        <v>0</v>
      </c>
      <c r="O87" s="43" t="n">
        <f aca="false">IF(R86&gt;0.005,R86*(1+Ordem!$E$9),0)</f>
        <v>0</v>
      </c>
      <c r="P87" s="43" t="n">
        <f aca="false">MIN(O87,Ordem!$F$9)</f>
        <v>0</v>
      </c>
      <c r="Q87" s="43" t="n">
        <f aca="false">MAX(0,MIN(O87-P87,$B87-(E87+I87+M87)))</f>
        <v>0</v>
      </c>
      <c r="R87" s="43" t="n">
        <f aca="false">MAX(0,O87-P87-Q87)</f>
        <v>0</v>
      </c>
      <c r="S87" s="43" t="n">
        <f aca="false">IF(V86&gt;0.005,V86*(1+Ordem!$E$10),0)</f>
        <v>0</v>
      </c>
      <c r="T87" s="43" t="n">
        <f aca="false">MIN(S87,Ordem!$F$10)</f>
        <v>0</v>
      </c>
      <c r="U87" s="43" t="n">
        <f aca="false">MAX(0,MIN(S87-T87,$B87-(E87+I87+M87+Q87)))</f>
        <v>0</v>
      </c>
      <c r="V87" s="43" t="n">
        <f aca="false">MAX(0,S87-T87-U87)</f>
        <v>0</v>
      </c>
      <c r="W87" s="43" t="n">
        <f aca="false">IF(Z86&gt;0.005,Z86*(1+Ordem!$E$11),0)</f>
        <v>0</v>
      </c>
      <c r="X87" s="43" t="n">
        <f aca="false">MIN(W87,Ordem!$F$11)</f>
        <v>0</v>
      </c>
      <c r="Y87" s="43" t="n">
        <f aca="false">MAX(0,MIN(W87-X87,$B87-(E87+I87+M87+Q87+U87)))</f>
        <v>0</v>
      </c>
      <c r="Z87" s="43" t="n">
        <f aca="false">MAX(0,W87-X87-Y87)</f>
        <v>0</v>
      </c>
      <c r="AA87" s="43" t="n">
        <f aca="false">IF(AD86&gt;0.005,AD86*(1+Ordem!$E$12),0)</f>
        <v>0</v>
      </c>
      <c r="AB87" s="43" t="n">
        <f aca="false">MIN(AA87,Ordem!$F$12)</f>
        <v>0</v>
      </c>
      <c r="AC87" s="43" t="n">
        <f aca="false">MAX(0,MIN(AA87-AB87,$B87-(E87+I87+M87+Q87+U87+Y87)))</f>
        <v>0</v>
      </c>
      <c r="AD87" s="43" t="n">
        <f aca="false">MAX(0,AA87-AB87-AC87)</f>
        <v>0</v>
      </c>
      <c r="AE87" s="43" t="n">
        <f aca="false">IF(AH86&gt;0.005,AH86*(1+Ordem!$E$13),0)</f>
        <v>0</v>
      </c>
      <c r="AF87" s="43" t="n">
        <f aca="false">MIN(AE87,Ordem!$F$13)</f>
        <v>0</v>
      </c>
      <c r="AG87" s="43" t="n">
        <f aca="false">MAX(0,MIN(AE87-AF87,$B87-(E87+I87+M87+Q87+U87+Y87+AC87)))</f>
        <v>0</v>
      </c>
      <c r="AH87" s="43" t="n">
        <f aca="false">MAX(0,AE87-AF87-AG87)</f>
        <v>0</v>
      </c>
      <c r="AI87" s="43" t="n">
        <f aca="false">IF(AL86&gt;0.005,AL86*(1+Ordem!$E$14),0)</f>
        <v>0</v>
      </c>
      <c r="AJ87" s="43" t="n">
        <f aca="false">MIN(AI87,Ordem!$F$14)</f>
        <v>0</v>
      </c>
      <c r="AK87" s="43" t="n">
        <f aca="false">MAX(0,MIN(AI87-AJ87,$B87-(E87+I87+M87+Q87+U87+Y87+AC87+AG87)))</f>
        <v>0</v>
      </c>
      <c r="AL87" s="43" t="n">
        <f aca="false">MAX(0,AI87-AJ87-AK87)</f>
        <v>0</v>
      </c>
      <c r="AM87" s="43" t="n">
        <f aca="false">IF(AP86&gt;0.005,AP86*(1+Ordem!$E$15),0)</f>
        <v>0</v>
      </c>
      <c r="AN87" s="43" t="n">
        <f aca="false">MIN(AM87,Ordem!$F$15)</f>
        <v>0</v>
      </c>
      <c r="AO87" s="43" t="n">
        <f aca="false">MAX(0,MIN(AM87-AN87,$B87-(E87+I87+M87+Q87+U87+Y87+AC87+AG87+AK87)))</f>
        <v>0</v>
      </c>
      <c r="AP87" s="43" t="n">
        <f aca="false">MAX(0,AM87-AN87-AO87)</f>
        <v>0</v>
      </c>
      <c r="AQ87" s="43" t="n">
        <f aca="false">F87+J87+N87+R87+V87+Z87+AD87+AH87+AL87+AP87</f>
        <v>0</v>
      </c>
      <c r="AR87" s="43" t="n">
        <f aca="false">D87+E87+H87+I87+L87+M87+P87+Q87+T87+U87+X87+Y87+AB87+AC87+AF87+AG87+AJ87+AK87+AN87+AO87</f>
        <v>0</v>
      </c>
    </row>
    <row r="88" customFormat="false" ht="15" hidden="false" customHeight="false" outlineLevel="0" collapsed="false">
      <c r="A88" s="0" t="n">
        <v>84</v>
      </c>
      <c r="B88" s="43" t="n">
        <f aca="false">MAX(0,Dívidas!$C$20-(D88+H88+L88+P88+T88+X88+AB88+AF88+AJ88+AN88))</f>
        <v>1450</v>
      </c>
      <c r="C88" s="43" t="n">
        <f aca="false">IF(F87&gt;0.005,F87*(1+Ordem!$E$6),0)</f>
        <v>0</v>
      </c>
      <c r="D88" s="43" t="n">
        <f aca="false">MIN(C88,Ordem!$F$6)</f>
        <v>0</v>
      </c>
      <c r="E88" s="43" t="n">
        <f aca="false">MAX(0,MIN(C88-D88,$B88-(0)))</f>
        <v>0</v>
      </c>
      <c r="F88" s="43" t="n">
        <f aca="false">MAX(0,C88-D88-E88)</f>
        <v>0</v>
      </c>
      <c r="G88" s="43" t="n">
        <f aca="false">IF(J87&gt;0.005,J87*(1+Ordem!$E$7),0)</f>
        <v>0</v>
      </c>
      <c r="H88" s="43" t="n">
        <f aca="false">MIN(G88,Ordem!$F$7)</f>
        <v>0</v>
      </c>
      <c r="I88" s="43" t="n">
        <f aca="false">MAX(0,MIN(G88-H88,$B88-(E88)))</f>
        <v>0</v>
      </c>
      <c r="J88" s="43" t="n">
        <f aca="false">MAX(0,G88-H88-I88)</f>
        <v>0</v>
      </c>
      <c r="K88" s="43" t="n">
        <f aca="false">IF(N87&gt;0.005,N87*(1+Ordem!$E$8),0)</f>
        <v>0</v>
      </c>
      <c r="L88" s="43" t="n">
        <f aca="false">MIN(K88,Ordem!$F$8)</f>
        <v>0</v>
      </c>
      <c r="M88" s="43" t="n">
        <f aca="false">MAX(0,MIN(K88-L88,$B88-(E88+I88)))</f>
        <v>0</v>
      </c>
      <c r="N88" s="43" t="n">
        <f aca="false">MAX(0,K88-L88-M88)</f>
        <v>0</v>
      </c>
      <c r="O88" s="43" t="n">
        <f aca="false">IF(R87&gt;0.005,R87*(1+Ordem!$E$9),0)</f>
        <v>0</v>
      </c>
      <c r="P88" s="43" t="n">
        <f aca="false">MIN(O88,Ordem!$F$9)</f>
        <v>0</v>
      </c>
      <c r="Q88" s="43" t="n">
        <f aca="false">MAX(0,MIN(O88-P88,$B88-(E88+I88+M88)))</f>
        <v>0</v>
      </c>
      <c r="R88" s="43" t="n">
        <f aca="false">MAX(0,O88-P88-Q88)</f>
        <v>0</v>
      </c>
      <c r="S88" s="43" t="n">
        <f aca="false">IF(V87&gt;0.005,V87*(1+Ordem!$E$10),0)</f>
        <v>0</v>
      </c>
      <c r="T88" s="43" t="n">
        <f aca="false">MIN(S88,Ordem!$F$10)</f>
        <v>0</v>
      </c>
      <c r="U88" s="43" t="n">
        <f aca="false">MAX(0,MIN(S88-T88,$B88-(E88+I88+M88+Q88)))</f>
        <v>0</v>
      </c>
      <c r="V88" s="43" t="n">
        <f aca="false">MAX(0,S88-T88-U88)</f>
        <v>0</v>
      </c>
      <c r="W88" s="43" t="n">
        <f aca="false">IF(Z87&gt;0.005,Z87*(1+Ordem!$E$11),0)</f>
        <v>0</v>
      </c>
      <c r="X88" s="43" t="n">
        <f aca="false">MIN(W88,Ordem!$F$11)</f>
        <v>0</v>
      </c>
      <c r="Y88" s="43" t="n">
        <f aca="false">MAX(0,MIN(W88-X88,$B88-(E88+I88+M88+Q88+U88)))</f>
        <v>0</v>
      </c>
      <c r="Z88" s="43" t="n">
        <f aca="false">MAX(0,W88-X88-Y88)</f>
        <v>0</v>
      </c>
      <c r="AA88" s="43" t="n">
        <f aca="false">IF(AD87&gt;0.005,AD87*(1+Ordem!$E$12),0)</f>
        <v>0</v>
      </c>
      <c r="AB88" s="43" t="n">
        <f aca="false">MIN(AA88,Ordem!$F$12)</f>
        <v>0</v>
      </c>
      <c r="AC88" s="43" t="n">
        <f aca="false">MAX(0,MIN(AA88-AB88,$B88-(E88+I88+M88+Q88+U88+Y88)))</f>
        <v>0</v>
      </c>
      <c r="AD88" s="43" t="n">
        <f aca="false">MAX(0,AA88-AB88-AC88)</f>
        <v>0</v>
      </c>
      <c r="AE88" s="43" t="n">
        <f aca="false">IF(AH87&gt;0.005,AH87*(1+Ordem!$E$13),0)</f>
        <v>0</v>
      </c>
      <c r="AF88" s="43" t="n">
        <f aca="false">MIN(AE88,Ordem!$F$13)</f>
        <v>0</v>
      </c>
      <c r="AG88" s="43" t="n">
        <f aca="false">MAX(0,MIN(AE88-AF88,$B88-(E88+I88+M88+Q88+U88+Y88+AC88)))</f>
        <v>0</v>
      </c>
      <c r="AH88" s="43" t="n">
        <f aca="false">MAX(0,AE88-AF88-AG88)</f>
        <v>0</v>
      </c>
      <c r="AI88" s="43" t="n">
        <f aca="false">IF(AL87&gt;0.005,AL87*(1+Ordem!$E$14),0)</f>
        <v>0</v>
      </c>
      <c r="AJ88" s="43" t="n">
        <f aca="false">MIN(AI88,Ordem!$F$14)</f>
        <v>0</v>
      </c>
      <c r="AK88" s="43" t="n">
        <f aca="false">MAX(0,MIN(AI88-AJ88,$B88-(E88+I88+M88+Q88+U88+Y88+AC88+AG88)))</f>
        <v>0</v>
      </c>
      <c r="AL88" s="43" t="n">
        <f aca="false">MAX(0,AI88-AJ88-AK88)</f>
        <v>0</v>
      </c>
      <c r="AM88" s="43" t="n">
        <f aca="false">IF(AP87&gt;0.005,AP87*(1+Ordem!$E$15),0)</f>
        <v>0</v>
      </c>
      <c r="AN88" s="43" t="n">
        <f aca="false">MIN(AM88,Ordem!$F$15)</f>
        <v>0</v>
      </c>
      <c r="AO88" s="43" t="n">
        <f aca="false">MAX(0,MIN(AM88-AN88,$B88-(E88+I88+M88+Q88+U88+Y88+AC88+AG88+AK88)))</f>
        <v>0</v>
      </c>
      <c r="AP88" s="43" t="n">
        <f aca="false">MAX(0,AM88-AN88-AO88)</f>
        <v>0</v>
      </c>
      <c r="AQ88" s="43" t="n">
        <f aca="false">F88+J88+N88+R88+V88+Z88+AD88+AH88+AL88+AP88</f>
        <v>0</v>
      </c>
      <c r="AR88" s="43" t="n">
        <f aca="false">D88+E88+H88+I88+L88+M88+P88+Q88+T88+U88+X88+Y88+AB88+AC88+AF88+AG88+AJ88+AK88+AN88+AO88</f>
        <v>0</v>
      </c>
    </row>
    <row r="89" customFormat="false" ht="15" hidden="false" customHeight="false" outlineLevel="0" collapsed="false">
      <c r="A89" s="0" t="n">
        <v>85</v>
      </c>
      <c r="B89" s="43" t="n">
        <f aca="false">MAX(0,Dívidas!$C$20-(D89+H89+L89+P89+T89+X89+AB89+AF89+AJ89+AN89))</f>
        <v>1450</v>
      </c>
      <c r="C89" s="43" t="n">
        <f aca="false">IF(F88&gt;0.005,F88*(1+Ordem!$E$6),0)</f>
        <v>0</v>
      </c>
      <c r="D89" s="43" t="n">
        <f aca="false">MIN(C89,Ordem!$F$6)</f>
        <v>0</v>
      </c>
      <c r="E89" s="43" t="n">
        <f aca="false">MAX(0,MIN(C89-D89,$B89-(0)))</f>
        <v>0</v>
      </c>
      <c r="F89" s="43" t="n">
        <f aca="false">MAX(0,C89-D89-E89)</f>
        <v>0</v>
      </c>
      <c r="G89" s="43" t="n">
        <f aca="false">IF(J88&gt;0.005,J88*(1+Ordem!$E$7),0)</f>
        <v>0</v>
      </c>
      <c r="H89" s="43" t="n">
        <f aca="false">MIN(G89,Ordem!$F$7)</f>
        <v>0</v>
      </c>
      <c r="I89" s="43" t="n">
        <f aca="false">MAX(0,MIN(G89-H89,$B89-(E89)))</f>
        <v>0</v>
      </c>
      <c r="J89" s="43" t="n">
        <f aca="false">MAX(0,G89-H89-I89)</f>
        <v>0</v>
      </c>
      <c r="K89" s="43" t="n">
        <f aca="false">IF(N88&gt;0.005,N88*(1+Ordem!$E$8),0)</f>
        <v>0</v>
      </c>
      <c r="L89" s="43" t="n">
        <f aca="false">MIN(K89,Ordem!$F$8)</f>
        <v>0</v>
      </c>
      <c r="M89" s="43" t="n">
        <f aca="false">MAX(0,MIN(K89-L89,$B89-(E89+I89)))</f>
        <v>0</v>
      </c>
      <c r="N89" s="43" t="n">
        <f aca="false">MAX(0,K89-L89-M89)</f>
        <v>0</v>
      </c>
      <c r="O89" s="43" t="n">
        <f aca="false">IF(R88&gt;0.005,R88*(1+Ordem!$E$9),0)</f>
        <v>0</v>
      </c>
      <c r="P89" s="43" t="n">
        <f aca="false">MIN(O89,Ordem!$F$9)</f>
        <v>0</v>
      </c>
      <c r="Q89" s="43" t="n">
        <f aca="false">MAX(0,MIN(O89-P89,$B89-(E89+I89+M89)))</f>
        <v>0</v>
      </c>
      <c r="R89" s="43" t="n">
        <f aca="false">MAX(0,O89-P89-Q89)</f>
        <v>0</v>
      </c>
      <c r="S89" s="43" t="n">
        <f aca="false">IF(V88&gt;0.005,V88*(1+Ordem!$E$10),0)</f>
        <v>0</v>
      </c>
      <c r="T89" s="43" t="n">
        <f aca="false">MIN(S89,Ordem!$F$10)</f>
        <v>0</v>
      </c>
      <c r="U89" s="43" t="n">
        <f aca="false">MAX(0,MIN(S89-T89,$B89-(E89+I89+M89+Q89)))</f>
        <v>0</v>
      </c>
      <c r="V89" s="43" t="n">
        <f aca="false">MAX(0,S89-T89-U89)</f>
        <v>0</v>
      </c>
      <c r="W89" s="43" t="n">
        <f aca="false">IF(Z88&gt;0.005,Z88*(1+Ordem!$E$11),0)</f>
        <v>0</v>
      </c>
      <c r="X89" s="43" t="n">
        <f aca="false">MIN(W89,Ordem!$F$11)</f>
        <v>0</v>
      </c>
      <c r="Y89" s="43" t="n">
        <f aca="false">MAX(0,MIN(W89-X89,$B89-(E89+I89+M89+Q89+U89)))</f>
        <v>0</v>
      </c>
      <c r="Z89" s="43" t="n">
        <f aca="false">MAX(0,W89-X89-Y89)</f>
        <v>0</v>
      </c>
      <c r="AA89" s="43" t="n">
        <f aca="false">IF(AD88&gt;0.005,AD88*(1+Ordem!$E$12),0)</f>
        <v>0</v>
      </c>
      <c r="AB89" s="43" t="n">
        <f aca="false">MIN(AA89,Ordem!$F$12)</f>
        <v>0</v>
      </c>
      <c r="AC89" s="43" t="n">
        <f aca="false">MAX(0,MIN(AA89-AB89,$B89-(E89+I89+M89+Q89+U89+Y89)))</f>
        <v>0</v>
      </c>
      <c r="AD89" s="43" t="n">
        <f aca="false">MAX(0,AA89-AB89-AC89)</f>
        <v>0</v>
      </c>
      <c r="AE89" s="43" t="n">
        <f aca="false">IF(AH88&gt;0.005,AH88*(1+Ordem!$E$13),0)</f>
        <v>0</v>
      </c>
      <c r="AF89" s="43" t="n">
        <f aca="false">MIN(AE89,Ordem!$F$13)</f>
        <v>0</v>
      </c>
      <c r="AG89" s="43" t="n">
        <f aca="false">MAX(0,MIN(AE89-AF89,$B89-(E89+I89+M89+Q89+U89+Y89+AC89)))</f>
        <v>0</v>
      </c>
      <c r="AH89" s="43" t="n">
        <f aca="false">MAX(0,AE89-AF89-AG89)</f>
        <v>0</v>
      </c>
      <c r="AI89" s="43" t="n">
        <f aca="false">IF(AL88&gt;0.005,AL88*(1+Ordem!$E$14),0)</f>
        <v>0</v>
      </c>
      <c r="AJ89" s="43" t="n">
        <f aca="false">MIN(AI89,Ordem!$F$14)</f>
        <v>0</v>
      </c>
      <c r="AK89" s="43" t="n">
        <f aca="false">MAX(0,MIN(AI89-AJ89,$B89-(E89+I89+M89+Q89+U89+Y89+AC89+AG89)))</f>
        <v>0</v>
      </c>
      <c r="AL89" s="43" t="n">
        <f aca="false">MAX(0,AI89-AJ89-AK89)</f>
        <v>0</v>
      </c>
      <c r="AM89" s="43" t="n">
        <f aca="false">IF(AP88&gt;0.005,AP88*(1+Ordem!$E$15),0)</f>
        <v>0</v>
      </c>
      <c r="AN89" s="43" t="n">
        <f aca="false">MIN(AM89,Ordem!$F$15)</f>
        <v>0</v>
      </c>
      <c r="AO89" s="43" t="n">
        <f aca="false">MAX(0,MIN(AM89-AN89,$B89-(E89+I89+M89+Q89+U89+Y89+AC89+AG89+AK89)))</f>
        <v>0</v>
      </c>
      <c r="AP89" s="43" t="n">
        <f aca="false">MAX(0,AM89-AN89-AO89)</f>
        <v>0</v>
      </c>
      <c r="AQ89" s="43" t="n">
        <f aca="false">F89+J89+N89+R89+V89+Z89+AD89+AH89+AL89+AP89</f>
        <v>0</v>
      </c>
      <c r="AR89" s="43" t="n">
        <f aca="false">D89+E89+H89+I89+L89+M89+P89+Q89+T89+U89+X89+Y89+AB89+AC89+AF89+AG89+AJ89+AK89+AN89+AO89</f>
        <v>0</v>
      </c>
    </row>
    <row r="90" customFormat="false" ht="15" hidden="false" customHeight="false" outlineLevel="0" collapsed="false">
      <c r="A90" s="0" t="n">
        <v>86</v>
      </c>
      <c r="B90" s="43" t="n">
        <f aca="false">MAX(0,Dívidas!$C$20-(D90+H90+L90+P90+T90+X90+AB90+AF90+AJ90+AN90))</f>
        <v>1450</v>
      </c>
      <c r="C90" s="43" t="n">
        <f aca="false">IF(F89&gt;0.005,F89*(1+Ordem!$E$6),0)</f>
        <v>0</v>
      </c>
      <c r="D90" s="43" t="n">
        <f aca="false">MIN(C90,Ordem!$F$6)</f>
        <v>0</v>
      </c>
      <c r="E90" s="43" t="n">
        <f aca="false">MAX(0,MIN(C90-D90,$B90-(0)))</f>
        <v>0</v>
      </c>
      <c r="F90" s="43" t="n">
        <f aca="false">MAX(0,C90-D90-E90)</f>
        <v>0</v>
      </c>
      <c r="G90" s="43" t="n">
        <f aca="false">IF(J89&gt;0.005,J89*(1+Ordem!$E$7),0)</f>
        <v>0</v>
      </c>
      <c r="H90" s="43" t="n">
        <f aca="false">MIN(G90,Ordem!$F$7)</f>
        <v>0</v>
      </c>
      <c r="I90" s="43" t="n">
        <f aca="false">MAX(0,MIN(G90-H90,$B90-(E90)))</f>
        <v>0</v>
      </c>
      <c r="J90" s="43" t="n">
        <f aca="false">MAX(0,G90-H90-I90)</f>
        <v>0</v>
      </c>
      <c r="K90" s="43" t="n">
        <f aca="false">IF(N89&gt;0.005,N89*(1+Ordem!$E$8),0)</f>
        <v>0</v>
      </c>
      <c r="L90" s="43" t="n">
        <f aca="false">MIN(K90,Ordem!$F$8)</f>
        <v>0</v>
      </c>
      <c r="M90" s="43" t="n">
        <f aca="false">MAX(0,MIN(K90-L90,$B90-(E90+I90)))</f>
        <v>0</v>
      </c>
      <c r="N90" s="43" t="n">
        <f aca="false">MAX(0,K90-L90-M90)</f>
        <v>0</v>
      </c>
      <c r="O90" s="43" t="n">
        <f aca="false">IF(R89&gt;0.005,R89*(1+Ordem!$E$9),0)</f>
        <v>0</v>
      </c>
      <c r="P90" s="43" t="n">
        <f aca="false">MIN(O90,Ordem!$F$9)</f>
        <v>0</v>
      </c>
      <c r="Q90" s="43" t="n">
        <f aca="false">MAX(0,MIN(O90-P90,$B90-(E90+I90+M90)))</f>
        <v>0</v>
      </c>
      <c r="R90" s="43" t="n">
        <f aca="false">MAX(0,O90-P90-Q90)</f>
        <v>0</v>
      </c>
      <c r="S90" s="43" t="n">
        <f aca="false">IF(V89&gt;0.005,V89*(1+Ordem!$E$10),0)</f>
        <v>0</v>
      </c>
      <c r="T90" s="43" t="n">
        <f aca="false">MIN(S90,Ordem!$F$10)</f>
        <v>0</v>
      </c>
      <c r="U90" s="43" t="n">
        <f aca="false">MAX(0,MIN(S90-T90,$B90-(E90+I90+M90+Q90)))</f>
        <v>0</v>
      </c>
      <c r="V90" s="43" t="n">
        <f aca="false">MAX(0,S90-T90-U90)</f>
        <v>0</v>
      </c>
      <c r="W90" s="43" t="n">
        <f aca="false">IF(Z89&gt;0.005,Z89*(1+Ordem!$E$11),0)</f>
        <v>0</v>
      </c>
      <c r="X90" s="43" t="n">
        <f aca="false">MIN(W90,Ordem!$F$11)</f>
        <v>0</v>
      </c>
      <c r="Y90" s="43" t="n">
        <f aca="false">MAX(0,MIN(W90-X90,$B90-(E90+I90+M90+Q90+U90)))</f>
        <v>0</v>
      </c>
      <c r="Z90" s="43" t="n">
        <f aca="false">MAX(0,W90-X90-Y90)</f>
        <v>0</v>
      </c>
      <c r="AA90" s="43" t="n">
        <f aca="false">IF(AD89&gt;0.005,AD89*(1+Ordem!$E$12),0)</f>
        <v>0</v>
      </c>
      <c r="AB90" s="43" t="n">
        <f aca="false">MIN(AA90,Ordem!$F$12)</f>
        <v>0</v>
      </c>
      <c r="AC90" s="43" t="n">
        <f aca="false">MAX(0,MIN(AA90-AB90,$B90-(E90+I90+M90+Q90+U90+Y90)))</f>
        <v>0</v>
      </c>
      <c r="AD90" s="43" t="n">
        <f aca="false">MAX(0,AA90-AB90-AC90)</f>
        <v>0</v>
      </c>
      <c r="AE90" s="43" t="n">
        <f aca="false">IF(AH89&gt;0.005,AH89*(1+Ordem!$E$13),0)</f>
        <v>0</v>
      </c>
      <c r="AF90" s="43" t="n">
        <f aca="false">MIN(AE90,Ordem!$F$13)</f>
        <v>0</v>
      </c>
      <c r="AG90" s="43" t="n">
        <f aca="false">MAX(0,MIN(AE90-AF90,$B90-(E90+I90+M90+Q90+U90+Y90+AC90)))</f>
        <v>0</v>
      </c>
      <c r="AH90" s="43" t="n">
        <f aca="false">MAX(0,AE90-AF90-AG90)</f>
        <v>0</v>
      </c>
      <c r="AI90" s="43" t="n">
        <f aca="false">IF(AL89&gt;0.005,AL89*(1+Ordem!$E$14),0)</f>
        <v>0</v>
      </c>
      <c r="AJ90" s="43" t="n">
        <f aca="false">MIN(AI90,Ordem!$F$14)</f>
        <v>0</v>
      </c>
      <c r="AK90" s="43" t="n">
        <f aca="false">MAX(0,MIN(AI90-AJ90,$B90-(E90+I90+M90+Q90+U90+Y90+AC90+AG90)))</f>
        <v>0</v>
      </c>
      <c r="AL90" s="43" t="n">
        <f aca="false">MAX(0,AI90-AJ90-AK90)</f>
        <v>0</v>
      </c>
      <c r="AM90" s="43" t="n">
        <f aca="false">IF(AP89&gt;0.005,AP89*(1+Ordem!$E$15),0)</f>
        <v>0</v>
      </c>
      <c r="AN90" s="43" t="n">
        <f aca="false">MIN(AM90,Ordem!$F$15)</f>
        <v>0</v>
      </c>
      <c r="AO90" s="43" t="n">
        <f aca="false">MAX(0,MIN(AM90-AN90,$B90-(E90+I90+M90+Q90+U90+Y90+AC90+AG90+AK90)))</f>
        <v>0</v>
      </c>
      <c r="AP90" s="43" t="n">
        <f aca="false">MAX(0,AM90-AN90-AO90)</f>
        <v>0</v>
      </c>
      <c r="AQ90" s="43" t="n">
        <f aca="false">F90+J90+N90+R90+V90+Z90+AD90+AH90+AL90+AP90</f>
        <v>0</v>
      </c>
      <c r="AR90" s="43" t="n">
        <f aca="false">D90+E90+H90+I90+L90+M90+P90+Q90+T90+U90+X90+Y90+AB90+AC90+AF90+AG90+AJ90+AK90+AN90+AO90</f>
        <v>0</v>
      </c>
    </row>
    <row r="91" customFormat="false" ht="15" hidden="false" customHeight="false" outlineLevel="0" collapsed="false">
      <c r="A91" s="0" t="n">
        <v>87</v>
      </c>
      <c r="B91" s="43" t="n">
        <f aca="false">MAX(0,Dívidas!$C$20-(D91+H91+L91+P91+T91+X91+AB91+AF91+AJ91+AN91))</f>
        <v>1450</v>
      </c>
      <c r="C91" s="43" t="n">
        <f aca="false">IF(F90&gt;0.005,F90*(1+Ordem!$E$6),0)</f>
        <v>0</v>
      </c>
      <c r="D91" s="43" t="n">
        <f aca="false">MIN(C91,Ordem!$F$6)</f>
        <v>0</v>
      </c>
      <c r="E91" s="43" t="n">
        <f aca="false">MAX(0,MIN(C91-D91,$B91-(0)))</f>
        <v>0</v>
      </c>
      <c r="F91" s="43" t="n">
        <f aca="false">MAX(0,C91-D91-E91)</f>
        <v>0</v>
      </c>
      <c r="G91" s="43" t="n">
        <f aca="false">IF(J90&gt;0.005,J90*(1+Ordem!$E$7),0)</f>
        <v>0</v>
      </c>
      <c r="H91" s="43" t="n">
        <f aca="false">MIN(G91,Ordem!$F$7)</f>
        <v>0</v>
      </c>
      <c r="I91" s="43" t="n">
        <f aca="false">MAX(0,MIN(G91-H91,$B91-(E91)))</f>
        <v>0</v>
      </c>
      <c r="J91" s="43" t="n">
        <f aca="false">MAX(0,G91-H91-I91)</f>
        <v>0</v>
      </c>
      <c r="K91" s="43" t="n">
        <f aca="false">IF(N90&gt;0.005,N90*(1+Ordem!$E$8),0)</f>
        <v>0</v>
      </c>
      <c r="L91" s="43" t="n">
        <f aca="false">MIN(K91,Ordem!$F$8)</f>
        <v>0</v>
      </c>
      <c r="M91" s="43" t="n">
        <f aca="false">MAX(0,MIN(K91-L91,$B91-(E91+I91)))</f>
        <v>0</v>
      </c>
      <c r="N91" s="43" t="n">
        <f aca="false">MAX(0,K91-L91-M91)</f>
        <v>0</v>
      </c>
      <c r="O91" s="43" t="n">
        <f aca="false">IF(R90&gt;0.005,R90*(1+Ordem!$E$9),0)</f>
        <v>0</v>
      </c>
      <c r="P91" s="43" t="n">
        <f aca="false">MIN(O91,Ordem!$F$9)</f>
        <v>0</v>
      </c>
      <c r="Q91" s="43" t="n">
        <f aca="false">MAX(0,MIN(O91-P91,$B91-(E91+I91+M91)))</f>
        <v>0</v>
      </c>
      <c r="R91" s="43" t="n">
        <f aca="false">MAX(0,O91-P91-Q91)</f>
        <v>0</v>
      </c>
      <c r="S91" s="43" t="n">
        <f aca="false">IF(V90&gt;0.005,V90*(1+Ordem!$E$10),0)</f>
        <v>0</v>
      </c>
      <c r="T91" s="43" t="n">
        <f aca="false">MIN(S91,Ordem!$F$10)</f>
        <v>0</v>
      </c>
      <c r="U91" s="43" t="n">
        <f aca="false">MAX(0,MIN(S91-T91,$B91-(E91+I91+M91+Q91)))</f>
        <v>0</v>
      </c>
      <c r="V91" s="43" t="n">
        <f aca="false">MAX(0,S91-T91-U91)</f>
        <v>0</v>
      </c>
      <c r="W91" s="43" t="n">
        <f aca="false">IF(Z90&gt;0.005,Z90*(1+Ordem!$E$11),0)</f>
        <v>0</v>
      </c>
      <c r="X91" s="43" t="n">
        <f aca="false">MIN(W91,Ordem!$F$11)</f>
        <v>0</v>
      </c>
      <c r="Y91" s="43" t="n">
        <f aca="false">MAX(0,MIN(W91-X91,$B91-(E91+I91+M91+Q91+U91)))</f>
        <v>0</v>
      </c>
      <c r="Z91" s="43" t="n">
        <f aca="false">MAX(0,W91-X91-Y91)</f>
        <v>0</v>
      </c>
      <c r="AA91" s="43" t="n">
        <f aca="false">IF(AD90&gt;0.005,AD90*(1+Ordem!$E$12),0)</f>
        <v>0</v>
      </c>
      <c r="AB91" s="43" t="n">
        <f aca="false">MIN(AA91,Ordem!$F$12)</f>
        <v>0</v>
      </c>
      <c r="AC91" s="43" t="n">
        <f aca="false">MAX(0,MIN(AA91-AB91,$B91-(E91+I91+M91+Q91+U91+Y91)))</f>
        <v>0</v>
      </c>
      <c r="AD91" s="43" t="n">
        <f aca="false">MAX(0,AA91-AB91-AC91)</f>
        <v>0</v>
      </c>
      <c r="AE91" s="43" t="n">
        <f aca="false">IF(AH90&gt;0.005,AH90*(1+Ordem!$E$13),0)</f>
        <v>0</v>
      </c>
      <c r="AF91" s="43" t="n">
        <f aca="false">MIN(AE91,Ordem!$F$13)</f>
        <v>0</v>
      </c>
      <c r="AG91" s="43" t="n">
        <f aca="false">MAX(0,MIN(AE91-AF91,$B91-(E91+I91+M91+Q91+U91+Y91+AC91)))</f>
        <v>0</v>
      </c>
      <c r="AH91" s="43" t="n">
        <f aca="false">MAX(0,AE91-AF91-AG91)</f>
        <v>0</v>
      </c>
      <c r="AI91" s="43" t="n">
        <f aca="false">IF(AL90&gt;0.005,AL90*(1+Ordem!$E$14),0)</f>
        <v>0</v>
      </c>
      <c r="AJ91" s="43" t="n">
        <f aca="false">MIN(AI91,Ordem!$F$14)</f>
        <v>0</v>
      </c>
      <c r="AK91" s="43" t="n">
        <f aca="false">MAX(0,MIN(AI91-AJ91,$B91-(E91+I91+M91+Q91+U91+Y91+AC91+AG91)))</f>
        <v>0</v>
      </c>
      <c r="AL91" s="43" t="n">
        <f aca="false">MAX(0,AI91-AJ91-AK91)</f>
        <v>0</v>
      </c>
      <c r="AM91" s="43" t="n">
        <f aca="false">IF(AP90&gt;0.005,AP90*(1+Ordem!$E$15),0)</f>
        <v>0</v>
      </c>
      <c r="AN91" s="43" t="n">
        <f aca="false">MIN(AM91,Ordem!$F$15)</f>
        <v>0</v>
      </c>
      <c r="AO91" s="43" t="n">
        <f aca="false">MAX(0,MIN(AM91-AN91,$B91-(E91+I91+M91+Q91+U91+Y91+AC91+AG91+AK91)))</f>
        <v>0</v>
      </c>
      <c r="AP91" s="43" t="n">
        <f aca="false">MAX(0,AM91-AN91-AO91)</f>
        <v>0</v>
      </c>
      <c r="AQ91" s="43" t="n">
        <f aca="false">F91+J91+N91+R91+V91+Z91+AD91+AH91+AL91+AP91</f>
        <v>0</v>
      </c>
      <c r="AR91" s="43" t="n">
        <f aca="false">D91+E91+H91+I91+L91+M91+P91+Q91+T91+U91+X91+Y91+AB91+AC91+AF91+AG91+AJ91+AK91+AN91+AO91</f>
        <v>0</v>
      </c>
    </row>
    <row r="92" customFormat="false" ht="15" hidden="false" customHeight="false" outlineLevel="0" collapsed="false">
      <c r="A92" s="0" t="n">
        <v>88</v>
      </c>
      <c r="B92" s="43" t="n">
        <f aca="false">MAX(0,Dívidas!$C$20-(D92+H92+L92+P92+T92+X92+AB92+AF92+AJ92+AN92))</f>
        <v>1450</v>
      </c>
      <c r="C92" s="43" t="n">
        <f aca="false">IF(F91&gt;0.005,F91*(1+Ordem!$E$6),0)</f>
        <v>0</v>
      </c>
      <c r="D92" s="43" t="n">
        <f aca="false">MIN(C92,Ordem!$F$6)</f>
        <v>0</v>
      </c>
      <c r="E92" s="43" t="n">
        <f aca="false">MAX(0,MIN(C92-D92,$B92-(0)))</f>
        <v>0</v>
      </c>
      <c r="F92" s="43" t="n">
        <f aca="false">MAX(0,C92-D92-E92)</f>
        <v>0</v>
      </c>
      <c r="G92" s="43" t="n">
        <f aca="false">IF(J91&gt;0.005,J91*(1+Ordem!$E$7),0)</f>
        <v>0</v>
      </c>
      <c r="H92" s="43" t="n">
        <f aca="false">MIN(G92,Ordem!$F$7)</f>
        <v>0</v>
      </c>
      <c r="I92" s="43" t="n">
        <f aca="false">MAX(0,MIN(G92-H92,$B92-(E92)))</f>
        <v>0</v>
      </c>
      <c r="J92" s="43" t="n">
        <f aca="false">MAX(0,G92-H92-I92)</f>
        <v>0</v>
      </c>
      <c r="K92" s="43" t="n">
        <f aca="false">IF(N91&gt;0.005,N91*(1+Ordem!$E$8),0)</f>
        <v>0</v>
      </c>
      <c r="L92" s="43" t="n">
        <f aca="false">MIN(K92,Ordem!$F$8)</f>
        <v>0</v>
      </c>
      <c r="M92" s="43" t="n">
        <f aca="false">MAX(0,MIN(K92-L92,$B92-(E92+I92)))</f>
        <v>0</v>
      </c>
      <c r="N92" s="43" t="n">
        <f aca="false">MAX(0,K92-L92-M92)</f>
        <v>0</v>
      </c>
      <c r="O92" s="43" t="n">
        <f aca="false">IF(R91&gt;0.005,R91*(1+Ordem!$E$9),0)</f>
        <v>0</v>
      </c>
      <c r="P92" s="43" t="n">
        <f aca="false">MIN(O92,Ordem!$F$9)</f>
        <v>0</v>
      </c>
      <c r="Q92" s="43" t="n">
        <f aca="false">MAX(0,MIN(O92-P92,$B92-(E92+I92+M92)))</f>
        <v>0</v>
      </c>
      <c r="R92" s="43" t="n">
        <f aca="false">MAX(0,O92-P92-Q92)</f>
        <v>0</v>
      </c>
      <c r="S92" s="43" t="n">
        <f aca="false">IF(V91&gt;0.005,V91*(1+Ordem!$E$10),0)</f>
        <v>0</v>
      </c>
      <c r="T92" s="43" t="n">
        <f aca="false">MIN(S92,Ordem!$F$10)</f>
        <v>0</v>
      </c>
      <c r="U92" s="43" t="n">
        <f aca="false">MAX(0,MIN(S92-T92,$B92-(E92+I92+M92+Q92)))</f>
        <v>0</v>
      </c>
      <c r="V92" s="43" t="n">
        <f aca="false">MAX(0,S92-T92-U92)</f>
        <v>0</v>
      </c>
      <c r="W92" s="43" t="n">
        <f aca="false">IF(Z91&gt;0.005,Z91*(1+Ordem!$E$11),0)</f>
        <v>0</v>
      </c>
      <c r="X92" s="43" t="n">
        <f aca="false">MIN(W92,Ordem!$F$11)</f>
        <v>0</v>
      </c>
      <c r="Y92" s="43" t="n">
        <f aca="false">MAX(0,MIN(W92-X92,$B92-(E92+I92+M92+Q92+U92)))</f>
        <v>0</v>
      </c>
      <c r="Z92" s="43" t="n">
        <f aca="false">MAX(0,W92-X92-Y92)</f>
        <v>0</v>
      </c>
      <c r="AA92" s="43" t="n">
        <f aca="false">IF(AD91&gt;0.005,AD91*(1+Ordem!$E$12),0)</f>
        <v>0</v>
      </c>
      <c r="AB92" s="43" t="n">
        <f aca="false">MIN(AA92,Ordem!$F$12)</f>
        <v>0</v>
      </c>
      <c r="AC92" s="43" t="n">
        <f aca="false">MAX(0,MIN(AA92-AB92,$B92-(E92+I92+M92+Q92+U92+Y92)))</f>
        <v>0</v>
      </c>
      <c r="AD92" s="43" t="n">
        <f aca="false">MAX(0,AA92-AB92-AC92)</f>
        <v>0</v>
      </c>
      <c r="AE92" s="43" t="n">
        <f aca="false">IF(AH91&gt;0.005,AH91*(1+Ordem!$E$13),0)</f>
        <v>0</v>
      </c>
      <c r="AF92" s="43" t="n">
        <f aca="false">MIN(AE92,Ordem!$F$13)</f>
        <v>0</v>
      </c>
      <c r="AG92" s="43" t="n">
        <f aca="false">MAX(0,MIN(AE92-AF92,$B92-(E92+I92+M92+Q92+U92+Y92+AC92)))</f>
        <v>0</v>
      </c>
      <c r="AH92" s="43" t="n">
        <f aca="false">MAX(0,AE92-AF92-AG92)</f>
        <v>0</v>
      </c>
      <c r="AI92" s="43" t="n">
        <f aca="false">IF(AL91&gt;0.005,AL91*(1+Ordem!$E$14),0)</f>
        <v>0</v>
      </c>
      <c r="AJ92" s="43" t="n">
        <f aca="false">MIN(AI92,Ordem!$F$14)</f>
        <v>0</v>
      </c>
      <c r="AK92" s="43" t="n">
        <f aca="false">MAX(0,MIN(AI92-AJ92,$B92-(E92+I92+M92+Q92+U92+Y92+AC92+AG92)))</f>
        <v>0</v>
      </c>
      <c r="AL92" s="43" t="n">
        <f aca="false">MAX(0,AI92-AJ92-AK92)</f>
        <v>0</v>
      </c>
      <c r="AM92" s="43" t="n">
        <f aca="false">IF(AP91&gt;0.005,AP91*(1+Ordem!$E$15),0)</f>
        <v>0</v>
      </c>
      <c r="AN92" s="43" t="n">
        <f aca="false">MIN(AM92,Ordem!$F$15)</f>
        <v>0</v>
      </c>
      <c r="AO92" s="43" t="n">
        <f aca="false">MAX(0,MIN(AM92-AN92,$B92-(E92+I92+M92+Q92+U92+Y92+AC92+AG92+AK92)))</f>
        <v>0</v>
      </c>
      <c r="AP92" s="43" t="n">
        <f aca="false">MAX(0,AM92-AN92-AO92)</f>
        <v>0</v>
      </c>
      <c r="AQ92" s="43" t="n">
        <f aca="false">F92+J92+N92+R92+V92+Z92+AD92+AH92+AL92+AP92</f>
        <v>0</v>
      </c>
      <c r="AR92" s="43" t="n">
        <f aca="false">D92+E92+H92+I92+L92+M92+P92+Q92+T92+U92+X92+Y92+AB92+AC92+AF92+AG92+AJ92+AK92+AN92+AO92</f>
        <v>0</v>
      </c>
    </row>
    <row r="93" customFormat="false" ht="15" hidden="false" customHeight="false" outlineLevel="0" collapsed="false">
      <c r="A93" s="0" t="n">
        <v>89</v>
      </c>
      <c r="B93" s="43" t="n">
        <f aca="false">MAX(0,Dívidas!$C$20-(D93+H93+L93+P93+T93+X93+AB93+AF93+AJ93+AN93))</f>
        <v>1450</v>
      </c>
      <c r="C93" s="43" t="n">
        <f aca="false">IF(F92&gt;0.005,F92*(1+Ordem!$E$6),0)</f>
        <v>0</v>
      </c>
      <c r="D93" s="43" t="n">
        <f aca="false">MIN(C93,Ordem!$F$6)</f>
        <v>0</v>
      </c>
      <c r="E93" s="43" t="n">
        <f aca="false">MAX(0,MIN(C93-D93,$B93-(0)))</f>
        <v>0</v>
      </c>
      <c r="F93" s="43" t="n">
        <f aca="false">MAX(0,C93-D93-E93)</f>
        <v>0</v>
      </c>
      <c r="G93" s="43" t="n">
        <f aca="false">IF(J92&gt;0.005,J92*(1+Ordem!$E$7),0)</f>
        <v>0</v>
      </c>
      <c r="H93" s="43" t="n">
        <f aca="false">MIN(G93,Ordem!$F$7)</f>
        <v>0</v>
      </c>
      <c r="I93" s="43" t="n">
        <f aca="false">MAX(0,MIN(G93-H93,$B93-(E93)))</f>
        <v>0</v>
      </c>
      <c r="J93" s="43" t="n">
        <f aca="false">MAX(0,G93-H93-I93)</f>
        <v>0</v>
      </c>
      <c r="K93" s="43" t="n">
        <f aca="false">IF(N92&gt;0.005,N92*(1+Ordem!$E$8),0)</f>
        <v>0</v>
      </c>
      <c r="L93" s="43" t="n">
        <f aca="false">MIN(K93,Ordem!$F$8)</f>
        <v>0</v>
      </c>
      <c r="M93" s="43" t="n">
        <f aca="false">MAX(0,MIN(K93-L93,$B93-(E93+I93)))</f>
        <v>0</v>
      </c>
      <c r="N93" s="43" t="n">
        <f aca="false">MAX(0,K93-L93-M93)</f>
        <v>0</v>
      </c>
      <c r="O93" s="43" t="n">
        <f aca="false">IF(R92&gt;0.005,R92*(1+Ordem!$E$9),0)</f>
        <v>0</v>
      </c>
      <c r="P93" s="43" t="n">
        <f aca="false">MIN(O93,Ordem!$F$9)</f>
        <v>0</v>
      </c>
      <c r="Q93" s="43" t="n">
        <f aca="false">MAX(0,MIN(O93-P93,$B93-(E93+I93+M93)))</f>
        <v>0</v>
      </c>
      <c r="R93" s="43" t="n">
        <f aca="false">MAX(0,O93-P93-Q93)</f>
        <v>0</v>
      </c>
      <c r="S93" s="43" t="n">
        <f aca="false">IF(V92&gt;0.005,V92*(1+Ordem!$E$10),0)</f>
        <v>0</v>
      </c>
      <c r="T93" s="43" t="n">
        <f aca="false">MIN(S93,Ordem!$F$10)</f>
        <v>0</v>
      </c>
      <c r="U93" s="43" t="n">
        <f aca="false">MAX(0,MIN(S93-T93,$B93-(E93+I93+M93+Q93)))</f>
        <v>0</v>
      </c>
      <c r="V93" s="43" t="n">
        <f aca="false">MAX(0,S93-T93-U93)</f>
        <v>0</v>
      </c>
      <c r="W93" s="43" t="n">
        <f aca="false">IF(Z92&gt;0.005,Z92*(1+Ordem!$E$11),0)</f>
        <v>0</v>
      </c>
      <c r="X93" s="43" t="n">
        <f aca="false">MIN(W93,Ordem!$F$11)</f>
        <v>0</v>
      </c>
      <c r="Y93" s="43" t="n">
        <f aca="false">MAX(0,MIN(W93-X93,$B93-(E93+I93+M93+Q93+U93)))</f>
        <v>0</v>
      </c>
      <c r="Z93" s="43" t="n">
        <f aca="false">MAX(0,W93-X93-Y93)</f>
        <v>0</v>
      </c>
      <c r="AA93" s="43" t="n">
        <f aca="false">IF(AD92&gt;0.005,AD92*(1+Ordem!$E$12),0)</f>
        <v>0</v>
      </c>
      <c r="AB93" s="43" t="n">
        <f aca="false">MIN(AA93,Ordem!$F$12)</f>
        <v>0</v>
      </c>
      <c r="AC93" s="43" t="n">
        <f aca="false">MAX(0,MIN(AA93-AB93,$B93-(E93+I93+M93+Q93+U93+Y93)))</f>
        <v>0</v>
      </c>
      <c r="AD93" s="43" t="n">
        <f aca="false">MAX(0,AA93-AB93-AC93)</f>
        <v>0</v>
      </c>
      <c r="AE93" s="43" t="n">
        <f aca="false">IF(AH92&gt;0.005,AH92*(1+Ordem!$E$13),0)</f>
        <v>0</v>
      </c>
      <c r="AF93" s="43" t="n">
        <f aca="false">MIN(AE93,Ordem!$F$13)</f>
        <v>0</v>
      </c>
      <c r="AG93" s="43" t="n">
        <f aca="false">MAX(0,MIN(AE93-AF93,$B93-(E93+I93+M93+Q93+U93+Y93+AC93)))</f>
        <v>0</v>
      </c>
      <c r="AH93" s="43" t="n">
        <f aca="false">MAX(0,AE93-AF93-AG93)</f>
        <v>0</v>
      </c>
      <c r="AI93" s="43" t="n">
        <f aca="false">IF(AL92&gt;0.005,AL92*(1+Ordem!$E$14),0)</f>
        <v>0</v>
      </c>
      <c r="AJ93" s="43" t="n">
        <f aca="false">MIN(AI93,Ordem!$F$14)</f>
        <v>0</v>
      </c>
      <c r="AK93" s="43" t="n">
        <f aca="false">MAX(0,MIN(AI93-AJ93,$B93-(E93+I93+M93+Q93+U93+Y93+AC93+AG93)))</f>
        <v>0</v>
      </c>
      <c r="AL93" s="43" t="n">
        <f aca="false">MAX(0,AI93-AJ93-AK93)</f>
        <v>0</v>
      </c>
      <c r="AM93" s="43" t="n">
        <f aca="false">IF(AP92&gt;0.005,AP92*(1+Ordem!$E$15),0)</f>
        <v>0</v>
      </c>
      <c r="AN93" s="43" t="n">
        <f aca="false">MIN(AM93,Ordem!$F$15)</f>
        <v>0</v>
      </c>
      <c r="AO93" s="43" t="n">
        <f aca="false">MAX(0,MIN(AM93-AN93,$B93-(E93+I93+M93+Q93+U93+Y93+AC93+AG93+AK93)))</f>
        <v>0</v>
      </c>
      <c r="AP93" s="43" t="n">
        <f aca="false">MAX(0,AM93-AN93-AO93)</f>
        <v>0</v>
      </c>
      <c r="AQ93" s="43" t="n">
        <f aca="false">F93+J93+N93+R93+V93+Z93+AD93+AH93+AL93+AP93</f>
        <v>0</v>
      </c>
      <c r="AR93" s="43" t="n">
        <f aca="false">D93+E93+H93+I93+L93+M93+P93+Q93+T93+U93+X93+Y93+AB93+AC93+AF93+AG93+AJ93+AK93+AN93+AO93</f>
        <v>0</v>
      </c>
    </row>
    <row r="94" customFormat="false" ht="15" hidden="false" customHeight="false" outlineLevel="0" collapsed="false">
      <c r="A94" s="0" t="n">
        <v>90</v>
      </c>
      <c r="B94" s="43" t="n">
        <f aca="false">MAX(0,Dívidas!$C$20-(D94+H94+L94+P94+T94+X94+AB94+AF94+AJ94+AN94))</f>
        <v>1450</v>
      </c>
      <c r="C94" s="43" t="n">
        <f aca="false">IF(F93&gt;0.005,F93*(1+Ordem!$E$6),0)</f>
        <v>0</v>
      </c>
      <c r="D94" s="43" t="n">
        <f aca="false">MIN(C94,Ordem!$F$6)</f>
        <v>0</v>
      </c>
      <c r="E94" s="43" t="n">
        <f aca="false">MAX(0,MIN(C94-D94,$B94-(0)))</f>
        <v>0</v>
      </c>
      <c r="F94" s="43" t="n">
        <f aca="false">MAX(0,C94-D94-E94)</f>
        <v>0</v>
      </c>
      <c r="G94" s="43" t="n">
        <f aca="false">IF(J93&gt;0.005,J93*(1+Ordem!$E$7),0)</f>
        <v>0</v>
      </c>
      <c r="H94" s="43" t="n">
        <f aca="false">MIN(G94,Ordem!$F$7)</f>
        <v>0</v>
      </c>
      <c r="I94" s="43" t="n">
        <f aca="false">MAX(0,MIN(G94-H94,$B94-(E94)))</f>
        <v>0</v>
      </c>
      <c r="J94" s="43" t="n">
        <f aca="false">MAX(0,G94-H94-I94)</f>
        <v>0</v>
      </c>
      <c r="K94" s="43" t="n">
        <f aca="false">IF(N93&gt;0.005,N93*(1+Ordem!$E$8),0)</f>
        <v>0</v>
      </c>
      <c r="L94" s="43" t="n">
        <f aca="false">MIN(K94,Ordem!$F$8)</f>
        <v>0</v>
      </c>
      <c r="M94" s="43" t="n">
        <f aca="false">MAX(0,MIN(K94-L94,$B94-(E94+I94)))</f>
        <v>0</v>
      </c>
      <c r="N94" s="43" t="n">
        <f aca="false">MAX(0,K94-L94-M94)</f>
        <v>0</v>
      </c>
      <c r="O94" s="43" t="n">
        <f aca="false">IF(R93&gt;0.005,R93*(1+Ordem!$E$9),0)</f>
        <v>0</v>
      </c>
      <c r="P94" s="43" t="n">
        <f aca="false">MIN(O94,Ordem!$F$9)</f>
        <v>0</v>
      </c>
      <c r="Q94" s="43" t="n">
        <f aca="false">MAX(0,MIN(O94-P94,$B94-(E94+I94+M94)))</f>
        <v>0</v>
      </c>
      <c r="R94" s="43" t="n">
        <f aca="false">MAX(0,O94-P94-Q94)</f>
        <v>0</v>
      </c>
      <c r="S94" s="43" t="n">
        <f aca="false">IF(V93&gt;0.005,V93*(1+Ordem!$E$10),0)</f>
        <v>0</v>
      </c>
      <c r="T94" s="43" t="n">
        <f aca="false">MIN(S94,Ordem!$F$10)</f>
        <v>0</v>
      </c>
      <c r="U94" s="43" t="n">
        <f aca="false">MAX(0,MIN(S94-T94,$B94-(E94+I94+M94+Q94)))</f>
        <v>0</v>
      </c>
      <c r="V94" s="43" t="n">
        <f aca="false">MAX(0,S94-T94-U94)</f>
        <v>0</v>
      </c>
      <c r="W94" s="43" t="n">
        <f aca="false">IF(Z93&gt;0.005,Z93*(1+Ordem!$E$11),0)</f>
        <v>0</v>
      </c>
      <c r="X94" s="43" t="n">
        <f aca="false">MIN(W94,Ordem!$F$11)</f>
        <v>0</v>
      </c>
      <c r="Y94" s="43" t="n">
        <f aca="false">MAX(0,MIN(W94-X94,$B94-(E94+I94+M94+Q94+U94)))</f>
        <v>0</v>
      </c>
      <c r="Z94" s="43" t="n">
        <f aca="false">MAX(0,W94-X94-Y94)</f>
        <v>0</v>
      </c>
      <c r="AA94" s="43" t="n">
        <f aca="false">IF(AD93&gt;0.005,AD93*(1+Ordem!$E$12),0)</f>
        <v>0</v>
      </c>
      <c r="AB94" s="43" t="n">
        <f aca="false">MIN(AA94,Ordem!$F$12)</f>
        <v>0</v>
      </c>
      <c r="AC94" s="43" t="n">
        <f aca="false">MAX(0,MIN(AA94-AB94,$B94-(E94+I94+M94+Q94+U94+Y94)))</f>
        <v>0</v>
      </c>
      <c r="AD94" s="43" t="n">
        <f aca="false">MAX(0,AA94-AB94-AC94)</f>
        <v>0</v>
      </c>
      <c r="AE94" s="43" t="n">
        <f aca="false">IF(AH93&gt;0.005,AH93*(1+Ordem!$E$13),0)</f>
        <v>0</v>
      </c>
      <c r="AF94" s="43" t="n">
        <f aca="false">MIN(AE94,Ordem!$F$13)</f>
        <v>0</v>
      </c>
      <c r="AG94" s="43" t="n">
        <f aca="false">MAX(0,MIN(AE94-AF94,$B94-(E94+I94+M94+Q94+U94+Y94+AC94)))</f>
        <v>0</v>
      </c>
      <c r="AH94" s="43" t="n">
        <f aca="false">MAX(0,AE94-AF94-AG94)</f>
        <v>0</v>
      </c>
      <c r="AI94" s="43" t="n">
        <f aca="false">IF(AL93&gt;0.005,AL93*(1+Ordem!$E$14),0)</f>
        <v>0</v>
      </c>
      <c r="AJ94" s="43" t="n">
        <f aca="false">MIN(AI94,Ordem!$F$14)</f>
        <v>0</v>
      </c>
      <c r="AK94" s="43" t="n">
        <f aca="false">MAX(0,MIN(AI94-AJ94,$B94-(E94+I94+M94+Q94+U94+Y94+AC94+AG94)))</f>
        <v>0</v>
      </c>
      <c r="AL94" s="43" t="n">
        <f aca="false">MAX(0,AI94-AJ94-AK94)</f>
        <v>0</v>
      </c>
      <c r="AM94" s="43" t="n">
        <f aca="false">IF(AP93&gt;0.005,AP93*(1+Ordem!$E$15),0)</f>
        <v>0</v>
      </c>
      <c r="AN94" s="43" t="n">
        <f aca="false">MIN(AM94,Ordem!$F$15)</f>
        <v>0</v>
      </c>
      <c r="AO94" s="43" t="n">
        <f aca="false">MAX(0,MIN(AM94-AN94,$B94-(E94+I94+M94+Q94+U94+Y94+AC94+AG94+AK94)))</f>
        <v>0</v>
      </c>
      <c r="AP94" s="43" t="n">
        <f aca="false">MAX(0,AM94-AN94-AO94)</f>
        <v>0</v>
      </c>
      <c r="AQ94" s="43" t="n">
        <f aca="false">F94+J94+N94+R94+V94+Z94+AD94+AH94+AL94+AP94</f>
        <v>0</v>
      </c>
      <c r="AR94" s="43" t="n">
        <f aca="false">D94+E94+H94+I94+L94+M94+P94+Q94+T94+U94+X94+Y94+AB94+AC94+AF94+AG94+AJ94+AK94+AN94+AO94</f>
        <v>0</v>
      </c>
    </row>
    <row r="95" customFormat="false" ht="15" hidden="false" customHeight="false" outlineLevel="0" collapsed="false">
      <c r="A95" s="0" t="n">
        <v>91</v>
      </c>
      <c r="B95" s="43" t="n">
        <f aca="false">MAX(0,Dívidas!$C$20-(D95+H95+L95+P95+T95+X95+AB95+AF95+AJ95+AN95))</f>
        <v>1450</v>
      </c>
      <c r="C95" s="43" t="n">
        <f aca="false">IF(F94&gt;0.005,F94*(1+Ordem!$E$6),0)</f>
        <v>0</v>
      </c>
      <c r="D95" s="43" t="n">
        <f aca="false">MIN(C95,Ordem!$F$6)</f>
        <v>0</v>
      </c>
      <c r="E95" s="43" t="n">
        <f aca="false">MAX(0,MIN(C95-D95,$B95-(0)))</f>
        <v>0</v>
      </c>
      <c r="F95" s="43" t="n">
        <f aca="false">MAX(0,C95-D95-E95)</f>
        <v>0</v>
      </c>
      <c r="G95" s="43" t="n">
        <f aca="false">IF(J94&gt;0.005,J94*(1+Ordem!$E$7),0)</f>
        <v>0</v>
      </c>
      <c r="H95" s="43" t="n">
        <f aca="false">MIN(G95,Ordem!$F$7)</f>
        <v>0</v>
      </c>
      <c r="I95" s="43" t="n">
        <f aca="false">MAX(0,MIN(G95-H95,$B95-(E95)))</f>
        <v>0</v>
      </c>
      <c r="J95" s="43" t="n">
        <f aca="false">MAX(0,G95-H95-I95)</f>
        <v>0</v>
      </c>
      <c r="K95" s="43" t="n">
        <f aca="false">IF(N94&gt;0.005,N94*(1+Ordem!$E$8),0)</f>
        <v>0</v>
      </c>
      <c r="L95" s="43" t="n">
        <f aca="false">MIN(K95,Ordem!$F$8)</f>
        <v>0</v>
      </c>
      <c r="M95" s="43" t="n">
        <f aca="false">MAX(0,MIN(K95-L95,$B95-(E95+I95)))</f>
        <v>0</v>
      </c>
      <c r="N95" s="43" t="n">
        <f aca="false">MAX(0,K95-L95-M95)</f>
        <v>0</v>
      </c>
      <c r="O95" s="43" t="n">
        <f aca="false">IF(R94&gt;0.005,R94*(1+Ordem!$E$9),0)</f>
        <v>0</v>
      </c>
      <c r="P95" s="43" t="n">
        <f aca="false">MIN(O95,Ordem!$F$9)</f>
        <v>0</v>
      </c>
      <c r="Q95" s="43" t="n">
        <f aca="false">MAX(0,MIN(O95-P95,$B95-(E95+I95+M95)))</f>
        <v>0</v>
      </c>
      <c r="R95" s="43" t="n">
        <f aca="false">MAX(0,O95-P95-Q95)</f>
        <v>0</v>
      </c>
      <c r="S95" s="43" t="n">
        <f aca="false">IF(V94&gt;0.005,V94*(1+Ordem!$E$10),0)</f>
        <v>0</v>
      </c>
      <c r="T95" s="43" t="n">
        <f aca="false">MIN(S95,Ordem!$F$10)</f>
        <v>0</v>
      </c>
      <c r="U95" s="43" t="n">
        <f aca="false">MAX(0,MIN(S95-T95,$B95-(E95+I95+M95+Q95)))</f>
        <v>0</v>
      </c>
      <c r="V95" s="43" t="n">
        <f aca="false">MAX(0,S95-T95-U95)</f>
        <v>0</v>
      </c>
      <c r="W95" s="43" t="n">
        <f aca="false">IF(Z94&gt;0.005,Z94*(1+Ordem!$E$11),0)</f>
        <v>0</v>
      </c>
      <c r="X95" s="43" t="n">
        <f aca="false">MIN(W95,Ordem!$F$11)</f>
        <v>0</v>
      </c>
      <c r="Y95" s="43" t="n">
        <f aca="false">MAX(0,MIN(W95-X95,$B95-(E95+I95+M95+Q95+U95)))</f>
        <v>0</v>
      </c>
      <c r="Z95" s="43" t="n">
        <f aca="false">MAX(0,W95-X95-Y95)</f>
        <v>0</v>
      </c>
      <c r="AA95" s="43" t="n">
        <f aca="false">IF(AD94&gt;0.005,AD94*(1+Ordem!$E$12),0)</f>
        <v>0</v>
      </c>
      <c r="AB95" s="43" t="n">
        <f aca="false">MIN(AA95,Ordem!$F$12)</f>
        <v>0</v>
      </c>
      <c r="AC95" s="43" t="n">
        <f aca="false">MAX(0,MIN(AA95-AB95,$B95-(E95+I95+M95+Q95+U95+Y95)))</f>
        <v>0</v>
      </c>
      <c r="AD95" s="43" t="n">
        <f aca="false">MAX(0,AA95-AB95-AC95)</f>
        <v>0</v>
      </c>
      <c r="AE95" s="43" t="n">
        <f aca="false">IF(AH94&gt;0.005,AH94*(1+Ordem!$E$13),0)</f>
        <v>0</v>
      </c>
      <c r="AF95" s="43" t="n">
        <f aca="false">MIN(AE95,Ordem!$F$13)</f>
        <v>0</v>
      </c>
      <c r="AG95" s="43" t="n">
        <f aca="false">MAX(0,MIN(AE95-AF95,$B95-(E95+I95+M95+Q95+U95+Y95+AC95)))</f>
        <v>0</v>
      </c>
      <c r="AH95" s="43" t="n">
        <f aca="false">MAX(0,AE95-AF95-AG95)</f>
        <v>0</v>
      </c>
      <c r="AI95" s="43" t="n">
        <f aca="false">IF(AL94&gt;0.005,AL94*(1+Ordem!$E$14),0)</f>
        <v>0</v>
      </c>
      <c r="AJ95" s="43" t="n">
        <f aca="false">MIN(AI95,Ordem!$F$14)</f>
        <v>0</v>
      </c>
      <c r="AK95" s="43" t="n">
        <f aca="false">MAX(0,MIN(AI95-AJ95,$B95-(E95+I95+M95+Q95+U95+Y95+AC95+AG95)))</f>
        <v>0</v>
      </c>
      <c r="AL95" s="43" t="n">
        <f aca="false">MAX(0,AI95-AJ95-AK95)</f>
        <v>0</v>
      </c>
      <c r="AM95" s="43" t="n">
        <f aca="false">IF(AP94&gt;0.005,AP94*(1+Ordem!$E$15),0)</f>
        <v>0</v>
      </c>
      <c r="AN95" s="43" t="n">
        <f aca="false">MIN(AM95,Ordem!$F$15)</f>
        <v>0</v>
      </c>
      <c r="AO95" s="43" t="n">
        <f aca="false">MAX(0,MIN(AM95-AN95,$B95-(E95+I95+M95+Q95+U95+Y95+AC95+AG95+AK95)))</f>
        <v>0</v>
      </c>
      <c r="AP95" s="43" t="n">
        <f aca="false">MAX(0,AM95-AN95-AO95)</f>
        <v>0</v>
      </c>
      <c r="AQ95" s="43" t="n">
        <f aca="false">F95+J95+N95+R95+V95+Z95+AD95+AH95+AL95+AP95</f>
        <v>0</v>
      </c>
      <c r="AR95" s="43" t="n">
        <f aca="false">D95+E95+H95+I95+L95+M95+P95+Q95+T95+U95+X95+Y95+AB95+AC95+AF95+AG95+AJ95+AK95+AN95+AO95</f>
        <v>0</v>
      </c>
    </row>
    <row r="96" customFormat="false" ht="15" hidden="false" customHeight="false" outlineLevel="0" collapsed="false">
      <c r="A96" s="0" t="n">
        <v>92</v>
      </c>
      <c r="B96" s="43" t="n">
        <f aca="false">MAX(0,Dívidas!$C$20-(D96+H96+L96+P96+T96+X96+AB96+AF96+AJ96+AN96))</f>
        <v>1450</v>
      </c>
      <c r="C96" s="43" t="n">
        <f aca="false">IF(F95&gt;0.005,F95*(1+Ordem!$E$6),0)</f>
        <v>0</v>
      </c>
      <c r="D96" s="43" t="n">
        <f aca="false">MIN(C96,Ordem!$F$6)</f>
        <v>0</v>
      </c>
      <c r="E96" s="43" t="n">
        <f aca="false">MAX(0,MIN(C96-D96,$B96-(0)))</f>
        <v>0</v>
      </c>
      <c r="F96" s="43" t="n">
        <f aca="false">MAX(0,C96-D96-E96)</f>
        <v>0</v>
      </c>
      <c r="G96" s="43" t="n">
        <f aca="false">IF(J95&gt;0.005,J95*(1+Ordem!$E$7),0)</f>
        <v>0</v>
      </c>
      <c r="H96" s="43" t="n">
        <f aca="false">MIN(G96,Ordem!$F$7)</f>
        <v>0</v>
      </c>
      <c r="I96" s="43" t="n">
        <f aca="false">MAX(0,MIN(G96-H96,$B96-(E96)))</f>
        <v>0</v>
      </c>
      <c r="J96" s="43" t="n">
        <f aca="false">MAX(0,G96-H96-I96)</f>
        <v>0</v>
      </c>
      <c r="K96" s="43" t="n">
        <f aca="false">IF(N95&gt;0.005,N95*(1+Ordem!$E$8),0)</f>
        <v>0</v>
      </c>
      <c r="L96" s="43" t="n">
        <f aca="false">MIN(K96,Ordem!$F$8)</f>
        <v>0</v>
      </c>
      <c r="M96" s="43" t="n">
        <f aca="false">MAX(0,MIN(K96-L96,$B96-(E96+I96)))</f>
        <v>0</v>
      </c>
      <c r="N96" s="43" t="n">
        <f aca="false">MAX(0,K96-L96-M96)</f>
        <v>0</v>
      </c>
      <c r="O96" s="43" t="n">
        <f aca="false">IF(R95&gt;0.005,R95*(1+Ordem!$E$9),0)</f>
        <v>0</v>
      </c>
      <c r="P96" s="43" t="n">
        <f aca="false">MIN(O96,Ordem!$F$9)</f>
        <v>0</v>
      </c>
      <c r="Q96" s="43" t="n">
        <f aca="false">MAX(0,MIN(O96-P96,$B96-(E96+I96+M96)))</f>
        <v>0</v>
      </c>
      <c r="R96" s="43" t="n">
        <f aca="false">MAX(0,O96-P96-Q96)</f>
        <v>0</v>
      </c>
      <c r="S96" s="43" t="n">
        <f aca="false">IF(V95&gt;0.005,V95*(1+Ordem!$E$10),0)</f>
        <v>0</v>
      </c>
      <c r="T96" s="43" t="n">
        <f aca="false">MIN(S96,Ordem!$F$10)</f>
        <v>0</v>
      </c>
      <c r="U96" s="43" t="n">
        <f aca="false">MAX(0,MIN(S96-T96,$B96-(E96+I96+M96+Q96)))</f>
        <v>0</v>
      </c>
      <c r="V96" s="43" t="n">
        <f aca="false">MAX(0,S96-T96-U96)</f>
        <v>0</v>
      </c>
      <c r="W96" s="43" t="n">
        <f aca="false">IF(Z95&gt;0.005,Z95*(1+Ordem!$E$11),0)</f>
        <v>0</v>
      </c>
      <c r="X96" s="43" t="n">
        <f aca="false">MIN(W96,Ordem!$F$11)</f>
        <v>0</v>
      </c>
      <c r="Y96" s="43" t="n">
        <f aca="false">MAX(0,MIN(W96-X96,$B96-(E96+I96+M96+Q96+U96)))</f>
        <v>0</v>
      </c>
      <c r="Z96" s="43" t="n">
        <f aca="false">MAX(0,W96-X96-Y96)</f>
        <v>0</v>
      </c>
      <c r="AA96" s="43" t="n">
        <f aca="false">IF(AD95&gt;0.005,AD95*(1+Ordem!$E$12),0)</f>
        <v>0</v>
      </c>
      <c r="AB96" s="43" t="n">
        <f aca="false">MIN(AA96,Ordem!$F$12)</f>
        <v>0</v>
      </c>
      <c r="AC96" s="43" t="n">
        <f aca="false">MAX(0,MIN(AA96-AB96,$B96-(E96+I96+M96+Q96+U96+Y96)))</f>
        <v>0</v>
      </c>
      <c r="AD96" s="43" t="n">
        <f aca="false">MAX(0,AA96-AB96-AC96)</f>
        <v>0</v>
      </c>
      <c r="AE96" s="43" t="n">
        <f aca="false">IF(AH95&gt;0.005,AH95*(1+Ordem!$E$13),0)</f>
        <v>0</v>
      </c>
      <c r="AF96" s="43" t="n">
        <f aca="false">MIN(AE96,Ordem!$F$13)</f>
        <v>0</v>
      </c>
      <c r="AG96" s="43" t="n">
        <f aca="false">MAX(0,MIN(AE96-AF96,$B96-(E96+I96+M96+Q96+U96+Y96+AC96)))</f>
        <v>0</v>
      </c>
      <c r="AH96" s="43" t="n">
        <f aca="false">MAX(0,AE96-AF96-AG96)</f>
        <v>0</v>
      </c>
      <c r="AI96" s="43" t="n">
        <f aca="false">IF(AL95&gt;0.005,AL95*(1+Ordem!$E$14),0)</f>
        <v>0</v>
      </c>
      <c r="AJ96" s="43" t="n">
        <f aca="false">MIN(AI96,Ordem!$F$14)</f>
        <v>0</v>
      </c>
      <c r="AK96" s="43" t="n">
        <f aca="false">MAX(0,MIN(AI96-AJ96,$B96-(E96+I96+M96+Q96+U96+Y96+AC96+AG96)))</f>
        <v>0</v>
      </c>
      <c r="AL96" s="43" t="n">
        <f aca="false">MAX(0,AI96-AJ96-AK96)</f>
        <v>0</v>
      </c>
      <c r="AM96" s="43" t="n">
        <f aca="false">IF(AP95&gt;0.005,AP95*(1+Ordem!$E$15),0)</f>
        <v>0</v>
      </c>
      <c r="AN96" s="43" t="n">
        <f aca="false">MIN(AM96,Ordem!$F$15)</f>
        <v>0</v>
      </c>
      <c r="AO96" s="43" t="n">
        <f aca="false">MAX(0,MIN(AM96-AN96,$B96-(E96+I96+M96+Q96+U96+Y96+AC96+AG96+AK96)))</f>
        <v>0</v>
      </c>
      <c r="AP96" s="43" t="n">
        <f aca="false">MAX(0,AM96-AN96-AO96)</f>
        <v>0</v>
      </c>
      <c r="AQ96" s="43" t="n">
        <f aca="false">F96+J96+N96+R96+V96+Z96+AD96+AH96+AL96+AP96</f>
        <v>0</v>
      </c>
      <c r="AR96" s="43" t="n">
        <f aca="false">D96+E96+H96+I96+L96+M96+P96+Q96+T96+U96+X96+Y96+AB96+AC96+AF96+AG96+AJ96+AK96+AN96+AO96</f>
        <v>0</v>
      </c>
    </row>
    <row r="97" customFormat="false" ht="15" hidden="false" customHeight="false" outlineLevel="0" collapsed="false">
      <c r="A97" s="0" t="n">
        <v>93</v>
      </c>
      <c r="B97" s="43" t="n">
        <f aca="false">MAX(0,Dívidas!$C$20-(D97+H97+L97+P97+T97+X97+AB97+AF97+AJ97+AN97))</f>
        <v>1450</v>
      </c>
      <c r="C97" s="43" t="n">
        <f aca="false">IF(F96&gt;0.005,F96*(1+Ordem!$E$6),0)</f>
        <v>0</v>
      </c>
      <c r="D97" s="43" t="n">
        <f aca="false">MIN(C97,Ordem!$F$6)</f>
        <v>0</v>
      </c>
      <c r="E97" s="43" t="n">
        <f aca="false">MAX(0,MIN(C97-D97,$B97-(0)))</f>
        <v>0</v>
      </c>
      <c r="F97" s="43" t="n">
        <f aca="false">MAX(0,C97-D97-E97)</f>
        <v>0</v>
      </c>
      <c r="G97" s="43" t="n">
        <f aca="false">IF(J96&gt;0.005,J96*(1+Ordem!$E$7),0)</f>
        <v>0</v>
      </c>
      <c r="H97" s="43" t="n">
        <f aca="false">MIN(G97,Ordem!$F$7)</f>
        <v>0</v>
      </c>
      <c r="I97" s="43" t="n">
        <f aca="false">MAX(0,MIN(G97-H97,$B97-(E97)))</f>
        <v>0</v>
      </c>
      <c r="J97" s="43" t="n">
        <f aca="false">MAX(0,G97-H97-I97)</f>
        <v>0</v>
      </c>
      <c r="K97" s="43" t="n">
        <f aca="false">IF(N96&gt;0.005,N96*(1+Ordem!$E$8),0)</f>
        <v>0</v>
      </c>
      <c r="L97" s="43" t="n">
        <f aca="false">MIN(K97,Ordem!$F$8)</f>
        <v>0</v>
      </c>
      <c r="M97" s="43" t="n">
        <f aca="false">MAX(0,MIN(K97-L97,$B97-(E97+I97)))</f>
        <v>0</v>
      </c>
      <c r="N97" s="43" t="n">
        <f aca="false">MAX(0,K97-L97-M97)</f>
        <v>0</v>
      </c>
      <c r="O97" s="43" t="n">
        <f aca="false">IF(R96&gt;0.005,R96*(1+Ordem!$E$9),0)</f>
        <v>0</v>
      </c>
      <c r="P97" s="43" t="n">
        <f aca="false">MIN(O97,Ordem!$F$9)</f>
        <v>0</v>
      </c>
      <c r="Q97" s="43" t="n">
        <f aca="false">MAX(0,MIN(O97-P97,$B97-(E97+I97+M97)))</f>
        <v>0</v>
      </c>
      <c r="R97" s="43" t="n">
        <f aca="false">MAX(0,O97-P97-Q97)</f>
        <v>0</v>
      </c>
      <c r="S97" s="43" t="n">
        <f aca="false">IF(V96&gt;0.005,V96*(1+Ordem!$E$10),0)</f>
        <v>0</v>
      </c>
      <c r="T97" s="43" t="n">
        <f aca="false">MIN(S97,Ordem!$F$10)</f>
        <v>0</v>
      </c>
      <c r="U97" s="43" t="n">
        <f aca="false">MAX(0,MIN(S97-T97,$B97-(E97+I97+M97+Q97)))</f>
        <v>0</v>
      </c>
      <c r="V97" s="43" t="n">
        <f aca="false">MAX(0,S97-T97-U97)</f>
        <v>0</v>
      </c>
      <c r="W97" s="43" t="n">
        <f aca="false">IF(Z96&gt;0.005,Z96*(1+Ordem!$E$11),0)</f>
        <v>0</v>
      </c>
      <c r="X97" s="43" t="n">
        <f aca="false">MIN(W97,Ordem!$F$11)</f>
        <v>0</v>
      </c>
      <c r="Y97" s="43" t="n">
        <f aca="false">MAX(0,MIN(W97-X97,$B97-(E97+I97+M97+Q97+U97)))</f>
        <v>0</v>
      </c>
      <c r="Z97" s="43" t="n">
        <f aca="false">MAX(0,W97-X97-Y97)</f>
        <v>0</v>
      </c>
      <c r="AA97" s="43" t="n">
        <f aca="false">IF(AD96&gt;0.005,AD96*(1+Ordem!$E$12),0)</f>
        <v>0</v>
      </c>
      <c r="AB97" s="43" t="n">
        <f aca="false">MIN(AA97,Ordem!$F$12)</f>
        <v>0</v>
      </c>
      <c r="AC97" s="43" t="n">
        <f aca="false">MAX(0,MIN(AA97-AB97,$B97-(E97+I97+M97+Q97+U97+Y97)))</f>
        <v>0</v>
      </c>
      <c r="AD97" s="43" t="n">
        <f aca="false">MAX(0,AA97-AB97-AC97)</f>
        <v>0</v>
      </c>
      <c r="AE97" s="43" t="n">
        <f aca="false">IF(AH96&gt;0.005,AH96*(1+Ordem!$E$13),0)</f>
        <v>0</v>
      </c>
      <c r="AF97" s="43" t="n">
        <f aca="false">MIN(AE97,Ordem!$F$13)</f>
        <v>0</v>
      </c>
      <c r="AG97" s="43" t="n">
        <f aca="false">MAX(0,MIN(AE97-AF97,$B97-(E97+I97+M97+Q97+U97+Y97+AC97)))</f>
        <v>0</v>
      </c>
      <c r="AH97" s="43" t="n">
        <f aca="false">MAX(0,AE97-AF97-AG97)</f>
        <v>0</v>
      </c>
      <c r="AI97" s="43" t="n">
        <f aca="false">IF(AL96&gt;0.005,AL96*(1+Ordem!$E$14),0)</f>
        <v>0</v>
      </c>
      <c r="AJ97" s="43" t="n">
        <f aca="false">MIN(AI97,Ordem!$F$14)</f>
        <v>0</v>
      </c>
      <c r="AK97" s="43" t="n">
        <f aca="false">MAX(0,MIN(AI97-AJ97,$B97-(E97+I97+M97+Q97+U97+Y97+AC97+AG97)))</f>
        <v>0</v>
      </c>
      <c r="AL97" s="43" t="n">
        <f aca="false">MAX(0,AI97-AJ97-AK97)</f>
        <v>0</v>
      </c>
      <c r="AM97" s="43" t="n">
        <f aca="false">IF(AP96&gt;0.005,AP96*(1+Ordem!$E$15),0)</f>
        <v>0</v>
      </c>
      <c r="AN97" s="43" t="n">
        <f aca="false">MIN(AM97,Ordem!$F$15)</f>
        <v>0</v>
      </c>
      <c r="AO97" s="43" t="n">
        <f aca="false">MAX(0,MIN(AM97-AN97,$B97-(E97+I97+M97+Q97+U97+Y97+AC97+AG97+AK97)))</f>
        <v>0</v>
      </c>
      <c r="AP97" s="43" t="n">
        <f aca="false">MAX(0,AM97-AN97-AO97)</f>
        <v>0</v>
      </c>
      <c r="AQ97" s="43" t="n">
        <f aca="false">F97+J97+N97+R97+V97+Z97+AD97+AH97+AL97+AP97</f>
        <v>0</v>
      </c>
      <c r="AR97" s="43" t="n">
        <f aca="false">D97+E97+H97+I97+L97+M97+P97+Q97+T97+U97+X97+Y97+AB97+AC97+AF97+AG97+AJ97+AK97+AN97+AO97</f>
        <v>0</v>
      </c>
    </row>
    <row r="98" customFormat="false" ht="15" hidden="false" customHeight="false" outlineLevel="0" collapsed="false">
      <c r="A98" s="0" t="n">
        <v>94</v>
      </c>
      <c r="B98" s="43" t="n">
        <f aca="false">MAX(0,Dívidas!$C$20-(D98+H98+L98+P98+T98+X98+AB98+AF98+AJ98+AN98))</f>
        <v>1450</v>
      </c>
      <c r="C98" s="43" t="n">
        <f aca="false">IF(F97&gt;0.005,F97*(1+Ordem!$E$6),0)</f>
        <v>0</v>
      </c>
      <c r="D98" s="43" t="n">
        <f aca="false">MIN(C98,Ordem!$F$6)</f>
        <v>0</v>
      </c>
      <c r="E98" s="43" t="n">
        <f aca="false">MAX(0,MIN(C98-D98,$B98-(0)))</f>
        <v>0</v>
      </c>
      <c r="F98" s="43" t="n">
        <f aca="false">MAX(0,C98-D98-E98)</f>
        <v>0</v>
      </c>
      <c r="G98" s="43" t="n">
        <f aca="false">IF(J97&gt;0.005,J97*(1+Ordem!$E$7),0)</f>
        <v>0</v>
      </c>
      <c r="H98" s="43" t="n">
        <f aca="false">MIN(G98,Ordem!$F$7)</f>
        <v>0</v>
      </c>
      <c r="I98" s="43" t="n">
        <f aca="false">MAX(0,MIN(G98-H98,$B98-(E98)))</f>
        <v>0</v>
      </c>
      <c r="J98" s="43" t="n">
        <f aca="false">MAX(0,G98-H98-I98)</f>
        <v>0</v>
      </c>
      <c r="K98" s="43" t="n">
        <f aca="false">IF(N97&gt;0.005,N97*(1+Ordem!$E$8),0)</f>
        <v>0</v>
      </c>
      <c r="L98" s="43" t="n">
        <f aca="false">MIN(K98,Ordem!$F$8)</f>
        <v>0</v>
      </c>
      <c r="M98" s="43" t="n">
        <f aca="false">MAX(0,MIN(K98-L98,$B98-(E98+I98)))</f>
        <v>0</v>
      </c>
      <c r="N98" s="43" t="n">
        <f aca="false">MAX(0,K98-L98-M98)</f>
        <v>0</v>
      </c>
      <c r="O98" s="43" t="n">
        <f aca="false">IF(R97&gt;0.005,R97*(1+Ordem!$E$9),0)</f>
        <v>0</v>
      </c>
      <c r="P98" s="43" t="n">
        <f aca="false">MIN(O98,Ordem!$F$9)</f>
        <v>0</v>
      </c>
      <c r="Q98" s="43" t="n">
        <f aca="false">MAX(0,MIN(O98-P98,$B98-(E98+I98+M98)))</f>
        <v>0</v>
      </c>
      <c r="R98" s="43" t="n">
        <f aca="false">MAX(0,O98-P98-Q98)</f>
        <v>0</v>
      </c>
      <c r="S98" s="43" t="n">
        <f aca="false">IF(V97&gt;0.005,V97*(1+Ordem!$E$10),0)</f>
        <v>0</v>
      </c>
      <c r="T98" s="43" t="n">
        <f aca="false">MIN(S98,Ordem!$F$10)</f>
        <v>0</v>
      </c>
      <c r="U98" s="43" t="n">
        <f aca="false">MAX(0,MIN(S98-T98,$B98-(E98+I98+M98+Q98)))</f>
        <v>0</v>
      </c>
      <c r="V98" s="43" t="n">
        <f aca="false">MAX(0,S98-T98-U98)</f>
        <v>0</v>
      </c>
      <c r="W98" s="43" t="n">
        <f aca="false">IF(Z97&gt;0.005,Z97*(1+Ordem!$E$11),0)</f>
        <v>0</v>
      </c>
      <c r="X98" s="43" t="n">
        <f aca="false">MIN(W98,Ordem!$F$11)</f>
        <v>0</v>
      </c>
      <c r="Y98" s="43" t="n">
        <f aca="false">MAX(0,MIN(W98-X98,$B98-(E98+I98+M98+Q98+U98)))</f>
        <v>0</v>
      </c>
      <c r="Z98" s="43" t="n">
        <f aca="false">MAX(0,W98-X98-Y98)</f>
        <v>0</v>
      </c>
      <c r="AA98" s="43" t="n">
        <f aca="false">IF(AD97&gt;0.005,AD97*(1+Ordem!$E$12),0)</f>
        <v>0</v>
      </c>
      <c r="AB98" s="43" t="n">
        <f aca="false">MIN(AA98,Ordem!$F$12)</f>
        <v>0</v>
      </c>
      <c r="AC98" s="43" t="n">
        <f aca="false">MAX(0,MIN(AA98-AB98,$B98-(E98+I98+M98+Q98+U98+Y98)))</f>
        <v>0</v>
      </c>
      <c r="AD98" s="43" t="n">
        <f aca="false">MAX(0,AA98-AB98-AC98)</f>
        <v>0</v>
      </c>
      <c r="AE98" s="43" t="n">
        <f aca="false">IF(AH97&gt;0.005,AH97*(1+Ordem!$E$13),0)</f>
        <v>0</v>
      </c>
      <c r="AF98" s="43" t="n">
        <f aca="false">MIN(AE98,Ordem!$F$13)</f>
        <v>0</v>
      </c>
      <c r="AG98" s="43" t="n">
        <f aca="false">MAX(0,MIN(AE98-AF98,$B98-(E98+I98+M98+Q98+U98+Y98+AC98)))</f>
        <v>0</v>
      </c>
      <c r="AH98" s="43" t="n">
        <f aca="false">MAX(0,AE98-AF98-AG98)</f>
        <v>0</v>
      </c>
      <c r="AI98" s="43" t="n">
        <f aca="false">IF(AL97&gt;0.005,AL97*(1+Ordem!$E$14),0)</f>
        <v>0</v>
      </c>
      <c r="AJ98" s="43" t="n">
        <f aca="false">MIN(AI98,Ordem!$F$14)</f>
        <v>0</v>
      </c>
      <c r="AK98" s="43" t="n">
        <f aca="false">MAX(0,MIN(AI98-AJ98,$B98-(E98+I98+M98+Q98+U98+Y98+AC98+AG98)))</f>
        <v>0</v>
      </c>
      <c r="AL98" s="43" t="n">
        <f aca="false">MAX(0,AI98-AJ98-AK98)</f>
        <v>0</v>
      </c>
      <c r="AM98" s="43" t="n">
        <f aca="false">IF(AP97&gt;0.005,AP97*(1+Ordem!$E$15),0)</f>
        <v>0</v>
      </c>
      <c r="AN98" s="43" t="n">
        <f aca="false">MIN(AM98,Ordem!$F$15)</f>
        <v>0</v>
      </c>
      <c r="AO98" s="43" t="n">
        <f aca="false">MAX(0,MIN(AM98-AN98,$B98-(E98+I98+M98+Q98+U98+Y98+AC98+AG98+AK98)))</f>
        <v>0</v>
      </c>
      <c r="AP98" s="43" t="n">
        <f aca="false">MAX(0,AM98-AN98-AO98)</f>
        <v>0</v>
      </c>
      <c r="AQ98" s="43" t="n">
        <f aca="false">F98+J98+N98+R98+V98+Z98+AD98+AH98+AL98+AP98</f>
        <v>0</v>
      </c>
      <c r="AR98" s="43" t="n">
        <f aca="false">D98+E98+H98+I98+L98+M98+P98+Q98+T98+U98+X98+Y98+AB98+AC98+AF98+AG98+AJ98+AK98+AN98+AO98</f>
        <v>0</v>
      </c>
    </row>
    <row r="99" customFormat="false" ht="15" hidden="false" customHeight="false" outlineLevel="0" collapsed="false">
      <c r="A99" s="0" t="n">
        <v>95</v>
      </c>
      <c r="B99" s="43" t="n">
        <f aca="false">MAX(0,Dívidas!$C$20-(D99+H99+L99+P99+T99+X99+AB99+AF99+AJ99+AN99))</f>
        <v>1450</v>
      </c>
      <c r="C99" s="43" t="n">
        <f aca="false">IF(F98&gt;0.005,F98*(1+Ordem!$E$6),0)</f>
        <v>0</v>
      </c>
      <c r="D99" s="43" t="n">
        <f aca="false">MIN(C99,Ordem!$F$6)</f>
        <v>0</v>
      </c>
      <c r="E99" s="43" t="n">
        <f aca="false">MAX(0,MIN(C99-D99,$B99-(0)))</f>
        <v>0</v>
      </c>
      <c r="F99" s="43" t="n">
        <f aca="false">MAX(0,C99-D99-E99)</f>
        <v>0</v>
      </c>
      <c r="G99" s="43" t="n">
        <f aca="false">IF(J98&gt;0.005,J98*(1+Ordem!$E$7),0)</f>
        <v>0</v>
      </c>
      <c r="H99" s="43" t="n">
        <f aca="false">MIN(G99,Ordem!$F$7)</f>
        <v>0</v>
      </c>
      <c r="I99" s="43" t="n">
        <f aca="false">MAX(0,MIN(G99-H99,$B99-(E99)))</f>
        <v>0</v>
      </c>
      <c r="J99" s="43" t="n">
        <f aca="false">MAX(0,G99-H99-I99)</f>
        <v>0</v>
      </c>
      <c r="K99" s="43" t="n">
        <f aca="false">IF(N98&gt;0.005,N98*(1+Ordem!$E$8),0)</f>
        <v>0</v>
      </c>
      <c r="L99" s="43" t="n">
        <f aca="false">MIN(K99,Ordem!$F$8)</f>
        <v>0</v>
      </c>
      <c r="M99" s="43" t="n">
        <f aca="false">MAX(0,MIN(K99-L99,$B99-(E99+I99)))</f>
        <v>0</v>
      </c>
      <c r="N99" s="43" t="n">
        <f aca="false">MAX(0,K99-L99-M99)</f>
        <v>0</v>
      </c>
      <c r="O99" s="43" t="n">
        <f aca="false">IF(R98&gt;0.005,R98*(1+Ordem!$E$9),0)</f>
        <v>0</v>
      </c>
      <c r="P99" s="43" t="n">
        <f aca="false">MIN(O99,Ordem!$F$9)</f>
        <v>0</v>
      </c>
      <c r="Q99" s="43" t="n">
        <f aca="false">MAX(0,MIN(O99-P99,$B99-(E99+I99+M99)))</f>
        <v>0</v>
      </c>
      <c r="R99" s="43" t="n">
        <f aca="false">MAX(0,O99-P99-Q99)</f>
        <v>0</v>
      </c>
      <c r="S99" s="43" t="n">
        <f aca="false">IF(V98&gt;0.005,V98*(1+Ordem!$E$10),0)</f>
        <v>0</v>
      </c>
      <c r="T99" s="43" t="n">
        <f aca="false">MIN(S99,Ordem!$F$10)</f>
        <v>0</v>
      </c>
      <c r="U99" s="43" t="n">
        <f aca="false">MAX(0,MIN(S99-T99,$B99-(E99+I99+M99+Q99)))</f>
        <v>0</v>
      </c>
      <c r="V99" s="43" t="n">
        <f aca="false">MAX(0,S99-T99-U99)</f>
        <v>0</v>
      </c>
      <c r="W99" s="43" t="n">
        <f aca="false">IF(Z98&gt;0.005,Z98*(1+Ordem!$E$11),0)</f>
        <v>0</v>
      </c>
      <c r="X99" s="43" t="n">
        <f aca="false">MIN(W99,Ordem!$F$11)</f>
        <v>0</v>
      </c>
      <c r="Y99" s="43" t="n">
        <f aca="false">MAX(0,MIN(W99-X99,$B99-(E99+I99+M99+Q99+U99)))</f>
        <v>0</v>
      </c>
      <c r="Z99" s="43" t="n">
        <f aca="false">MAX(0,W99-X99-Y99)</f>
        <v>0</v>
      </c>
      <c r="AA99" s="43" t="n">
        <f aca="false">IF(AD98&gt;0.005,AD98*(1+Ordem!$E$12),0)</f>
        <v>0</v>
      </c>
      <c r="AB99" s="43" t="n">
        <f aca="false">MIN(AA99,Ordem!$F$12)</f>
        <v>0</v>
      </c>
      <c r="AC99" s="43" t="n">
        <f aca="false">MAX(0,MIN(AA99-AB99,$B99-(E99+I99+M99+Q99+U99+Y99)))</f>
        <v>0</v>
      </c>
      <c r="AD99" s="43" t="n">
        <f aca="false">MAX(0,AA99-AB99-AC99)</f>
        <v>0</v>
      </c>
      <c r="AE99" s="43" t="n">
        <f aca="false">IF(AH98&gt;0.005,AH98*(1+Ordem!$E$13),0)</f>
        <v>0</v>
      </c>
      <c r="AF99" s="43" t="n">
        <f aca="false">MIN(AE99,Ordem!$F$13)</f>
        <v>0</v>
      </c>
      <c r="AG99" s="43" t="n">
        <f aca="false">MAX(0,MIN(AE99-AF99,$B99-(E99+I99+M99+Q99+U99+Y99+AC99)))</f>
        <v>0</v>
      </c>
      <c r="AH99" s="43" t="n">
        <f aca="false">MAX(0,AE99-AF99-AG99)</f>
        <v>0</v>
      </c>
      <c r="AI99" s="43" t="n">
        <f aca="false">IF(AL98&gt;0.005,AL98*(1+Ordem!$E$14),0)</f>
        <v>0</v>
      </c>
      <c r="AJ99" s="43" t="n">
        <f aca="false">MIN(AI99,Ordem!$F$14)</f>
        <v>0</v>
      </c>
      <c r="AK99" s="43" t="n">
        <f aca="false">MAX(0,MIN(AI99-AJ99,$B99-(E99+I99+M99+Q99+U99+Y99+AC99+AG99)))</f>
        <v>0</v>
      </c>
      <c r="AL99" s="43" t="n">
        <f aca="false">MAX(0,AI99-AJ99-AK99)</f>
        <v>0</v>
      </c>
      <c r="AM99" s="43" t="n">
        <f aca="false">IF(AP98&gt;0.005,AP98*(1+Ordem!$E$15),0)</f>
        <v>0</v>
      </c>
      <c r="AN99" s="43" t="n">
        <f aca="false">MIN(AM99,Ordem!$F$15)</f>
        <v>0</v>
      </c>
      <c r="AO99" s="43" t="n">
        <f aca="false">MAX(0,MIN(AM99-AN99,$B99-(E99+I99+M99+Q99+U99+Y99+AC99+AG99+AK99)))</f>
        <v>0</v>
      </c>
      <c r="AP99" s="43" t="n">
        <f aca="false">MAX(0,AM99-AN99-AO99)</f>
        <v>0</v>
      </c>
      <c r="AQ99" s="43" t="n">
        <f aca="false">F99+J99+N99+R99+V99+Z99+AD99+AH99+AL99+AP99</f>
        <v>0</v>
      </c>
      <c r="AR99" s="43" t="n">
        <f aca="false">D99+E99+H99+I99+L99+M99+P99+Q99+T99+U99+X99+Y99+AB99+AC99+AF99+AG99+AJ99+AK99+AN99+AO99</f>
        <v>0</v>
      </c>
    </row>
    <row r="100" customFormat="false" ht="15" hidden="false" customHeight="false" outlineLevel="0" collapsed="false">
      <c r="A100" s="0" t="n">
        <v>96</v>
      </c>
      <c r="B100" s="43" t="n">
        <f aca="false">MAX(0,Dívidas!$C$20-(D100+H100+L100+P100+T100+X100+AB100+AF100+AJ100+AN100))</f>
        <v>1450</v>
      </c>
      <c r="C100" s="43" t="n">
        <f aca="false">IF(F99&gt;0.005,F99*(1+Ordem!$E$6),0)</f>
        <v>0</v>
      </c>
      <c r="D100" s="43" t="n">
        <f aca="false">MIN(C100,Ordem!$F$6)</f>
        <v>0</v>
      </c>
      <c r="E100" s="43" t="n">
        <f aca="false">MAX(0,MIN(C100-D100,$B100-(0)))</f>
        <v>0</v>
      </c>
      <c r="F100" s="43" t="n">
        <f aca="false">MAX(0,C100-D100-E100)</f>
        <v>0</v>
      </c>
      <c r="G100" s="43" t="n">
        <f aca="false">IF(J99&gt;0.005,J99*(1+Ordem!$E$7),0)</f>
        <v>0</v>
      </c>
      <c r="H100" s="43" t="n">
        <f aca="false">MIN(G100,Ordem!$F$7)</f>
        <v>0</v>
      </c>
      <c r="I100" s="43" t="n">
        <f aca="false">MAX(0,MIN(G100-H100,$B100-(E100)))</f>
        <v>0</v>
      </c>
      <c r="J100" s="43" t="n">
        <f aca="false">MAX(0,G100-H100-I100)</f>
        <v>0</v>
      </c>
      <c r="K100" s="43" t="n">
        <f aca="false">IF(N99&gt;0.005,N99*(1+Ordem!$E$8),0)</f>
        <v>0</v>
      </c>
      <c r="L100" s="43" t="n">
        <f aca="false">MIN(K100,Ordem!$F$8)</f>
        <v>0</v>
      </c>
      <c r="M100" s="43" t="n">
        <f aca="false">MAX(0,MIN(K100-L100,$B100-(E100+I100)))</f>
        <v>0</v>
      </c>
      <c r="N100" s="43" t="n">
        <f aca="false">MAX(0,K100-L100-M100)</f>
        <v>0</v>
      </c>
      <c r="O100" s="43" t="n">
        <f aca="false">IF(R99&gt;0.005,R99*(1+Ordem!$E$9),0)</f>
        <v>0</v>
      </c>
      <c r="P100" s="43" t="n">
        <f aca="false">MIN(O100,Ordem!$F$9)</f>
        <v>0</v>
      </c>
      <c r="Q100" s="43" t="n">
        <f aca="false">MAX(0,MIN(O100-P100,$B100-(E100+I100+M100)))</f>
        <v>0</v>
      </c>
      <c r="R100" s="43" t="n">
        <f aca="false">MAX(0,O100-P100-Q100)</f>
        <v>0</v>
      </c>
      <c r="S100" s="43" t="n">
        <f aca="false">IF(V99&gt;0.005,V99*(1+Ordem!$E$10),0)</f>
        <v>0</v>
      </c>
      <c r="T100" s="43" t="n">
        <f aca="false">MIN(S100,Ordem!$F$10)</f>
        <v>0</v>
      </c>
      <c r="U100" s="43" t="n">
        <f aca="false">MAX(0,MIN(S100-T100,$B100-(E100+I100+M100+Q100)))</f>
        <v>0</v>
      </c>
      <c r="V100" s="43" t="n">
        <f aca="false">MAX(0,S100-T100-U100)</f>
        <v>0</v>
      </c>
      <c r="W100" s="43" t="n">
        <f aca="false">IF(Z99&gt;0.005,Z99*(1+Ordem!$E$11),0)</f>
        <v>0</v>
      </c>
      <c r="X100" s="43" t="n">
        <f aca="false">MIN(W100,Ordem!$F$11)</f>
        <v>0</v>
      </c>
      <c r="Y100" s="43" t="n">
        <f aca="false">MAX(0,MIN(W100-X100,$B100-(E100+I100+M100+Q100+U100)))</f>
        <v>0</v>
      </c>
      <c r="Z100" s="43" t="n">
        <f aca="false">MAX(0,W100-X100-Y100)</f>
        <v>0</v>
      </c>
      <c r="AA100" s="43" t="n">
        <f aca="false">IF(AD99&gt;0.005,AD99*(1+Ordem!$E$12),0)</f>
        <v>0</v>
      </c>
      <c r="AB100" s="43" t="n">
        <f aca="false">MIN(AA100,Ordem!$F$12)</f>
        <v>0</v>
      </c>
      <c r="AC100" s="43" t="n">
        <f aca="false">MAX(0,MIN(AA100-AB100,$B100-(E100+I100+M100+Q100+U100+Y100)))</f>
        <v>0</v>
      </c>
      <c r="AD100" s="43" t="n">
        <f aca="false">MAX(0,AA100-AB100-AC100)</f>
        <v>0</v>
      </c>
      <c r="AE100" s="43" t="n">
        <f aca="false">IF(AH99&gt;0.005,AH99*(1+Ordem!$E$13),0)</f>
        <v>0</v>
      </c>
      <c r="AF100" s="43" t="n">
        <f aca="false">MIN(AE100,Ordem!$F$13)</f>
        <v>0</v>
      </c>
      <c r="AG100" s="43" t="n">
        <f aca="false">MAX(0,MIN(AE100-AF100,$B100-(E100+I100+M100+Q100+U100+Y100+AC100)))</f>
        <v>0</v>
      </c>
      <c r="AH100" s="43" t="n">
        <f aca="false">MAX(0,AE100-AF100-AG100)</f>
        <v>0</v>
      </c>
      <c r="AI100" s="43" t="n">
        <f aca="false">IF(AL99&gt;0.005,AL99*(1+Ordem!$E$14),0)</f>
        <v>0</v>
      </c>
      <c r="AJ100" s="43" t="n">
        <f aca="false">MIN(AI100,Ordem!$F$14)</f>
        <v>0</v>
      </c>
      <c r="AK100" s="43" t="n">
        <f aca="false">MAX(0,MIN(AI100-AJ100,$B100-(E100+I100+M100+Q100+U100+Y100+AC100+AG100)))</f>
        <v>0</v>
      </c>
      <c r="AL100" s="43" t="n">
        <f aca="false">MAX(0,AI100-AJ100-AK100)</f>
        <v>0</v>
      </c>
      <c r="AM100" s="43" t="n">
        <f aca="false">IF(AP99&gt;0.005,AP99*(1+Ordem!$E$15),0)</f>
        <v>0</v>
      </c>
      <c r="AN100" s="43" t="n">
        <f aca="false">MIN(AM100,Ordem!$F$15)</f>
        <v>0</v>
      </c>
      <c r="AO100" s="43" t="n">
        <f aca="false">MAX(0,MIN(AM100-AN100,$B100-(E100+I100+M100+Q100+U100+Y100+AC100+AG100+AK100)))</f>
        <v>0</v>
      </c>
      <c r="AP100" s="43" t="n">
        <f aca="false">MAX(0,AM100-AN100-AO100)</f>
        <v>0</v>
      </c>
      <c r="AQ100" s="43" t="n">
        <f aca="false">F100+J100+N100+R100+V100+Z100+AD100+AH100+AL100+AP100</f>
        <v>0</v>
      </c>
      <c r="AR100" s="43" t="n">
        <f aca="false">D100+E100+H100+I100+L100+M100+P100+Q100+T100+U100+X100+Y100+AB100+AC100+AF100+AG100+AJ100+AK100+AN100+AO100</f>
        <v>0</v>
      </c>
    </row>
    <row r="101" customFormat="false" ht="15" hidden="false" customHeight="false" outlineLevel="0" collapsed="false">
      <c r="A101" s="0" t="n">
        <v>97</v>
      </c>
      <c r="B101" s="43" t="n">
        <f aca="false">MAX(0,Dívidas!$C$20-(D101+H101+L101+P101+T101+X101+AB101+AF101+AJ101+AN101))</f>
        <v>1450</v>
      </c>
      <c r="C101" s="43" t="n">
        <f aca="false">IF(F100&gt;0.005,F100*(1+Ordem!$E$6),0)</f>
        <v>0</v>
      </c>
      <c r="D101" s="43" t="n">
        <f aca="false">MIN(C101,Ordem!$F$6)</f>
        <v>0</v>
      </c>
      <c r="E101" s="43" t="n">
        <f aca="false">MAX(0,MIN(C101-D101,$B101-(0)))</f>
        <v>0</v>
      </c>
      <c r="F101" s="43" t="n">
        <f aca="false">MAX(0,C101-D101-E101)</f>
        <v>0</v>
      </c>
      <c r="G101" s="43" t="n">
        <f aca="false">IF(J100&gt;0.005,J100*(1+Ordem!$E$7),0)</f>
        <v>0</v>
      </c>
      <c r="H101" s="43" t="n">
        <f aca="false">MIN(G101,Ordem!$F$7)</f>
        <v>0</v>
      </c>
      <c r="I101" s="43" t="n">
        <f aca="false">MAX(0,MIN(G101-H101,$B101-(E101)))</f>
        <v>0</v>
      </c>
      <c r="J101" s="43" t="n">
        <f aca="false">MAX(0,G101-H101-I101)</f>
        <v>0</v>
      </c>
      <c r="K101" s="43" t="n">
        <f aca="false">IF(N100&gt;0.005,N100*(1+Ordem!$E$8),0)</f>
        <v>0</v>
      </c>
      <c r="L101" s="43" t="n">
        <f aca="false">MIN(K101,Ordem!$F$8)</f>
        <v>0</v>
      </c>
      <c r="M101" s="43" t="n">
        <f aca="false">MAX(0,MIN(K101-L101,$B101-(E101+I101)))</f>
        <v>0</v>
      </c>
      <c r="N101" s="43" t="n">
        <f aca="false">MAX(0,K101-L101-M101)</f>
        <v>0</v>
      </c>
      <c r="O101" s="43" t="n">
        <f aca="false">IF(R100&gt;0.005,R100*(1+Ordem!$E$9),0)</f>
        <v>0</v>
      </c>
      <c r="P101" s="43" t="n">
        <f aca="false">MIN(O101,Ordem!$F$9)</f>
        <v>0</v>
      </c>
      <c r="Q101" s="43" t="n">
        <f aca="false">MAX(0,MIN(O101-P101,$B101-(E101+I101+M101)))</f>
        <v>0</v>
      </c>
      <c r="R101" s="43" t="n">
        <f aca="false">MAX(0,O101-P101-Q101)</f>
        <v>0</v>
      </c>
      <c r="S101" s="43" t="n">
        <f aca="false">IF(V100&gt;0.005,V100*(1+Ordem!$E$10),0)</f>
        <v>0</v>
      </c>
      <c r="T101" s="43" t="n">
        <f aca="false">MIN(S101,Ordem!$F$10)</f>
        <v>0</v>
      </c>
      <c r="U101" s="43" t="n">
        <f aca="false">MAX(0,MIN(S101-T101,$B101-(E101+I101+M101+Q101)))</f>
        <v>0</v>
      </c>
      <c r="V101" s="43" t="n">
        <f aca="false">MAX(0,S101-T101-U101)</f>
        <v>0</v>
      </c>
      <c r="W101" s="43" t="n">
        <f aca="false">IF(Z100&gt;0.005,Z100*(1+Ordem!$E$11),0)</f>
        <v>0</v>
      </c>
      <c r="X101" s="43" t="n">
        <f aca="false">MIN(W101,Ordem!$F$11)</f>
        <v>0</v>
      </c>
      <c r="Y101" s="43" t="n">
        <f aca="false">MAX(0,MIN(W101-X101,$B101-(E101+I101+M101+Q101+U101)))</f>
        <v>0</v>
      </c>
      <c r="Z101" s="43" t="n">
        <f aca="false">MAX(0,W101-X101-Y101)</f>
        <v>0</v>
      </c>
      <c r="AA101" s="43" t="n">
        <f aca="false">IF(AD100&gt;0.005,AD100*(1+Ordem!$E$12),0)</f>
        <v>0</v>
      </c>
      <c r="AB101" s="43" t="n">
        <f aca="false">MIN(AA101,Ordem!$F$12)</f>
        <v>0</v>
      </c>
      <c r="AC101" s="43" t="n">
        <f aca="false">MAX(0,MIN(AA101-AB101,$B101-(E101+I101+M101+Q101+U101+Y101)))</f>
        <v>0</v>
      </c>
      <c r="AD101" s="43" t="n">
        <f aca="false">MAX(0,AA101-AB101-AC101)</f>
        <v>0</v>
      </c>
      <c r="AE101" s="43" t="n">
        <f aca="false">IF(AH100&gt;0.005,AH100*(1+Ordem!$E$13),0)</f>
        <v>0</v>
      </c>
      <c r="AF101" s="43" t="n">
        <f aca="false">MIN(AE101,Ordem!$F$13)</f>
        <v>0</v>
      </c>
      <c r="AG101" s="43" t="n">
        <f aca="false">MAX(0,MIN(AE101-AF101,$B101-(E101+I101+M101+Q101+U101+Y101+AC101)))</f>
        <v>0</v>
      </c>
      <c r="AH101" s="43" t="n">
        <f aca="false">MAX(0,AE101-AF101-AG101)</f>
        <v>0</v>
      </c>
      <c r="AI101" s="43" t="n">
        <f aca="false">IF(AL100&gt;0.005,AL100*(1+Ordem!$E$14),0)</f>
        <v>0</v>
      </c>
      <c r="AJ101" s="43" t="n">
        <f aca="false">MIN(AI101,Ordem!$F$14)</f>
        <v>0</v>
      </c>
      <c r="AK101" s="43" t="n">
        <f aca="false">MAX(0,MIN(AI101-AJ101,$B101-(E101+I101+M101+Q101+U101+Y101+AC101+AG101)))</f>
        <v>0</v>
      </c>
      <c r="AL101" s="43" t="n">
        <f aca="false">MAX(0,AI101-AJ101-AK101)</f>
        <v>0</v>
      </c>
      <c r="AM101" s="43" t="n">
        <f aca="false">IF(AP100&gt;0.005,AP100*(1+Ordem!$E$15),0)</f>
        <v>0</v>
      </c>
      <c r="AN101" s="43" t="n">
        <f aca="false">MIN(AM101,Ordem!$F$15)</f>
        <v>0</v>
      </c>
      <c r="AO101" s="43" t="n">
        <f aca="false">MAX(0,MIN(AM101-AN101,$B101-(E101+I101+M101+Q101+U101+Y101+AC101+AG101+AK101)))</f>
        <v>0</v>
      </c>
      <c r="AP101" s="43" t="n">
        <f aca="false">MAX(0,AM101-AN101-AO101)</f>
        <v>0</v>
      </c>
      <c r="AQ101" s="43" t="n">
        <f aca="false">F101+J101+N101+R101+V101+Z101+AD101+AH101+AL101+AP101</f>
        <v>0</v>
      </c>
      <c r="AR101" s="43" t="n">
        <f aca="false">D101+E101+H101+I101+L101+M101+P101+Q101+T101+U101+X101+Y101+AB101+AC101+AF101+AG101+AJ101+AK101+AN101+AO101</f>
        <v>0</v>
      </c>
    </row>
    <row r="102" customFormat="false" ht="15" hidden="false" customHeight="false" outlineLevel="0" collapsed="false">
      <c r="A102" s="0" t="n">
        <v>98</v>
      </c>
      <c r="B102" s="43" t="n">
        <f aca="false">MAX(0,Dívidas!$C$20-(D102+H102+L102+P102+T102+X102+AB102+AF102+AJ102+AN102))</f>
        <v>1450</v>
      </c>
      <c r="C102" s="43" t="n">
        <f aca="false">IF(F101&gt;0.005,F101*(1+Ordem!$E$6),0)</f>
        <v>0</v>
      </c>
      <c r="D102" s="43" t="n">
        <f aca="false">MIN(C102,Ordem!$F$6)</f>
        <v>0</v>
      </c>
      <c r="E102" s="43" t="n">
        <f aca="false">MAX(0,MIN(C102-D102,$B102-(0)))</f>
        <v>0</v>
      </c>
      <c r="F102" s="43" t="n">
        <f aca="false">MAX(0,C102-D102-E102)</f>
        <v>0</v>
      </c>
      <c r="G102" s="43" t="n">
        <f aca="false">IF(J101&gt;0.005,J101*(1+Ordem!$E$7),0)</f>
        <v>0</v>
      </c>
      <c r="H102" s="43" t="n">
        <f aca="false">MIN(G102,Ordem!$F$7)</f>
        <v>0</v>
      </c>
      <c r="I102" s="43" t="n">
        <f aca="false">MAX(0,MIN(G102-H102,$B102-(E102)))</f>
        <v>0</v>
      </c>
      <c r="J102" s="43" t="n">
        <f aca="false">MAX(0,G102-H102-I102)</f>
        <v>0</v>
      </c>
      <c r="K102" s="43" t="n">
        <f aca="false">IF(N101&gt;0.005,N101*(1+Ordem!$E$8),0)</f>
        <v>0</v>
      </c>
      <c r="L102" s="43" t="n">
        <f aca="false">MIN(K102,Ordem!$F$8)</f>
        <v>0</v>
      </c>
      <c r="M102" s="43" t="n">
        <f aca="false">MAX(0,MIN(K102-L102,$B102-(E102+I102)))</f>
        <v>0</v>
      </c>
      <c r="N102" s="43" t="n">
        <f aca="false">MAX(0,K102-L102-M102)</f>
        <v>0</v>
      </c>
      <c r="O102" s="43" t="n">
        <f aca="false">IF(R101&gt;0.005,R101*(1+Ordem!$E$9),0)</f>
        <v>0</v>
      </c>
      <c r="P102" s="43" t="n">
        <f aca="false">MIN(O102,Ordem!$F$9)</f>
        <v>0</v>
      </c>
      <c r="Q102" s="43" t="n">
        <f aca="false">MAX(0,MIN(O102-P102,$B102-(E102+I102+M102)))</f>
        <v>0</v>
      </c>
      <c r="R102" s="43" t="n">
        <f aca="false">MAX(0,O102-P102-Q102)</f>
        <v>0</v>
      </c>
      <c r="S102" s="43" t="n">
        <f aca="false">IF(V101&gt;0.005,V101*(1+Ordem!$E$10),0)</f>
        <v>0</v>
      </c>
      <c r="T102" s="43" t="n">
        <f aca="false">MIN(S102,Ordem!$F$10)</f>
        <v>0</v>
      </c>
      <c r="U102" s="43" t="n">
        <f aca="false">MAX(0,MIN(S102-T102,$B102-(E102+I102+M102+Q102)))</f>
        <v>0</v>
      </c>
      <c r="V102" s="43" t="n">
        <f aca="false">MAX(0,S102-T102-U102)</f>
        <v>0</v>
      </c>
      <c r="W102" s="43" t="n">
        <f aca="false">IF(Z101&gt;0.005,Z101*(1+Ordem!$E$11),0)</f>
        <v>0</v>
      </c>
      <c r="X102" s="43" t="n">
        <f aca="false">MIN(W102,Ordem!$F$11)</f>
        <v>0</v>
      </c>
      <c r="Y102" s="43" t="n">
        <f aca="false">MAX(0,MIN(W102-X102,$B102-(E102+I102+M102+Q102+U102)))</f>
        <v>0</v>
      </c>
      <c r="Z102" s="43" t="n">
        <f aca="false">MAX(0,W102-X102-Y102)</f>
        <v>0</v>
      </c>
      <c r="AA102" s="43" t="n">
        <f aca="false">IF(AD101&gt;0.005,AD101*(1+Ordem!$E$12),0)</f>
        <v>0</v>
      </c>
      <c r="AB102" s="43" t="n">
        <f aca="false">MIN(AA102,Ordem!$F$12)</f>
        <v>0</v>
      </c>
      <c r="AC102" s="43" t="n">
        <f aca="false">MAX(0,MIN(AA102-AB102,$B102-(E102+I102+M102+Q102+U102+Y102)))</f>
        <v>0</v>
      </c>
      <c r="AD102" s="43" t="n">
        <f aca="false">MAX(0,AA102-AB102-AC102)</f>
        <v>0</v>
      </c>
      <c r="AE102" s="43" t="n">
        <f aca="false">IF(AH101&gt;0.005,AH101*(1+Ordem!$E$13),0)</f>
        <v>0</v>
      </c>
      <c r="AF102" s="43" t="n">
        <f aca="false">MIN(AE102,Ordem!$F$13)</f>
        <v>0</v>
      </c>
      <c r="AG102" s="43" t="n">
        <f aca="false">MAX(0,MIN(AE102-AF102,$B102-(E102+I102+M102+Q102+U102+Y102+AC102)))</f>
        <v>0</v>
      </c>
      <c r="AH102" s="43" t="n">
        <f aca="false">MAX(0,AE102-AF102-AG102)</f>
        <v>0</v>
      </c>
      <c r="AI102" s="43" t="n">
        <f aca="false">IF(AL101&gt;0.005,AL101*(1+Ordem!$E$14),0)</f>
        <v>0</v>
      </c>
      <c r="AJ102" s="43" t="n">
        <f aca="false">MIN(AI102,Ordem!$F$14)</f>
        <v>0</v>
      </c>
      <c r="AK102" s="43" t="n">
        <f aca="false">MAX(0,MIN(AI102-AJ102,$B102-(E102+I102+M102+Q102+U102+Y102+AC102+AG102)))</f>
        <v>0</v>
      </c>
      <c r="AL102" s="43" t="n">
        <f aca="false">MAX(0,AI102-AJ102-AK102)</f>
        <v>0</v>
      </c>
      <c r="AM102" s="43" t="n">
        <f aca="false">IF(AP101&gt;0.005,AP101*(1+Ordem!$E$15),0)</f>
        <v>0</v>
      </c>
      <c r="AN102" s="43" t="n">
        <f aca="false">MIN(AM102,Ordem!$F$15)</f>
        <v>0</v>
      </c>
      <c r="AO102" s="43" t="n">
        <f aca="false">MAX(0,MIN(AM102-AN102,$B102-(E102+I102+M102+Q102+U102+Y102+AC102+AG102+AK102)))</f>
        <v>0</v>
      </c>
      <c r="AP102" s="43" t="n">
        <f aca="false">MAX(0,AM102-AN102-AO102)</f>
        <v>0</v>
      </c>
      <c r="AQ102" s="43" t="n">
        <f aca="false">F102+J102+N102+R102+V102+Z102+AD102+AH102+AL102+AP102</f>
        <v>0</v>
      </c>
      <c r="AR102" s="43" t="n">
        <f aca="false">D102+E102+H102+I102+L102+M102+P102+Q102+T102+U102+X102+Y102+AB102+AC102+AF102+AG102+AJ102+AK102+AN102+AO102</f>
        <v>0</v>
      </c>
    </row>
    <row r="103" customFormat="false" ht="15" hidden="false" customHeight="false" outlineLevel="0" collapsed="false">
      <c r="A103" s="0" t="n">
        <v>99</v>
      </c>
      <c r="B103" s="43" t="n">
        <f aca="false">MAX(0,Dívidas!$C$20-(D103+H103+L103+P103+T103+X103+AB103+AF103+AJ103+AN103))</f>
        <v>1450</v>
      </c>
      <c r="C103" s="43" t="n">
        <f aca="false">IF(F102&gt;0.005,F102*(1+Ordem!$E$6),0)</f>
        <v>0</v>
      </c>
      <c r="D103" s="43" t="n">
        <f aca="false">MIN(C103,Ordem!$F$6)</f>
        <v>0</v>
      </c>
      <c r="E103" s="43" t="n">
        <f aca="false">MAX(0,MIN(C103-D103,$B103-(0)))</f>
        <v>0</v>
      </c>
      <c r="F103" s="43" t="n">
        <f aca="false">MAX(0,C103-D103-E103)</f>
        <v>0</v>
      </c>
      <c r="G103" s="43" t="n">
        <f aca="false">IF(J102&gt;0.005,J102*(1+Ordem!$E$7),0)</f>
        <v>0</v>
      </c>
      <c r="H103" s="43" t="n">
        <f aca="false">MIN(G103,Ordem!$F$7)</f>
        <v>0</v>
      </c>
      <c r="I103" s="43" t="n">
        <f aca="false">MAX(0,MIN(G103-H103,$B103-(E103)))</f>
        <v>0</v>
      </c>
      <c r="J103" s="43" t="n">
        <f aca="false">MAX(0,G103-H103-I103)</f>
        <v>0</v>
      </c>
      <c r="K103" s="43" t="n">
        <f aca="false">IF(N102&gt;0.005,N102*(1+Ordem!$E$8),0)</f>
        <v>0</v>
      </c>
      <c r="L103" s="43" t="n">
        <f aca="false">MIN(K103,Ordem!$F$8)</f>
        <v>0</v>
      </c>
      <c r="M103" s="43" t="n">
        <f aca="false">MAX(0,MIN(K103-L103,$B103-(E103+I103)))</f>
        <v>0</v>
      </c>
      <c r="N103" s="43" t="n">
        <f aca="false">MAX(0,K103-L103-M103)</f>
        <v>0</v>
      </c>
      <c r="O103" s="43" t="n">
        <f aca="false">IF(R102&gt;0.005,R102*(1+Ordem!$E$9),0)</f>
        <v>0</v>
      </c>
      <c r="P103" s="43" t="n">
        <f aca="false">MIN(O103,Ordem!$F$9)</f>
        <v>0</v>
      </c>
      <c r="Q103" s="43" t="n">
        <f aca="false">MAX(0,MIN(O103-P103,$B103-(E103+I103+M103)))</f>
        <v>0</v>
      </c>
      <c r="R103" s="43" t="n">
        <f aca="false">MAX(0,O103-P103-Q103)</f>
        <v>0</v>
      </c>
      <c r="S103" s="43" t="n">
        <f aca="false">IF(V102&gt;0.005,V102*(1+Ordem!$E$10),0)</f>
        <v>0</v>
      </c>
      <c r="T103" s="43" t="n">
        <f aca="false">MIN(S103,Ordem!$F$10)</f>
        <v>0</v>
      </c>
      <c r="U103" s="43" t="n">
        <f aca="false">MAX(0,MIN(S103-T103,$B103-(E103+I103+M103+Q103)))</f>
        <v>0</v>
      </c>
      <c r="V103" s="43" t="n">
        <f aca="false">MAX(0,S103-T103-U103)</f>
        <v>0</v>
      </c>
      <c r="W103" s="43" t="n">
        <f aca="false">IF(Z102&gt;0.005,Z102*(1+Ordem!$E$11),0)</f>
        <v>0</v>
      </c>
      <c r="X103" s="43" t="n">
        <f aca="false">MIN(W103,Ordem!$F$11)</f>
        <v>0</v>
      </c>
      <c r="Y103" s="43" t="n">
        <f aca="false">MAX(0,MIN(W103-X103,$B103-(E103+I103+M103+Q103+U103)))</f>
        <v>0</v>
      </c>
      <c r="Z103" s="43" t="n">
        <f aca="false">MAX(0,W103-X103-Y103)</f>
        <v>0</v>
      </c>
      <c r="AA103" s="43" t="n">
        <f aca="false">IF(AD102&gt;0.005,AD102*(1+Ordem!$E$12),0)</f>
        <v>0</v>
      </c>
      <c r="AB103" s="43" t="n">
        <f aca="false">MIN(AA103,Ordem!$F$12)</f>
        <v>0</v>
      </c>
      <c r="AC103" s="43" t="n">
        <f aca="false">MAX(0,MIN(AA103-AB103,$B103-(E103+I103+M103+Q103+U103+Y103)))</f>
        <v>0</v>
      </c>
      <c r="AD103" s="43" t="n">
        <f aca="false">MAX(0,AA103-AB103-AC103)</f>
        <v>0</v>
      </c>
      <c r="AE103" s="43" t="n">
        <f aca="false">IF(AH102&gt;0.005,AH102*(1+Ordem!$E$13),0)</f>
        <v>0</v>
      </c>
      <c r="AF103" s="43" t="n">
        <f aca="false">MIN(AE103,Ordem!$F$13)</f>
        <v>0</v>
      </c>
      <c r="AG103" s="43" t="n">
        <f aca="false">MAX(0,MIN(AE103-AF103,$B103-(E103+I103+M103+Q103+U103+Y103+AC103)))</f>
        <v>0</v>
      </c>
      <c r="AH103" s="43" t="n">
        <f aca="false">MAX(0,AE103-AF103-AG103)</f>
        <v>0</v>
      </c>
      <c r="AI103" s="43" t="n">
        <f aca="false">IF(AL102&gt;0.005,AL102*(1+Ordem!$E$14),0)</f>
        <v>0</v>
      </c>
      <c r="AJ103" s="43" t="n">
        <f aca="false">MIN(AI103,Ordem!$F$14)</f>
        <v>0</v>
      </c>
      <c r="AK103" s="43" t="n">
        <f aca="false">MAX(0,MIN(AI103-AJ103,$B103-(E103+I103+M103+Q103+U103+Y103+AC103+AG103)))</f>
        <v>0</v>
      </c>
      <c r="AL103" s="43" t="n">
        <f aca="false">MAX(0,AI103-AJ103-AK103)</f>
        <v>0</v>
      </c>
      <c r="AM103" s="43" t="n">
        <f aca="false">IF(AP102&gt;0.005,AP102*(1+Ordem!$E$15),0)</f>
        <v>0</v>
      </c>
      <c r="AN103" s="43" t="n">
        <f aca="false">MIN(AM103,Ordem!$F$15)</f>
        <v>0</v>
      </c>
      <c r="AO103" s="43" t="n">
        <f aca="false">MAX(0,MIN(AM103-AN103,$B103-(E103+I103+M103+Q103+U103+Y103+AC103+AG103+AK103)))</f>
        <v>0</v>
      </c>
      <c r="AP103" s="43" t="n">
        <f aca="false">MAX(0,AM103-AN103-AO103)</f>
        <v>0</v>
      </c>
      <c r="AQ103" s="43" t="n">
        <f aca="false">F103+J103+N103+R103+V103+Z103+AD103+AH103+AL103+AP103</f>
        <v>0</v>
      </c>
      <c r="AR103" s="43" t="n">
        <f aca="false">D103+E103+H103+I103+L103+M103+P103+Q103+T103+U103+X103+Y103+AB103+AC103+AF103+AG103+AJ103+AK103+AN103+AO103</f>
        <v>0</v>
      </c>
    </row>
    <row r="104" customFormat="false" ht="15" hidden="false" customHeight="false" outlineLevel="0" collapsed="false">
      <c r="A104" s="0" t="n">
        <v>100</v>
      </c>
      <c r="B104" s="43" t="n">
        <f aca="false">MAX(0,Dívidas!$C$20-(D104+H104+L104+P104+T104+X104+AB104+AF104+AJ104+AN104))</f>
        <v>1450</v>
      </c>
      <c r="C104" s="43" t="n">
        <f aca="false">IF(F103&gt;0.005,F103*(1+Ordem!$E$6),0)</f>
        <v>0</v>
      </c>
      <c r="D104" s="43" t="n">
        <f aca="false">MIN(C104,Ordem!$F$6)</f>
        <v>0</v>
      </c>
      <c r="E104" s="43" t="n">
        <f aca="false">MAX(0,MIN(C104-D104,$B104-(0)))</f>
        <v>0</v>
      </c>
      <c r="F104" s="43" t="n">
        <f aca="false">MAX(0,C104-D104-E104)</f>
        <v>0</v>
      </c>
      <c r="G104" s="43" t="n">
        <f aca="false">IF(J103&gt;0.005,J103*(1+Ordem!$E$7),0)</f>
        <v>0</v>
      </c>
      <c r="H104" s="43" t="n">
        <f aca="false">MIN(G104,Ordem!$F$7)</f>
        <v>0</v>
      </c>
      <c r="I104" s="43" t="n">
        <f aca="false">MAX(0,MIN(G104-H104,$B104-(E104)))</f>
        <v>0</v>
      </c>
      <c r="J104" s="43" t="n">
        <f aca="false">MAX(0,G104-H104-I104)</f>
        <v>0</v>
      </c>
      <c r="K104" s="43" t="n">
        <f aca="false">IF(N103&gt;0.005,N103*(1+Ordem!$E$8),0)</f>
        <v>0</v>
      </c>
      <c r="L104" s="43" t="n">
        <f aca="false">MIN(K104,Ordem!$F$8)</f>
        <v>0</v>
      </c>
      <c r="M104" s="43" t="n">
        <f aca="false">MAX(0,MIN(K104-L104,$B104-(E104+I104)))</f>
        <v>0</v>
      </c>
      <c r="N104" s="43" t="n">
        <f aca="false">MAX(0,K104-L104-M104)</f>
        <v>0</v>
      </c>
      <c r="O104" s="43" t="n">
        <f aca="false">IF(R103&gt;0.005,R103*(1+Ordem!$E$9),0)</f>
        <v>0</v>
      </c>
      <c r="P104" s="43" t="n">
        <f aca="false">MIN(O104,Ordem!$F$9)</f>
        <v>0</v>
      </c>
      <c r="Q104" s="43" t="n">
        <f aca="false">MAX(0,MIN(O104-P104,$B104-(E104+I104+M104)))</f>
        <v>0</v>
      </c>
      <c r="R104" s="43" t="n">
        <f aca="false">MAX(0,O104-P104-Q104)</f>
        <v>0</v>
      </c>
      <c r="S104" s="43" t="n">
        <f aca="false">IF(V103&gt;0.005,V103*(1+Ordem!$E$10),0)</f>
        <v>0</v>
      </c>
      <c r="T104" s="43" t="n">
        <f aca="false">MIN(S104,Ordem!$F$10)</f>
        <v>0</v>
      </c>
      <c r="U104" s="43" t="n">
        <f aca="false">MAX(0,MIN(S104-T104,$B104-(E104+I104+M104+Q104)))</f>
        <v>0</v>
      </c>
      <c r="V104" s="43" t="n">
        <f aca="false">MAX(0,S104-T104-U104)</f>
        <v>0</v>
      </c>
      <c r="W104" s="43" t="n">
        <f aca="false">IF(Z103&gt;0.005,Z103*(1+Ordem!$E$11),0)</f>
        <v>0</v>
      </c>
      <c r="X104" s="43" t="n">
        <f aca="false">MIN(W104,Ordem!$F$11)</f>
        <v>0</v>
      </c>
      <c r="Y104" s="43" t="n">
        <f aca="false">MAX(0,MIN(W104-X104,$B104-(E104+I104+M104+Q104+U104)))</f>
        <v>0</v>
      </c>
      <c r="Z104" s="43" t="n">
        <f aca="false">MAX(0,W104-X104-Y104)</f>
        <v>0</v>
      </c>
      <c r="AA104" s="43" t="n">
        <f aca="false">IF(AD103&gt;0.005,AD103*(1+Ordem!$E$12),0)</f>
        <v>0</v>
      </c>
      <c r="AB104" s="43" t="n">
        <f aca="false">MIN(AA104,Ordem!$F$12)</f>
        <v>0</v>
      </c>
      <c r="AC104" s="43" t="n">
        <f aca="false">MAX(0,MIN(AA104-AB104,$B104-(E104+I104+M104+Q104+U104+Y104)))</f>
        <v>0</v>
      </c>
      <c r="AD104" s="43" t="n">
        <f aca="false">MAX(0,AA104-AB104-AC104)</f>
        <v>0</v>
      </c>
      <c r="AE104" s="43" t="n">
        <f aca="false">IF(AH103&gt;0.005,AH103*(1+Ordem!$E$13),0)</f>
        <v>0</v>
      </c>
      <c r="AF104" s="43" t="n">
        <f aca="false">MIN(AE104,Ordem!$F$13)</f>
        <v>0</v>
      </c>
      <c r="AG104" s="43" t="n">
        <f aca="false">MAX(0,MIN(AE104-AF104,$B104-(E104+I104+M104+Q104+U104+Y104+AC104)))</f>
        <v>0</v>
      </c>
      <c r="AH104" s="43" t="n">
        <f aca="false">MAX(0,AE104-AF104-AG104)</f>
        <v>0</v>
      </c>
      <c r="AI104" s="43" t="n">
        <f aca="false">IF(AL103&gt;0.005,AL103*(1+Ordem!$E$14),0)</f>
        <v>0</v>
      </c>
      <c r="AJ104" s="43" t="n">
        <f aca="false">MIN(AI104,Ordem!$F$14)</f>
        <v>0</v>
      </c>
      <c r="AK104" s="43" t="n">
        <f aca="false">MAX(0,MIN(AI104-AJ104,$B104-(E104+I104+M104+Q104+U104+Y104+AC104+AG104)))</f>
        <v>0</v>
      </c>
      <c r="AL104" s="43" t="n">
        <f aca="false">MAX(0,AI104-AJ104-AK104)</f>
        <v>0</v>
      </c>
      <c r="AM104" s="43" t="n">
        <f aca="false">IF(AP103&gt;0.005,AP103*(1+Ordem!$E$15),0)</f>
        <v>0</v>
      </c>
      <c r="AN104" s="43" t="n">
        <f aca="false">MIN(AM104,Ordem!$F$15)</f>
        <v>0</v>
      </c>
      <c r="AO104" s="43" t="n">
        <f aca="false">MAX(0,MIN(AM104-AN104,$B104-(E104+I104+M104+Q104+U104+Y104+AC104+AG104+AK104)))</f>
        <v>0</v>
      </c>
      <c r="AP104" s="43" t="n">
        <f aca="false">MAX(0,AM104-AN104-AO104)</f>
        <v>0</v>
      </c>
      <c r="AQ104" s="43" t="n">
        <f aca="false">F104+J104+N104+R104+V104+Z104+AD104+AH104+AL104+AP104</f>
        <v>0</v>
      </c>
      <c r="AR104" s="43" t="n">
        <f aca="false">D104+E104+H104+I104+L104+M104+P104+Q104+T104+U104+X104+Y104+AB104+AC104+AF104+AG104+AJ104+AK104+AN104+AO104</f>
        <v>0</v>
      </c>
    </row>
    <row r="105" customFormat="false" ht="15" hidden="false" customHeight="false" outlineLevel="0" collapsed="false">
      <c r="A105" s="0" t="n">
        <v>101</v>
      </c>
      <c r="B105" s="43" t="n">
        <f aca="false">MAX(0,Dívidas!$C$20-(D105+H105+L105+P105+T105+X105+AB105+AF105+AJ105+AN105))</f>
        <v>1450</v>
      </c>
      <c r="C105" s="43" t="n">
        <f aca="false">IF(F104&gt;0.005,F104*(1+Ordem!$E$6),0)</f>
        <v>0</v>
      </c>
      <c r="D105" s="43" t="n">
        <f aca="false">MIN(C105,Ordem!$F$6)</f>
        <v>0</v>
      </c>
      <c r="E105" s="43" t="n">
        <f aca="false">MAX(0,MIN(C105-D105,$B105-(0)))</f>
        <v>0</v>
      </c>
      <c r="F105" s="43" t="n">
        <f aca="false">MAX(0,C105-D105-E105)</f>
        <v>0</v>
      </c>
      <c r="G105" s="43" t="n">
        <f aca="false">IF(J104&gt;0.005,J104*(1+Ordem!$E$7),0)</f>
        <v>0</v>
      </c>
      <c r="H105" s="43" t="n">
        <f aca="false">MIN(G105,Ordem!$F$7)</f>
        <v>0</v>
      </c>
      <c r="I105" s="43" t="n">
        <f aca="false">MAX(0,MIN(G105-H105,$B105-(E105)))</f>
        <v>0</v>
      </c>
      <c r="J105" s="43" t="n">
        <f aca="false">MAX(0,G105-H105-I105)</f>
        <v>0</v>
      </c>
      <c r="K105" s="43" t="n">
        <f aca="false">IF(N104&gt;0.005,N104*(1+Ordem!$E$8),0)</f>
        <v>0</v>
      </c>
      <c r="L105" s="43" t="n">
        <f aca="false">MIN(K105,Ordem!$F$8)</f>
        <v>0</v>
      </c>
      <c r="M105" s="43" t="n">
        <f aca="false">MAX(0,MIN(K105-L105,$B105-(E105+I105)))</f>
        <v>0</v>
      </c>
      <c r="N105" s="43" t="n">
        <f aca="false">MAX(0,K105-L105-M105)</f>
        <v>0</v>
      </c>
      <c r="O105" s="43" t="n">
        <f aca="false">IF(R104&gt;0.005,R104*(1+Ordem!$E$9),0)</f>
        <v>0</v>
      </c>
      <c r="P105" s="43" t="n">
        <f aca="false">MIN(O105,Ordem!$F$9)</f>
        <v>0</v>
      </c>
      <c r="Q105" s="43" t="n">
        <f aca="false">MAX(0,MIN(O105-P105,$B105-(E105+I105+M105)))</f>
        <v>0</v>
      </c>
      <c r="R105" s="43" t="n">
        <f aca="false">MAX(0,O105-P105-Q105)</f>
        <v>0</v>
      </c>
      <c r="S105" s="43" t="n">
        <f aca="false">IF(V104&gt;0.005,V104*(1+Ordem!$E$10),0)</f>
        <v>0</v>
      </c>
      <c r="T105" s="43" t="n">
        <f aca="false">MIN(S105,Ordem!$F$10)</f>
        <v>0</v>
      </c>
      <c r="U105" s="43" t="n">
        <f aca="false">MAX(0,MIN(S105-T105,$B105-(E105+I105+M105+Q105)))</f>
        <v>0</v>
      </c>
      <c r="V105" s="43" t="n">
        <f aca="false">MAX(0,S105-T105-U105)</f>
        <v>0</v>
      </c>
      <c r="W105" s="43" t="n">
        <f aca="false">IF(Z104&gt;0.005,Z104*(1+Ordem!$E$11),0)</f>
        <v>0</v>
      </c>
      <c r="X105" s="43" t="n">
        <f aca="false">MIN(W105,Ordem!$F$11)</f>
        <v>0</v>
      </c>
      <c r="Y105" s="43" t="n">
        <f aca="false">MAX(0,MIN(W105-X105,$B105-(E105+I105+M105+Q105+U105)))</f>
        <v>0</v>
      </c>
      <c r="Z105" s="43" t="n">
        <f aca="false">MAX(0,W105-X105-Y105)</f>
        <v>0</v>
      </c>
      <c r="AA105" s="43" t="n">
        <f aca="false">IF(AD104&gt;0.005,AD104*(1+Ordem!$E$12),0)</f>
        <v>0</v>
      </c>
      <c r="AB105" s="43" t="n">
        <f aca="false">MIN(AA105,Ordem!$F$12)</f>
        <v>0</v>
      </c>
      <c r="AC105" s="43" t="n">
        <f aca="false">MAX(0,MIN(AA105-AB105,$B105-(E105+I105+M105+Q105+U105+Y105)))</f>
        <v>0</v>
      </c>
      <c r="AD105" s="43" t="n">
        <f aca="false">MAX(0,AA105-AB105-AC105)</f>
        <v>0</v>
      </c>
      <c r="AE105" s="43" t="n">
        <f aca="false">IF(AH104&gt;0.005,AH104*(1+Ordem!$E$13),0)</f>
        <v>0</v>
      </c>
      <c r="AF105" s="43" t="n">
        <f aca="false">MIN(AE105,Ordem!$F$13)</f>
        <v>0</v>
      </c>
      <c r="AG105" s="43" t="n">
        <f aca="false">MAX(0,MIN(AE105-AF105,$B105-(E105+I105+M105+Q105+U105+Y105+AC105)))</f>
        <v>0</v>
      </c>
      <c r="AH105" s="43" t="n">
        <f aca="false">MAX(0,AE105-AF105-AG105)</f>
        <v>0</v>
      </c>
      <c r="AI105" s="43" t="n">
        <f aca="false">IF(AL104&gt;0.005,AL104*(1+Ordem!$E$14),0)</f>
        <v>0</v>
      </c>
      <c r="AJ105" s="43" t="n">
        <f aca="false">MIN(AI105,Ordem!$F$14)</f>
        <v>0</v>
      </c>
      <c r="AK105" s="43" t="n">
        <f aca="false">MAX(0,MIN(AI105-AJ105,$B105-(E105+I105+M105+Q105+U105+Y105+AC105+AG105)))</f>
        <v>0</v>
      </c>
      <c r="AL105" s="43" t="n">
        <f aca="false">MAX(0,AI105-AJ105-AK105)</f>
        <v>0</v>
      </c>
      <c r="AM105" s="43" t="n">
        <f aca="false">IF(AP104&gt;0.005,AP104*(1+Ordem!$E$15),0)</f>
        <v>0</v>
      </c>
      <c r="AN105" s="43" t="n">
        <f aca="false">MIN(AM105,Ordem!$F$15)</f>
        <v>0</v>
      </c>
      <c r="AO105" s="43" t="n">
        <f aca="false">MAX(0,MIN(AM105-AN105,$B105-(E105+I105+M105+Q105+U105+Y105+AC105+AG105+AK105)))</f>
        <v>0</v>
      </c>
      <c r="AP105" s="43" t="n">
        <f aca="false">MAX(0,AM105-AN105-AO105)</f>
        <v>0</v>
      </c>
      <c r="AQ105" s="43" t="n">
        <f aca="false">F105+J105+N105+R105+V105+Z105+AD105+AH105+AL105+AP105</f>
        <v>0</v>
      </c>
      <c r="AR105" s="43" t="n">
        <f aca="false">D105+E105+H105+I105+L105+M105+P105+Q105+T105+U105+X105+Y105+AB105+AC105+AF105+AG105+AJ105+AK105+AN105+AO105</f>
        <v>0</v>
      </c>
    </row>
    <row r="106" customFormat="false" ht="15" hidden="false" customHeight="false" outlineLevel="0" collapsed="false">
      <c r="A106" s="0" t="n">
        <v>102</v>
      </c>
      <c r="B106" s="43" t="n">
        <f aca="false">MAX(0,Dívidas!$C$20-(D106+H106+L106+P106+T106+X106+AB106+AF106+AJ106+AN106))</f>
        <v>1450</v>
      </c>
      <c r="C106" s="43" t="n">
        <f aca="false">IF(F105&gt;0.005,F105*(1+Ordem!$E$6),0)</f>
        <v>0</v>
      </c>
      <c r="D106" s="43" t="n">
        <f aca="false">MIN(C106,Ordem!$F$6)</f>
        <v>0</v>
      </c>
      <c r="E106" s="43" t="n">
        <f aca="false">MAX(0,MIN(C106-D106,$B106-(0)))</f>
        <v>0</v>
      </c>
      <c r="F106" s="43" t="n">
        <f aca="false">MAX(0,C106-D106-E106)</f>
        <v>0</v>
      </c>
      <c r="G106" s="43" t="n">
        <f aca="false">IF(J105&gt;0.005,J105*(1+Ordem!$E$7),0)</f>
        <v>0</v>
      </c>
      <c r="H106" s="43" t="n">
        <f aca="false">MIN(G106,Ordem!$F$7)</f>
        <v>0</v>
      </c>
      <c r="I106" s="43" t="n">
        <f aca="false">MAX(0,MIN(G106-H106,$B106-(E106)))</f>
        <v>0</v>
      </c>
      <c r="J106" s="43" t="n">
        <f aca="false">MAX(0,G106-H106-I106)</f>
        <v>0</v>
      </c>
      <c r="K106" s="43" t="n">
        <f aca="false">IF(N105&gt;0.005,N105*(1+Ordem!$E$8),0)</f>
        <v>0</v>
      </c>
      <c r="L106" s="43" t="n">
        <f aca="false">MIN(K106,Ordem!$F$8)</f>
        <v>0</v>
      </c>
      <c r="M106" s="43" t="n">
        <f aca="false">MAX(0,MIN(K106-L106,$B106-(E106+I106)))</f>
        <v>0</v>
      </c>
      <c r="N106" s="43" t="n">
        <f aca="false">MAX(0,K106-L106-M106)</f>
        <v>0</v>
      </c>
      <c r="O106" s="43" t="n">
        <f aca="false">IF(R105&gt;0.005,R105*(1+Ordem!$E$9),0)</f>
        <v>0</v>
      </c>
      <c r="P106" s="43" t="n">
        <f aca="false">MIN(O106,Ordem!$F$9)</f>
        <v>0</v>
      </c>
      <c r="Q106" s="43" t="n">
        <f aca="false">MAX(0,MIN(O106-P106,$B106-(E106+I106+M106)))</f>
        <v>0</v>
      </c>
      <c r="R106" s="43" t="n">
        <f aca="false">MAX(0,O106-P106-Q106)</f>
        <v>0</v>
      </c>
      <c r="S106" s="43" t="n">
        <f aca="false">IF(V105&gt;0.005,V105*(1+Ordem!$E$10),0)</f>
        <v>0</v>
      </c>
      <c r="T106" s="43" t="n">
        <f aca="false">MIN(S106,Ordem!$F$10)</f>
        <v>0</v>
      </c>
      <c r="U106" s="43" t="n">
        <f aca="false">MAX(0,MIN(S106-T106,$B106-(E106+I106+M106+Q106)))</f>
        <v>0</v>
      </c>
      <c r="V106" s="43" t="n">
        <f aca="false">MAX(0,S106-T106-U106)</f>
        <v>0</v>
      </c>
      <c r="W106" s="43" t="n">
        <f aca="false">IF(Z105&gt;0.005,Z105*(1+Ordem!$E$11),0)</f>
        <v>0</v>
      </c>
      <c r="X106" s="43" t="n">
        <f aca="false">MIN(W106,Ordem!$F$11)</f>
        <v>0</v>
      </c>
      <c r="Y106" s="43" t="n">
        <f aca="false">MAX(0,MIN(W106-X106,$B106-(E106+I106+M106+Q106+U106)))</f>
        <v>0</v>
      </c>
      <c r="Z106" s="43" t="n">
        <f aca="false">MAX(0,W106-X106-Y106)</f>
        <v>0</v>
      </c>
      <c r="AA106" s="43" t="n">
        <f aca="false">IF(AD105&gt;0.005,AD105*(1+Ordem!$E$12),0)</f>
        <v>0</v>
      </c>
      <c r="AB106" s="43" t="n">
        <f aca="false">MIN(AA106,Ordem!$F$12)</f>
        <v>0</v>
      </c>
      <c r="AC106" s="43" t="n">
        <f aca="false">MAX(0,MIN(AA106-AB106,$B106-(E106+I106+M106+Q106+U106+Y106)))</f>
        <v>0</v>
      </c>
      <c r="AD106" s="43" t="n">
        <f aca="false">MAX(0,AA106-AB106-AC106)</f>
        <v>0</v>
      </c>
      <c r="AE106" s="43" t="n">
        <f aca="false">IF(AH105&gt;0.005,AH105*(1+Ordem!$E$13),0)</f>
        <v>0</v>
      </c>
      <c r="AF106" s="43" t="n">
        <f aca="false">MIN(AE106,Ordem!$F$13)</f>
        <v>0</v>
      </c>
      <c r="AG106" s="43" t="n">
        <f aca="false">MAX(0,MIN(AE106-AF106,$B106-(E106+I106+M106+Q106+U106+Y106+AC106)))</f>
        <v>0</v>
      </c>
      <c r="AH106" s="43" t="n">
        <f aca="false">MAX(0,AE106-AF106-AG106)</f>
        <v>0</v>
      </c>
      <c r="AI106" s="43" t="n">
        <f aca="false">IF(AL105&gt;0.005,AL105*(1+Ordem!$E$14),0)</f>
        <v>0</v>
      </c>
      <c r="AJ106" s="43" t="n">
        <f aca="false">MIN(AI106,Ordem!$F$14)</f>
        <v>0</v>
      </c>
      <c r="AK106" s="43" t="n">
        <f aca="false">MAX(0,MIN(AI106-AJ106,$B106-(E106+I106+M106+Q106+U106+Y106+AC106+AG106)))</f>
        <v>0</v>
      </c>
      <c r="AL106" s="43" t="n">
        <f aca="false">MAX(0,AI106-AJ106-AK106)</f>
        <v>0</v>
      </c>
      <c r="AM106" s="43" t="n">
        <f aca="false">IF(AP105&gt;0.005,AP105*(1+Ordem!$E$15),0)</f>
        <v>0</v>
      </c>
      <c r="AN106" s="43" t="n">
        <f aca="false">MIN(AM106,Ordem!$F$15)</f>
        <v>0</v>
      </c>
      <c r="AO106" s="43" t="n">
        <f aca="false">MAX(0,MIN(AM106-AN106,$B106-(E106+I106+M106+Q106+U106+Y106+AC106+AG106+AK106)))</f>
        <v>0</v>
      </c>
      <c r="AP106" s="43" t="n">
        <f aca="false">MAX(0,AM106-AN106-AO106)</f>
        <v>0</v>
      </c>
      <c r="AQ106" s="43" t="n">
        <f aca="false">F106+J106+N106+R106+V106+Z106+AD106+AH106+AL106+AP106</f>
        <v>0</v>
      </c>
      <c r="AR106" s="43" t="n">
        <f aca="false">D106+E106+H106+I106+L106+M106+P106+Q106+T106+U106+X106+Y106+AB106+AC106+AF106+AG106+AJ106+AK106+AN106+AO106</f>
        <v>0</v>
      </c>
    </row>
    <row r="107" customFormat="false" ht="15" hidden="false" customHeight="false" outlineLevel="0" collapsed="false">
      <c r="A107" s="0" t="n">
        <v>103</v>
      </c>
      <c r="B107" s="43" t="n">
        <f aca="false">MAX(0,Dívidas!$C$20-(D107+H107+L107+P107+T107+X107+AB107+AF107+AJ107+AN107))</f>
        <v>1450</v>
      </c>
      <c r="C107" s="43" t="n">
        <f aca="false">IF(F106&gt;0.005,F106*(1+Ordem!$E$6),0)</f>
        <v>0</v>
      </c>
      <c r="D107" s="43" t="n">
        <f aca="false">MIN(C107,Ordem!$F$6)</f>
        <v>0</v>
      </c>
      <c r="E107" s="43" t="n">
        <f aca="false">MAX(0,MIN(C107-D107,$B107-(0)))</f>
        <v>0</v>
      </c>
      <c r="F107" s="43" t="n">
        <f aca="false">MAX(0,C107-D107-E107)</f>
        <v>0</v>
      </c>
      <c r="G107" s="43" t="n">
        <f aca="false">IF(J106&gt;0.005,J106*(1+Ordem!$E$7),0)</f>
        <v>0</v>
      </c>
      <c r="H107" s="43" t="n">
        <f aca="false">MIN(G107,Ordem!$F$7)</f>
        <v>0</v>
      </c>
      <c r="I107" s="43" t="n">
        <f aca="false">MAX(0,MIN(G107-H107,$B107-(E107)))</f>
        <v>0</v>
      </c>
      <c r="J107" s="43" t="n">
        <f aca="false">MAX(0,G107-H107-I107)</f>
        <v>0</v>
      </c>
      <c r="K107" s="43" t="n">
        <f aca="false">IF(N106&gt;0.005,N106*(1+Ordem!$E$8),0)</f>
        <v>0</v>
      </c>
      <c r="L107" s="43" t="n">
        <f aca="false">MIN(K107,Ordem!$F$8)</f>
        <v>0</v>
      </c>
      <c r="M107" s="43" t="n">
        <f aca="false">MAX(0,MIN(K107-L107,$B107-(E107+I107)))</f>
        <v>0</v>
      </c>
      <c r="N107" s="43" t="n">
        <f aca="false">MAX(0,K107-L107-M107)</f>
        <v>0</v>
      </c>
      <c r="O107" s="43" t="n">
        <f aca="false">IF(R106&gt;0.005,R106*(1+Ordem!$E$9),0)</f>
        <v>0</v>
      </c>
      <c r="P107" s="43" t="n">
        <f aca="false">MIN(O107,Ordem!$F$9)</f>
        <v>0</v>
      </c>
      <c r="Q107" s="43" t="n">
        <f aca="false">MAX(0,MIN(O107-P107,$B107-(E107+I107+M107)))</f>
        <v>0</v>
      </c>
      <c r="R107" s="43" t="n">
        <f aca="false">MAX(0,O107-P107-Q107)</f>
        <v>0</v>
      </c>
      <c r="S107" s="43" t="n">
        <f aca="false">IF(V106&gt;0.005,V106*(1+Ordem!$E$10),0)</f>
        <v>0</v>
      </c>
      <c r="T107" s="43" t="n">
        <f aca="false">MIN(S107,Ordem!$F$10)</f>
        <v>0</v>
      </c>
      <c r="U107" s="43" t="n">
        <f aca="false">MAX(0,MIN(S107-T107,$B107-(E107+I107+M107+Q107)))</f>
        <v>0</v>
      </c>
      <c r="V107" s="43" t="n">
        <f aca="false">MAX(0,S107-T107-U107)</f>
        <v>0</v>
      </c>
      <c r="W107" s="43" t="n">
        <f aca="false">IF(Z106&gt;0.005,Z106*(1+Ordem!$E$11),0)</f>
        <v>0</v>
      </c>
      <c r="X107" s="43" t="n">
        <f aca="false">MIN(W107,Ordem!$F$11)</f>
        <v>0</v>
      </c>
      <c r="Y107" s="43" t="n">
        <f aca="false">MAX(0,MIN(W107-X107,$B107-(E107+I107+M107+Q107+U107)))</f>
        <v>0</v>
      </c>
      <c r="Z107" s="43" t="n">
        <f aca="false">MAX(0,W107-X107-Y107)</f>
        <v>0</v>
      </c>
      <c r="AA107" s="43" t="n">
        <f aca="false">IF(AD106&gt;0.005,AD106*(1+Ordem!$E$12),0)</f>
        <v>0</v>
      </c>
      <c r="AB107" s="43" t="n">
        <f aca="false">MIN(AA107,Ordem!$F$12)</f>
        <v>0</v>
      </c>
      <c r="AC107" s="43" t="n">
        <f aca="false">MAX(0,MIN(AA107-AB107,$B107-(E107+I107+M107+Q107+U107+Y107)))</f>
        <v>0</v>
      </c>
      <c r="AD107" s="43" t="n">
        <f aca="false">MAX(0,AA107-AB107-AC107)</f>
        <v>0</v>
      </c>
      <c r="AE107" s="43" t="n">
        <f aca="false">IF(AH106&gt;0.005,AH106*(1+Ordem!$E$13),0)</f>
        <v>0</v>
      </c>
      <c r="AF107" s="43" t="n">
        <f aca="false">MIN(AE107,Ordem!$F$13)</f>
        <v>0</v>
      </c>
      <c r="AG107" s="43" t="n">
        <f aca="false">MAX(0,MIN(AE107-AF107,$B107-(E107+I107+M107+Q107+U107+Y107+AC107)))</f>
        <v>0</v>
      </c>
      <c r="AH107" s="43" t="n">
        <f aca="false">MAX(0,AE107-AF107-AG107)</f>
        <v>0</v>
      </c>
      <c r="AI107" s="43" t="n">
        <f aca="false">IF(AL106&gt;0.005,AL106*(1+Ordem!$E$14),0)</f>
        <v>0</v>
      </c>
      <c r="AJ107" s="43" t="n">
        <f aca="false">MIN(AI107,Ordem!$F$14)</f>
        <v>0</v>
      </c>
      <c r="AK107" s="43" t="n">
        <f aca="false">MAX(0,MIN(AI107-AJ107,$B107-(E107+I107+M107+Q107+U107+Y107+AC107+AG107)))</f>
        <v>0</v>
      </c>
      <c r="AL107" s="43" t="n">
        <f aca="false">MAX(0,AI107-AJ107-AK107)</f>
        <v>0</v>
      </c>
      <c r="AM107" s="43" t="n">
        <f aca="false">IF(AP106&gt;0.005,AP106*(1+Ordem!$E$15),0)</f>
        <v>0</v>
      </c>
      <c r="AN107" s="43" t="n">
        <f aca="false">MIN(AM107,Ordem!$F$15)</f>
        <v>0</v>
      </c>
      <c r="AO107" s="43" t="n">
        <f aca="false">MAX(0,MIN(AM107-AN107,$B107-(E107+I107+M107+Q107+U107+Y107+AC107+AG107+AK107)))</f>
        <v>0</v>
      </c>
      <c r="AP107" s="43" t="n">
        <f aca="false">MAX(0,AM107-AN107-AO107)</f>
        <v>0</v>
      </c>
      <c r="AQ107" s="43" t="n">
        <f aca="false">F107+J107+N107+R107+V107+Z107+AD107+AH107+AL107+AP107</f>
        <v>0</v>
      </c>
      <c r="AR107" s="43" t="n">
        <f aca="false">D107+E107+H107+I107+L107+M107+P107+Q107+T107+U107+X107+Y107+AB107+AC107+AF107+AG107+AJ107+AK107+AN107+AO107</f>
        <v>0</v>
      </c>
    </row>
    <row r="108" customFormat="false" ht="15" hidden="false" customHeight="false" outlineLevel="0" collapsed="false">
      <c r="A108" s="0" t="n">
        <v>104</v>
      </c>
      <c r="B108" s="43" t="n">
        <f aca="false">MAX(0,Dívidas!$C$20-(D108+H108+L108+P108+T108+X108+AB108+AF108+AJ108+AN108))</f>
        <v>1450</v>
      </c>
      <c r="C108" s="43" t="n">
        <f aca="false">IF(F107&gt;0.005,F107*(1+Ordem!$E$6),0)</f>
        <v>0</v>
      </c>
      <c r="D108" s="43" t="n">
        <f aca="false">MIN(C108,Ordem!$F$6)</f>
        <v>0</v>
      </c>
      <c r="E108" s="43" t="n">
        <f aca="false">MAX(0,MIN(C108-D108,$B108-(0)))</f>
        <v>0</v>
      </c>
      <c r="F108" s="43" t="n">
        <f aca="false">MAX(0,C108-D108-E108)</f>
        <v>0</v>
      </c>
      <c r="G108" s="43" t="n">
        <f aca="false">IF(J107&gt;0.005,J107*(1+Ordem!$E$7),0)</f>
        <v>0</v>
      </c>
      <c r="H108" s="43" t="n">
        <f aca="false">MIN(G108,Ordem!$F$7)</f>
        <v>0</v>
      </c>
      <c r="I108" s="43" t="n">
        <f aca="false">MAX(0,MIN(G108-H108,$B108-(E108)))</f>
        <v>0</v>
      </c>
      <c r="J108" s="43" t="n">
        <f aca="false">MAX(0,G108-H108-I108)</f>
        <v>0</v>
      </c>
      <c r="K108" s="43" t="n">
        <f aca="false">IF(N107&gt;0.005,N107*(1+Ordem!$E$8),0)</f>
        <v>0</v>
      </c>
      <c r="L108" s="43" t="n">
        <f aca="false">MIN(K108,Ordem!$F$8)</f>
        <v>0</v>
      </c>
      <c r="M108" s="43" t="n">
        <f aca="false">MAX(0,MIN(K108-L108,$B108-(E108+I108)))</f>
        <v>0</v>
      </c>
      <c r="N108" s="43" t="n">
        <f aca="false">MAX(0,K108-L108-M108)</f>
        <v>0</v>
      </c>
      <c r="O108" s="43" t="n">
        <f aca="false">IF(R107&gt;0.005,R107*(1+Ordem!$E$9),0)</f>
        <v>0</v>
      </c>
      <c r="P108" s="43" t="n">
        <f aca="false">MIN(O108,Ordem!$F$9)</f>
        <v>0</v>
      </c>
      <c r="Q108" s="43" t="n">
        <f aca="false">MAX(0,MIN(O108-P108,$B108-(E108+I108+M108)))</f>
        <v>0</v>
      </c>
      <c r="R108" s="43" t="n">
        <f aca="false">MAX(0,O108-P108-Q108)</f>
        <v>0</v>
      </c>
      <c r="S108" s="43" t="n">
        <f aca="false">IF(V107&gt;0.005,V107*(1+Ordem!$E$10),0)</f>
        <v>0</v>
      </c>
      <c r="T108" s="43" t="n">
        <f aca="false">MIN(S108,Ordem!$F$10)</f>
        <v>0</v>
      </c>
      <c r="U108" s="43" t="n">
        <f aca="false">MAX(0,MIN(S108-T108,$B108-(E108+I108+M108+Q108)))</f>
        <v>0</v>
      </c>
      <c r="V108" s="43" t="n">
        <f aca="false">MAX(0,S108-T108-U108)</f>
        <v>0</v>
      </c>
      <c r="W108" s="43" t="n">
        <f aca="false">IF(Z107&gt;0.005,Z107*(1+Ordem!$E$11),0)</f>
        <v>0</v>
      </c>
      <c r="X108" s="43" t="n">
        <f aca="false">MIN(W108,Ordem!$F$11)</f>
        <v>0</v>
      </c>
      <c r="Y108" s="43" t="n">
        <f aca="false">MAX(0,MIN(W108-X108,$B108-(E108+I108+M108+Q108+U108)))</f>
        <v>0</v>
      </c>
      <c r="Z108" s="43" t="n">
        <f aca="false">MAX(0,W108-X108-Y108)</f>
        <v>0</v>
      </c>
      <c r="AA108" s="43" t="n">
        <f aca="false">IF(AD107&gt;0.005,AD107*(1+Ordem!$E$12),0)</f>
        <v>0</v>
      </c>
      <c r="AB108" s="43" t="n">
        <f aca="false">MIN(AA108,Ordem!$F$12)</f>
        <v>0</v>
      </c>
      <c r="AC108" s="43" t="n">
        <f aca="false">MAX(0,MIN(AA108-AB108,$B108-(E108+I108+M108+Q108+U108+Y108)))</f>
        <v>0</v>
      </c>
      <c r="AD108" s="43" t="n">
        <f aca="false">MAX(0,AA108-AB108-AC108)</f>
        <v>0</v>
      </c>
      <c r="AE108" s="43" t="n">
        <f aca="false">IF(AH107&gt;0.005,AH107*(1+Ordem!$E$13),0)</f>
        <v>0</v>
      </c>
      <c r="AF108" s="43" t="n">
        <f aca="false">MIN(AE108,Ordem!$F$13)</f>
        <v>0</v>
      </c>
      <c r="AG108" s="43" t="n">
        <f aca="false">MAX(0,MIN(AE108-AF108,$B108-(E108+I108+M108+Q108+U108+Y108+AC108)))</f>
        <v>0</v>
      </c>
      <c r="AH108" s="43" t="n">
        <f aca="false">MAX(0,AE108-AF108-AG108)</f>
        <v>0</v>
      </c>
      <c r="AI108" s="43" t="n">
        <f aca="false">IF(AL107&gt;0.005,AL107*(1+Ordem!$E$14),0)</f>
        <v>0</v>
      </c>
      <c r="AJ108" s="43" t="n">
        <f aca="false">MIN(AI108,Ordem!$F$14)</f>
        <v>0</v>
      </c>
      <c r="AK108" s="43" t="n">
        <f aca="false">MAX(0,MIN(AI108-AJ108,$B108-(E108+I108+M108+Q108+U108+Y108+AC108+AG108)))</f>
        <v>0</v>
      </c>
      <c r="AL108" s="43" t="n">
        <f aca="false">MAX(0,AI108-AJ108-AK108)</f>
        <v>0</v>
      </c>
      <c r="AM108" s="43" t="n">
        <f aca="false">IF(AP107&gt;0.005,AP107*(1+Ordem!$E$15),0)</f>
        <v>0</v>
      </c>
      <c r="AN108" s="43" t="n">
        <f aca="false">MIN(AM108,Ordem!$F$15)</f>
        <v>0</v>
      </c>
      <c r="AO108" s="43" t="n">
        <f aca="false">MAX(0,MIN(AM108-AN108,$B108-(E108+I108+M108+Q108+U108+Y108+AC108+AG108+AK108)))</f>
        <v>0</v>
      </c>
      <c r="AP108" s="43" t="n">
        <f aca="false">MAX(0,AM108-AN108-AO108)</f>
        <v>0</v>
      </c>
      <c r="AQ108" s="43" t="n">
        <f aca="false">F108+J108+N108+R108+V108+Z108+AD108+AH108+AL108+AP108</f>
        <v>0</v>
      </c>
      <c r="AR108" s="43" t="n">
        <f aca="false">D108+E108+H108+I108+L108+M108+P108+Q108+T108+U108+X108+Y108+AB108+AC108+AF108+AG108+AJ108+AK108+AN108+AO108</f>
        <v>0</v>
      </c>
    </row>
    <row r="109" customFormat="false" ht="15" hidden="false" customHeight="false" outlineLevel="0" collapsed="false">
      <c r="A109" s="0" t="n">
        <v>105</v>
      </c>
      <c r="B109" s="43" t="n">
        <f aca="false">MAX(0,Dívidas!$C$20-(D109+H109+L109+P109+T109+X109+AB109+AF109+AJ109+AN109))</f>
        <v>1450</v>
      </c>
      <c r="C109" s="43" t="n">
        <f aca="false">IF(F108&gt;0.005,F108*(1+Ordem!$E$6),0)</f>
        <v>0</v>
      </c>
      <c r="D109" s="43" t="n">
        <f aca="false">MIN(C109,Ordem!$F$6)</f>
        <v>0</v>
      </c>
      <c r="E109" s="43" t="n">
        <f aca="false">MAX(0,MIN(C109-D109,$B109-(0)))</f>
        <v>0</v>
      </c>
      <c r="F109" s="43" t="n">
        <f aca="false">MAX(0,C109-D109-E109)</f>
        <v>0</v>
      </c>
      <c r="G109" s="43" t="n">
        <f aca="false">IF(J108&gt;0.005,J108*(1+Ordem!$E$7),0)</f>
        <v>0</v>
      </c>
      <c r="H109" s="43" t="n">
        <f aca="false">MIN(G109,Ordem!$F$7)</f>
        <v>0</v>
      </c>
      <c r="I109" s="43" t="n">
        <f aca="false">MAX(0,MIN(G109-H109,$B109-(E109)))</f>
        <v>0</v>
      </c>
      <c r="J109" s="43" t="n">
        <f aca="false">MAX(0,G109-H109-I109)</f>
        <v>0</v>
      </c>
      <c r="K109" s="43" t="n">
        <f aca="false">IF(N108&gt;0.005,N108*(1+Ordem!$E$8),0)</f>
        <v>0</v>
      </c>
      <c r="L109" s="43" t="n">
        <f aca="false">MIN(K109,Ordem!$F$8)</f>
        <v>0</v>
      </c>
      <c r="M109" s="43" t="n">
        <f aca="false">MAX(0,MIN(K109-L109,$B109-(E109+I109)))</f>
        <v>0</v>
      </c>
      <c r="N109" s="43" t="n">
        <f aca="false">MAX(0,K109-L109-M109)</f>
        <v>0</v>
      </c>
      <c r="O109" s="43" t="n">
        <f aca="false">IF(R108&gt;0.005,R108*(1+Ordem!$E$9),0)</f>
        <v>0</v>
      </c>
      <c r="P109" s="43" t="n">
        <f aca="false">MIN(O109,Ordem!$F$9)</f>
        <v>0</v>
      </c>
      <c r="Q109" s="43" t="n">
        <f aca="false">MAX(0,MIN(O109-P109,$B109-(E109+I109+M109)))</f>
        <v>0</v>
      </c>
      <c r="R109" s="43" t="n">
        <f aca="false">MAX(0,O109-P109-Q109)</f>
        <v>0</v>
      </c>
      <c r="S109" s="43" t="n">
        <f aca="false">IF(V108&gt;0.005,V108*(1+Ordem!$E$10),0)</f>
        <v>0</v>
      </c>
      <c r="T109" s="43" t="n">
        <f aca="false">MIN(S109,Ordem!$F$10)</f>
        <v>0</v>
      </c>
      <c r="U109" s="43" t="n">
        <f aca="false">MAX(0,MIN(S109-T109,$B109-(E109+I109+M109+Q109)))</f>
        <v>0</v>
      </c>
      <c r="V109" s="43" t="n">
        <f aca="false">MAX(0,S109-T109-U109)</f>
        <v>0</v>
      </c>
      <c r="W109" s="43" t="n">
        <f aca="false">IF(Z108&gt;0.005,Z108*(1+Ordem!$E$11),0)</f>
        <v>0</v>
      </c>
      <c r="X109" s="43" t="n">
        <f aca="false">MIN(W109,Ordem!$F$11)</f>
        <v>0</v>
      </c>
      <c r="Y109" s="43" t="n">
        <f aca="false">MAX(0,MIN(W109-X109,$B109-(E109+I109+M109+Q109+U109)))</f>
        <v>0</v>
      </c>
      <c r="Z109" s="43" t="n">
        <f aca="false">MAX(0,W109-X109-Y109)</f>
        <v>0</v>
      </c>
      <c r="AA109" s="43" t="n">
        <f aca="false">IF(AD108&gt;0.005,AD108*(1+Ordem!$E$12),0)</f>
        <v>0</v>
      </c>
      <c r="AB109" s="43" t="n">
        <f aca="false">MIN(AA109,Ordem!$F$12)</f>
        <v>0</v>
      </c>
      <c r="AC109" s="43" t="n">
        <f aca="false">MAX(0,MIN(AA109-AB109,$B109-(E109+I109+M109+Q109+U109+Y109)))</f>
        <v>0</v>
      </c>
      <c r="AD109" s="43" t="n">
        <f aca="false">MAX(0,AA109-AB109-AC109)</f>
        <v>0</v>
      </c>
      <c r="AE109" s="43" t="n">
        <f aca="false">IF(AH108&gt;0.005,AH108*(1+Ordem!$E$13),0)</f>
        <v>0</v>
      </c>
      <c r="AF109" s="43" t="n">
        <f aca="false">MIN(AE109,Ordem!$F$13)</f>
        <v>0</v>
      </c>
      <c r="AG109" s="43" t="n">
        <f aca="false">MAX(0,MIN(AE109-AF109,$B109-(E109+I109+M109+Q109+U109+Y109+AC109)))</f>
        <v>0</v>
      </c>
      <c r="AH109" s="43" t="n">
        <f aca="false">MAX(0,AE109-AF109-AG109)</f>
        <v>0</v>
      </c>
      <c r="AI109" s="43" t="n">
        <f aca="false">IF(AL108&gt;0.005,AL108*(1+Ordem!$E$14),0)</f>
        <v>0</v>
      </c>
      <c r="AJ109" s="43" t="n">
        <f aca="false">MIN(AI109,Ordem!$F$14)</f>
        <v>0</v>
      </c>
      <c r="AK109" s="43" t="n">
        <f aca="false">MAX(0,MIN(AI109-AJ109,$B109-(E109+I109+M109+Q109+U109+Y109+AC109+AG109)))</f>
        <v>0</v>
      </c>
      <c r="AL109" s="43" t="n">
        <f aca="false">MAX(0,AI109-AJ109-AK109)</f>
        <v>0</v>
      </c>
      <c r="AM109" s="43" t="n">
        <f aca="false">IF(AP108&gt;0.005,AP108*(1+Ordem!$E$15),0)</f>
        <v>0</v>
      </c>
      <c r="AN109" s="43" t="n">
        <f aca="false">MIN(AM109,Ordem!$F$15)</f>
        <v>0</v>
      </c>
      <c r="AO109" s="43" t="n">
        <f aca="false">MAX(0,MIN(AM109-AN109,$B109-(E109+I109+M109+Q109+U109+Y109+AC109+AG109+AK109)))</f>
        <v>0</v>
      </c>
      <c r="AP109" s="43" t="n">
        <f aca="false">MAX(0,AM109-AN109-AO109)</f>
        <v>0</v>
      </c>
      <c r="AQ109" s="43" t="n">
        <f aca="false">F109+J109+N109+R109+V109+Z109+AD109+AH109+AL109+AP109</f>
        <v>0</v>
      </c>
      <c r="AR109" s="43" t="n">
        <f aca="false">D109+E109+H109+I109+L109+M109+P109+Q109+T109+U109+X109+Y109+AB109+AC109+AF109+AG109+AJ109+AK109+AN109+AO109</f>
        <v>0</v>
      </c>
    </row>
    <row r="110" customFormat="false" ht="15" hidden="false" customHeight="false" outlineLevel="0" collapsed="false">
      <c r="A110" s="0" t="n">
        <v>106</v>
      </c>
      <c r="B110" s="43" t="n">
        <f aca="false">MAX(0,Dívidas!$C$20-(D110+H110+L110+P110+T110+X110+AB110+AF110+AJ110+AN110))</f>
        <v>1450</v>
      </c>
      <c r="C110" s="43" t="n">
        <f aca="false">IF(F109&gt;0.005,F109*(1+Ordem!$E$6),0)</f>
        <v>0</v>
      </c>
      <c r="D110" s="43" t="n">
        <f aca="false">MIN(C110,Ordem!$F$6)</f>
        <v>0</v>
      </c>
      <c r="E110" s="43" t="n">
        <f aca="false">MAX(0,MIN(C110-D110,$B110-(0)))</f>
        <v>0</v>
      </c>
      <c r="F110" s="43" t="n">
        <f aca="false">MAX(0,C110-D110-E110)</f>
        <v>0</v>
      </c>
      <c r="G110" s="43" t="n">
        <f aca="false">IF(J109&gt;0.005,J109*(1+Ordem!$E$7),0)</f>
        <v>0</v>
      </c>
      <c r="H110" s="43" t="n">
        <f aca="false">MIN(G110,Ordem!$F$7)</f>
        <v>0</v>
      </c>
      <c r="I110" s="43" t="n">
        <f aca="false">MAX(0,MIN(G110-H110,$B110-(E110)))</f>
        <v>0</v>
      </c>
      <c r="J110" s="43" t="n">
        <f aca="false">MAX(0,G110-H110-I110)</f>
        <v>0</v>
      </c>
      <c r="K110" s="43" t="n">
        <f aca="false">IF(N109&gt;0.005,N109*(1+Ordem!$E$8),0)</f>
        <v>0</v>
      </c>
      <c r="L110" s="43" t="n">
        <f aca="false">MIN(K110,Ordem!$F$8)</f>
        <v>0</v>
      </c>
      <c r="M110" s="43" t="n">
        <f aca="false">MAX(0,MIN(K110-L110,$B110-(E110+I110)))</f>
        <v>0</v>
      </c>
      <c r="N110" s="43" t="n">
        <f aca="false">MAX(0,K110-L110-M110)</f>
        <v>0</v>
      </c>
      <c r="O110" s="43" t="n">
        <f aca="false">IF(R109&gt;0.005,R109*(1+Ordem!$E$9),0)</f>
        <v>0</v>
      </c>
      <c r="P110" s="43" t="n">
        <f aca="false">MIN(O110,Ordem!$F$9)</f>
        <v>0</v>
      </c>
      <c r="Q110" s="43" t="n">
        <f aca="false">MAX(0,MIN(O110-P110,$B110-(E110+I110+M110)))</f>
        <v>0</v>
      </c>
      <c r="R110" s="43" t="n">
        <f aca="false">MAX(0,O110-P110-Q110)</f>
        <v>0</v>
      </c>
      <c r="S110" s="43" t="n">
        <f aca="false">IF(V109&gt;0.005,V109*(1+Ordem!$E$10),0)</f>
        <v>0</v>
      </c>
      <c r="T110" s="43" t="n">
        <f aca="false">MIN(S110,Ordem!$F$10)</f>
        <v>0</v>
      </c>
      <c r="U110" s="43" t="n">
        <f aca="false">MAX(0,MIN(S110-T110,$B110-(E110+I110+M110+Q110)))</f>
        <v>0</v>
      </c>
      <c r="V110" s="43" t="n">
        <f aca="false">MAX(0,S110-T110-U110)</f>
        <v>0</v>
      </c>
      <c r="W110" s="43" t="n">
        <f aca="false">IF(Z109&gt;0.005,Z109*(1+Ordem!$E$11),0)</f>
        <v>0</v>
      </c>
      <c r="X110" s="43" t="n">
        <f aca="false">MIN(W110,Ordem!$F$11)</f>
        <v>0</v>
      </c>
      <c r="Y110" s="43" t="n">
        <f aca="false">MAX(0,MIN(W110-X110,$B110-(E110+I110+M110+Q110+U110)))</f>
        <v>0</v>
      </c>
      <c r="Z110" s="43" t="n">
        <f aca="false">MAX(0,W110-X110-Y110)</f>
        <v>0</v>
      </c>
      <c r="AA110" s="43" t="n">
        <f aca="false">IF(AD109&gt;0.005,AD109*(1+Ordem!$E$12),0)</f>
        <v>0</v>
      </c>
      <c r="AB110" s="43" t="n">
        <f aca="false">MIN(AA110,Ordem!$F$12)</f>
        <v>0</v>
      </c>
      <c r="AC110" s="43" t="n">
        <f aca="false">MAX(0,MIN(AA110-AB110,$B110-(E110+I110+M110+Q110+U110+Y110)))</f>
        <v>0</v>
      </c>
      <c r="AD110" s="43" t="n">
        <f aca="false">MAX(0,AA110-AB110-AC110)</f>
        <v>0</v>
      </c>
      <c r="AE110" s="43" t="n">
        <f aca="false">IF(AH109&gt;0.005,AH109*(1+Ordem!$E$13),0)</f>
        <v>0</v>
      </c>
      <c r="AF110" s="43" t="n">
        <f aca="false">MIN(AE110,Ordem!$F$13)</f>
        <v>0</v>
      </c>
      <c r="AG110" s="43" t="n">
        <f aca="false">MAX(0,MIN(AE110-AF110,$B110-(E110+I110+M110+Q110+U110+Y110+AC110)))</f>
        <v>0</v>
      </c>
      <c r="AH110" s="43" t="n">
        <f aca="false">MAX(0,AE110-AF110-AG110)</f>
        <v>0</v>
      </c>
      <c r="AI110" s="43" t="n">
        <f aca="false">IF(AL109&gt;0.005,AL109*(1+Ordem!$E$14),0)</f>
        <v>0</v>
      </c>
      <c r="AJ110" s="43" t="n">
        <f aca="false">MIN(AI110,Ordem!$F$14)</f>
        <v>0</v>
      </c>
      <c r="AK110" s="43" t="n">
        <f aca="false">MAX(0,MIN(AI110-AJ110,$B110-(E110+I110+M110+Q110+U110+Y110+AC110+AG110)))</f>
        <v>0</v>
      </c>
      <c r="AL110" s="43" t="n">
        <f aca="false">MAX(0,AI110-AJ110-AK110)</f>
        <v>0</v>
      </c>
      <c r="AM110" s="43" t="n">
        <f aca="false">IF(AP109&gt;0.005,AP109*(1+Ordem!$E$15),0)</f>
        <v>0</v>
      </c>
      <c r="AN110" s="43" t="n">
        <f aca="false">MIN(AM110,Ordem!$F$15)</f>
        <v>0</v>
      </c>
      <c r="AO110" s="43" t="n">
        <f aca="false">MAX(0,MIN(AM110-AN110,$B110-(E110+I110+M110+Q110+U110+Y110+AC110+AG110+AK110)))</f>
        <v>0</v>
      </c>
      <c r="AP110" s="43" t="n">
        <f aca="false">MAX(0,AM110-AN110-AO110)</f>
        <v>0</v>
      </c>
      <c r="AQ110" s="43" t="n">
        <f aca="false">F110+J110+N110+R110+V110+Z110+AD110+AH110+AL110+AP110</f>
        <v>0</v>
      </c>
      <c r="AR110" s="43" t="n">
        <f aca="false">D110+E110+H110+I110+L110+M110+P110+Q110+T110+U110+X110+Y110+AB110+AC110+AF110+AG110+AJ110+AK110+AN110+AO110</f>
        <v>0</v>
      </c>
    </row>
    <row r="111" customFormat="false" ht="15" hidden="false" customHeight="false" outlineLevel="0" collapsed="false">
      <c r="A111" s="0" t="n">
        <v>107</v>
      </c>
      <c r="B111" s="43" t="n">
        <f aca="false">MAX(0,Dívidas!$C$20-(D111+H111+L111+P111+T111+X111+AB111+AF111+AJ111+AN111))</f>
        <v>1450</v>
      </c>
      <c r="C111" s="43" t="n">
        <f aca="false">IF(F110&gt;0.005,F110*(1+Ordem!$E$6),0)</f>
        <v>0</v>
      </c>
      <c r="D111" s="43" t="n">
        <f aca="false">MIN(C111,Ordem!$F$6)</f>
        <v>0</v>
      </c>
      <c r="E111" s="43" t="n">
        <f aca="false">MAX(0,MIN(C111-D111,$B111-(0)))</f>
        <v>0</v>
      </c>
      <c r="F111" s="43" t="n">
        <f aca="false">MAX(0,C111-D111-E111)</f>
        <v>0</v>
      </c>
      <c r="G111" s="43" t="n">
        <f aca="false">IF(J110&gt;0.005,J110*(1+Ordem!$E$7),0)</f>
        <v>0</v>
      </c>
      <c r="H111" s="43" t="n">
        <f aca="false">MIN(G111,Ordem!$F$7)</f>
        <v>0</v>
      </c>
      <c r="I111" s="43" t="n">
        <f aca="false">MAX(0,MIN(G111-H111,$B111-(E111)))</f>
        <v>0</v>
      </c>
      <c r="J111" s="43" t="n">
        <f aca="false">MAX(0,G111-H111-I111)</f>
        <v>0</v>
      </c>
      <c r="K111" s="43" t="n">
        <f aca="false">IF(N110&gt;0.005,N110*(1+Ordem!$E$8),0)</f>
        <v>0</v>
      </c>
      <c r="L111" s="43" t="n">
        <f aca="false">MIN(K111,Ordem!$F$8)</f>
        <v>0</v>
      </c>
      <c r="M111" s="43" t="n">
        <f aca="false">MAX(0,MIN(K111-L111,$B111-(E111+I111)))</f>
        <v>0</v>
      </c>
      <c r="N111" s="43" t="n">
        <f aca="false">MAX(0,K111-L111-M111)</f>
        <v>0</v>
      </c>
      <c r="O111" s="43" t="n">
        <f aca="false">IF(R110&gt;0.005,R110*(1+Ordem!$E$9),0)</f>
        <v>0</v>
      </c>
      <c r="P111" s="43" t="n">
        <f aca="false">MIN(O111,Ordem!$F$9)</f>
        <v>0</v>
      </c>
      <c r="Q111" s="43" t="n">
        <f aca="false">MAX(0,MIN(O111-P111,$B111-(E111+I111+M111)))</f>
        <v>0</v>
      </c>
      <c r="R111" s="43" t="n">
        <f aca="false">MAX(0,O111-P111-Q111)</f>
        <v>0</v>
      </c>
      <c r="S111" s="43" t="n">
        <f aca="false">IF(V110&gt;0.005,V110*(1+Ordem!$E$10),0)</f>
        <v>0</v>
      </c>
      <c r="T111" s="43" t="n">
        <f aca="false">MIN(S111,Ordem!$F$10)</f>
        <v>0</v>
      </c>
      <c r="U111" s="43" t="n">
        <f aca="false">MAX(0,MIN(S111-T111,$B111-(E111+I111+M111+Q111)))</f>
        <v>0</v>
      </c>
      <c r="V111" s="43" t="n">
        <f aca="false">MAX(0,S111-T111-U111)</f>
        <v>0</v>
      </c>
      <c r="W111" s="43" t="n">
        <f aca="false">IF(Z110&gt;0.005,Z110*(1+Ordem!$E$11),0)</f>
        <v>0</v>
      </c>
      <c r="X111" s="43" t="n">
        <f aca="false">MIN(W111,Ordem!$F$11)</f>
        <v>0</v>
      </c>
      <c r="Y111" s="43" t="n">
        <f aca="false">MAX(0,MIN(W111-X111,$B111-(E111+I111+M111+Q111+U111)))</f>
        <v>0</v>
      </c>
      <c r="Z111" s="43" t="n">
        <f aca="false">MAX(0,W111-X111-Y111)</f>
        <v>0</v>
      </c>
      <c r="AA111" s="43" t="n">
        <f aca="false">IF(AD110&gt;0.005,AD110*(1+Ordem!$E$12),0)</f>
        <v>0</v>
      </c>
      <c r="AB111" s="43" t="n">
        <f aca="false">MIN(AA111,Ordem!$F$12)</f>
        <v>0</v>
      </c>
      <c r="AC111" s="43" t="n">
        <f aca="false">MAX(0,MIN(AA111-AB111,$B111-(E111+I111+M111+Q111+U111+Y111)))</f>
        <v>0</v>
      </c>
      <c r="AD111" s="43" t="n">
        <f aca="false">MAX(0,AA111-AB111-AC111)</f>
        <v>0</v>
      </c>
      <c r="AE111" s="43" t="n">
        <f aca="false">IF(AH110&gt;0.005,AH110*(1+Ordem!$E$13),0)</f>
        <v>0</v>
      </c>
      <c r="AF111" s="43" t="n">
        <f aca="false">MIN(AE111,Ordem!$F$13)</f>
        <v>0</v>
      </c>
      <c r="AG111" s="43" t="n">
        <f aca="false">MAX(0,MIN(AE111-AF111,$B111-(E111+I111+M111+Q111+U111+Y111+AC111)))</f>
        <v>0</v>
      </c>
      <c r="AH111" s="43" t="n">
        <f aca="false">MAX(0,AE111-AF111-AG111)</f>
        <v>0</v>
      </c>
      <c r="AI111" s="43" t="n">
        <f aca="false">IF(AL110&gt;0.005,AL110*(1+Ordem!$E$14),0)</f>
        <v>0</v>
      </c>
      <c r="AJ111" s="43" t="n">
        <f aca="false">MIN(AI111,Ordem!$F$14)</f>
        <v>0</v>
      </c>
      <c r="AK111" s="43" t="n">
        <f aca="false">MAX(0,MIN(AI111-AJ111,$B111-(E111+I111+M111+Q111+U111+Y111+AC111+AG111)))</f>
        <v>0</v>
      </c>
      <c r="AL111" s="43" t="n">
        <f aca="false">MAX(0,AI111-AJ111-AK111)</f>
        <v>0</v>
      </c>
      <c r="AM111" s="43" t="n">
        <f aca="false">IF(AP110&gt;0.005,AP110*(1+Ordem!$E$15),0)</f>
        <v>0</v>
      </c>
      <c r="AN111" s="43" t="n">
        <f aca="false">MIN(AM111,Ordem!$F$15)</f>
        <v>0</v>
      </c>
      <c r="AO111" s="43" t="n">
        <f aca="false">MAX(0,MIN(AM111-AN111,$B111-(E111+I111+M111+Q111+U111+Y111+AC111+AG111+AK111)))</f>
        <v>0</v>
      </c>
      <c r="AP111" s="43" t="n">
        <f aca="false">MAX(0,AM111-AN111-AO111)</f>
        <v>0</v>
      </c>
      <c r="AQ111" s="43" t="n">
        <f aca="false">F111+J111+N111+R111+V111+Z111+AD111+AH111+AL111+AP111</f>
        <v>0</v>
      </c>
      <c r="AR111" s="43" t="n">
        <f aca="false">D111+E111+H111+I111+L111+M111+P111+Q111+T111+U111+X111+Y111+AB111+AC111+AF111+AG111+AJ111+AK111+AN111+AO111</f>
        <v>0</v>
      </c>
    </row>
    <row r="112" customFormat="false" ht="15" hidden="false" customHeight="false" outlineLevel="0" collapsed="false">
      <c r="A112" s="0" t="n">
        <v>108</v>
      </c>
      <c r="B112" s="43" t="n">
        <f aca="false">MAX(0,Dívidas!$C$20-(D112+H112+L112+P112+T112+X112+AB112+AF112+AJ112+AN112))</f>
        <v>1450</v>
      </c>
      <c r="C112" s="43" t="n">
        <f aca="false">IF(F111&gt;0.005,F111*(1+Ordem!$E$6),0)</f>
        <v>0</v>
      </c>
      <c r="D112" s="43" t="n">
        <f aca="false">MIN(C112,Ordem!$F$6)</f>
        <v>0</v>
      </c>
      <c r="E112" s="43" t="n">
        <f aca="false">MAX(0,MIN(C112-D112,$B112-(0)))</f>
        <v>0</v>
      </c>
      <c r="F112" s="43" t="n">
        <f aca="false">MAX(0,C112-D112-E112)</f>
        <v>0</v>
      </c>
      <c r="G112" s="43" t="n">
        <f aca="false">IF(J111&gt;0.005,J111*(1+Ordem!$E$7),0)</f>
        <v>0</v>
      </c>
      <c r="H112" s="43" t="n">
        <f aca="false">MIN(G112,Ordem!$F$7)</f>
        <v>0</v>
      </c>
      <c r="I112" s="43" t="n">
        <f aca="false">MAX(0,MIN(G112-H112,$B112-(E112)))</f>
        <v>0</v>
      </c>
      <c r="J112" s="43" t="n">
        <f aca="false">MAX(0,G112-H112-I112)</f>
        <v>0</v>
      </c>
      <c r="K112" s="43" t="n">
        <f aca="false">IF(N111&gt;0.005,N111*(1+Ordem!$E$8),0)</f>
        <v>0</v>
      </c>
      <c r="L112" s="43" t="n">
        <f aca="false">MIN(K112,Ordem!$F$8)</f>
        <v>0</v>
      </c>
      <c r="M112" s="43" t="n">
        <f aca="false">MAX(0,MIN(K112-L112,$B112-(E112+I112)))</f>
        <v>0</v>
      </c>
      <c r="N112" s="43" t="n">
        <f aca="false">MAX(0,K112-L112-M112)</f>
        <v>0</v>
      </c>
      <c r="O112" s="43" t="n">
        <f aca="false">IF(R111&gt;0.005,R111*(1+Ordem!$E$9),0)</f>
        <v>0</v>
      </c>
      <c r="P112" s="43" t="n">
        <f aca="false">MIN(O112,Ordem!$F$9)</f>
        <v>0</v>
      </c>
      <c r="Q112" s="43" t="n">
        <f aca="false">MAX(0,MIN(O112-P112,$B112-(E112+I112+M112)))</f>
        <v>0</v>
      </c>
      <c r="R112" s="43" t="n">
        <f aca="false">MAX(0,O112-P112-Q112)</f>
        <v>0</v>
      </c>
      <c r="S112" s="43" t="n">
        <f aca="false">IF(V111&gt;0.005,V111*(1+Ordem!$E$10),0)</f>
        <v>0</v>
      </c>
      <c r="T112" s="43" t="n">
        <f aca="false">MIN(S112,Ordem!$F$10)</f>
        <v>0</v>
      </c>
      <c r="U112" s="43" t="n">
        <f aca="false">MAX(0,MIN(S112-T112,$B112-(E112+I112+M112+Q112)))</f>
        <v>0</v>
      </c>
      <c r="V112" s="43" t="n">
        <f aca="false">MAX(0,S112-T112-U112)</f>
        <v>0</v>
      </c>
      <c r="W112" s="43" t="n">
        <f aca="false">IF(Z111&gt;0.005,Z111*(1+Ordem!$E$11),0)</f>
        <v>0</v>
      </c>
      <c r="X112" s="43" t="n">
        <f aca="false">MIN(W112,Ordem!$F$11)</f>
        <v>0</v>
      </c>
      <c r="Y112" s="43" t="n">
        <f aca="false">MAX(0,MIN(W112-X112,$B112-(E112+I112+M112+Q112+U112)))</f>
        <v>0</v>
      </c>
      <c r="Z112" s="43" t="n">
        <f aca="false">MAX(0,W112-X112-Y112)</f>
        <v>0</v>
      </c>
      <c r="AA112" s="43" t="n">
        <f aca="false">IF(AD111&gt;0.005,AD111*(1+Ordem!$E$12),0)</f>
        <v>0</v>
      </c>
      <c r="AB112" s="43" t="n">
        <f aca="false">MIN(AA112,Ordem!$F$12)</f>
        <v>0</v>
      </c>
      <c r="AC112" s="43" t="n">
        <f aca="false">MAX(0,MIN(AA112-AB112,$B112-(E112+I112+M112+Q112+U112+Y112)))</f>
        <v>0</v>
      </c>
      <c r="AD112" s="43" t="n">
        <f aca="false">MAX(0,AA112-AB112-AC112)</f>
        <v>0</v>
      </c>
      <c r="AE112" s="43" t="n">
        <f aca="false">IF(AH111&gt;0.005,AH111*(1+Ordem!$E$13),0)</f>
        <v>0</v>
      </c>
      <c r="AF112" s="43" t="n">
        <f aca="false">MIN(AE112,Ordem!$F$13)</f>
        <v>0</v>
      </c>
      <c r="AG112" s="43" t="n">
        <f aca="false">MAX(0,MIN(AE112-AF112,$B112-(E112+I112+M112+Q112+U112+Y112+AC112)))</f>
        <v>0</v>
      </c>
      <c r="AH112" s="43" t="n">
        <f aca="false">MAX(0,AE112-AF112-AG112)</f>
        <v>0</v>
      </c>
      <c r="AI112" s="43" t="n">
        <f aca="false">IF(AL111&gt;0.005,AL111*(1+Ordem!$E$14),0)</f>
        <v>0</v>
      </c>
      <c r="AJ112" s="43" t="n">
        <f aca="false">MIN(AI112,Ordem!$F$14)</f>
        <v>0</v>
      </c>
      <c r="AK112" s="43" t="n">
        <f aca="false">MAX(0,MIN(AI112-AJ112,$B112-(E112+I112+M112+Q112+U112+Y112+AC112+AG112)))</f>
        <v>0</v>
      </c>
      <c r="AL112" s="43" t="n">
        <f aca="false">MAX(0,AI112-AJ112-AK112)</f>
        <v>0</v>
      </c>
      <c r="AM112" s="43" t="n">
        <f aca="false">IF(AP111&gt;0.005,AP111*(1+Ordem!$E$15),0)</f>
        <v>0</v>
      </c>
      <c r="AN112" s="43" t="n">
        <f aca="false">MIN(AM112,Ordem!$F$15)</f>
        <v>0</v>
      </c>
      <c r="AO112" s="43" t="n">
        <f aca="false">MAX(0,MIN(AM112-AN112,$B112-(E112+I112+M112+Q112+U112+Y112+AC112+AG112+AK112)))</f>
        <v>0</v>
      </c>
      <c r="AP112" s="43" t="n">
        <f aca="false">MAX(0,AM112-AN112-AO112)</f>
        <v>0</v>
      </c>
      <c r="AQ112" s="43" t="n">
        <f aca="false">F112+J112+N112+R112+V112+Z112+AD112+AH112+AL112+AP112</f>
        <v>0</v>
      </c>
      <c r="AR112" s="43" t="n">
        <f aca="false">D112+E112+H112+I112+L112+M112+P112+Q112+T112+U112+X112+Y112+AB112+AC112+AF112+AG112+AJ112+AK112+AN112+AO112</f>
        <v>0</v>
      </c>
    </row>
    <row r="113" customFormat="false" ht="15" hidden="false" customHeight="false" outlineLevel="0" collapsed="false">
      <c r="A113" s="0" t="n">
        <v>109</v>
      </c>
      <c r="B113" s="43" t="n">
        <f aca="false">MAX(0,Dívidas!$C$20-(D113+H113+L113+P113+T113+X113+AB113+AF113+AJ113+AN113))</f>
        <v>1450</v>
      </c>
      <c r="C113" s="43" t="n">
        <f aca="false">IF(F112&gt;0.005,F112*(1+Ordem!$E$6),0)</f>
        <v>0</v>
      </c>
      <c r="D113" s="43" t="n">
        <f aca="false">MIN(C113,Ordem!$F$6)</f>
        <v>0</v>
      </c>
      <c r="E113" s="43" t="n">
        <f aca="false">MAX(0,MIN(C113-D113,$B113-(0)))</f>
        <v>0</v>
      </c>
      <c r="F113" s="43" t="n">
        <f aca="false">MAX(0,C113-D113-E113)</f>
        <v>0</v>
      </c>
      <c r="G113" s="43" t="n">
        <f aca="false">IF(J112&gt;0.005,J112*(1+Ordem!$E$7),0)</f>
        <v>0</v>
      </c>
      <c r="H113" s="43" t="n">
        <f aca="false">MIN(G113,Ordem!$F$7)</f>
        <v>0</v>
      </c>
      <c r="I113" s="43" t="n">
        <f aca="false">MAX(0,MIN(G113-H113,$B113-(E113)))</f>
        <v>0</v>
      </c>
      <c r="J113" s="43" t="n">
        <f aca="false">MAX(0,G113-H113-I113)</f>
        <v>0</v>
      </c>
      <c r="K113" s="43" t="n">
        <f aca="false">IF(N112&gt;0.005,N112*(1+Ordem!$E$8),0)</f>
        <v>0</v>
      </c>
      <c r="L113" s="43" t="n">
        <f aca="false">MIN(K113,Ordem!$F$8)</f>
        <v>0</v>
      </c>
      <c r="M113" s="43" t="n">
        <f aca="false">MAX(0,MIN(K113-L113,$B113-(E113+I113)))</f>
        <v>0</v>
      </c>
      <c r="N113" s="43" t="n">
        <f aca="false">MAX(0,K113-L113-M113)</f>
        <v>0</v>
      </c>
      <c r="O113" s="43" t="n">
        <f aca="false">IF(R112&gt;0.005,R112*(1+Ordem!$E$9),0)</f>
        <v>0</v>
      </c>
      <c r="P113" s="43" t="n">
        <f aca="false">MIN(O113,Ordem!$F$9)</f>
        <v>0</v>
      </c>
      <c r="Q113" s="43" t="n">
        <f aca="false">MAX(0,MIN(O113-P113,$B113-(E113+I113+M113)))</f>
        <v>0</v>
      </c>
      <c r="R113" s="43" t="n">
        <f aca="false">MAX(0,O113-P113-Q113)</f>
        <v>0</v>
      </c>
      <c r="S113" s="43" t="n">
        <f aca="false">IF(V112&gt;0.005,V112*(1+Ordem!$E$10),0)</f>
        <v>0</v>
      </c>
      <c r="T113" s="43" t="n">
        <f aca="false">MIN(S113,Ordem!$F$10)</f>
        <v>0</v>
      </c>
      <c r="U113" s="43" t="n">
        <f aca="false">MAX(0,MIN(S113-T113,$B113-(E113+I113+M113+Q113)))</f>
        <v>0</v>
      </c>
      <c r="V113" s="43" t="n">
        <f aca="false">MAX(0,S113-T113-U113)</f>
        <v>0</v>
      </c>
      <c r="W113" s="43" t="n">
        <f aca="false">IF(Z112&gt;0.005,Z112*(1+Ordem!$E$11),0)</f>
        <v>0</v>
      </c>
      <c r="X113" s="43" t="n">
        <f aca="false">MIN(W113,Ordem!$F$11)</f>
        <v>0</v>
      </c>
      <c r="Y113" s="43" t="n">
        <f aca="false">MAX(0,MIN(W113-X113,$B113-(E113+I113+M113+Q113+U113)))</f>
        <v>0</v>
      </c>
      <c r="Z113" s="43" t="n">
        <f aca="false">MAX(0,W113-X113-Y113)</f>
        <v>0</v>
      </c>
      <c r="AA113" s="43" t="n">
        <f aca="false">IF(AD112&gt;0.005,AD112*(1+Ordem!$E$12),0)</f>
        <v>0</v>
      </c>
      <c r="AB113" s="43" t="n">
        <f aca="false">MIN(AA113,Ordem!$F$12)</f>
        <v>0</v>
      </c>
      <c r="AC113" s="43" t="n">
        <f aca="false">MAX(0,MIN(AA113-AB113,$B113-(E113+I113+M113+Q113+U113+Y113)))</f>
        <v>0</v>
      </c>
      <c r="AD113" s="43" t="n">
        <f aca="false">MAX(0,AA113-AB113-AC113)</f>
        <v>0</v>
      </c>
      <c r="AE113" s="43" t="n">
        <f aca="false">IF(AH112&gt;0.005,AH112*(1+Ordem!$E$13),0)</f>
        <v>0</v>
      </c>
      <c r="AF113" s="43" t="n">
        <f aca="false">MIN(AE113,Ordem!$F$13)</f>
        <v>0</v>
      </c>
      <c r="AG113" s="43" t="n">
        <f aca="false">MAX(0,MIN(AE113-AF113,$B113-(E113+I113+M113+Q113+U113+Y113+AC113)))</f>
        <v>0</v>
      </c>
      <c r="AH113" s="43" t="n">
        <f aca="false">MAX(0,AE113-AF113-AG113)</f>
        <v>0</v>
      </c>
      <c r="AI113" s="43" t="n">
        <f aca="false">IF(AL112&gt;0.005,AL112*(1+Ordem!$E$14),0)</f>
        <v>0</v>
      </c>
      <c r="AJ113" s="43" t="n">
        <f aca="false">MIN(AI113,Ordem!$F$14)</f>
        <v>0</v>
      </c>
      <c r="AK113" s="43" t="n">
        <f aca="false">MAX(0,MIN(AI113-AJ113,$B113-(E113+I113+M113+Q113+U113+Y113+AC113+AG113)))</f>
        <v>0</v>
      </c>
      <c r="AL113" s="43" t="n">
        <f aca="false">MAX(0,AI113-AJ113-AK113)</f>
        <v>0</v>
      </c>
      <c r="AM113" s="43" t="n">
        <f aca="false">IF(AP112&gt;0.005,AP112*(1+Ordem!$E$15),0)</f>
        <v>0</v>
      </c>
      <c r="AN113" s="43" t="n">
        <f aca="false">MIN(AM113,Ordem!$F$15)</f>
        <v>0</v>
      </c>
      <c r="AO113" s="43" t="n">
        <f aca="false">MAX(0,MIN(AM113-AN113,$B113-(E113+I113+M113+Q113+U113+Y113+AC113+AG113+AK113)))</f>
        <v>0</v>
      </c>
      <c r="AP113" s="43" t="n">
        <f aca="false">MAX(0,AM113-AN113-AO113)</f>
        <v>0</v>
      </c>
      <c r="AQ113" s="43" t="n">
        <f aca="false">F113+J113+N113+R113+V113+Z113+AD113+AH113+AL113+AP113</f>
        <v>0</v>
      </c>
      <c r="AR113" s="43" t="n">
        <f aca="false">D113+E113+H113+I113+L113+M113+P113+Q113+T113+U113+X113+Y113+AB113+AC113+AF113+AG113+AJ113+AK113+AN113+AO113</f>
        <v>0</v>
      </c>
    </row>
    <row r="114" customFormat="false" ht="15" hidden="false" customHeight="false" outlineLevel="0" collapsed="false">
      <c r="A114" s="0" t="n">
        <v>110</v>
      </c>
      <c r="B114" s="43" t="n">
        <f aca="false">MAX(0,Dívidas!$C$20-(D114+H114+L114+P114+T114+X114+AB114+AF114+AJ114+AN114))</f>
        <v>1450</v>
      </c>
      <c r="C114" s="43" t="n">
        <f aca="false">IF(F113&gt;0.005,F113*(1+Ordem!$E$6),0)</f>
        <v>0</v>
      </c>
      <c r="D114" s="43" t="n">
        <f aca="false">MIN(C114,Ordem!$F$6)</f>
        <v>0</v>
      </c>
      <c r="E114" s="43" t="n">
        <f aca="false">MAX(0,MIN(C114-D114,$B114-(0)))</f>
        <v>0</v>
      </c>
      <c r="F114" s="43" t="n">
        <f aca="false">MAX(0,C114-D114-E114)</f>
        <v>0</v>
      </c>
      <c r="G114" s="43" t="n">
        <f aca="false">IF(J113&gt;0.005,J113*(1+Ordem!$E$7),0)</f>
        <v>0</v>
      </c>
      <c r="H114" s="43" t="n">
        <f aca="false">MIN(G114,Ordem!$F$7)</f>
        <v>0</v>
      </c>
      <c r="I114" s="43" t="n">
        <f aca="false">MAX(0,MIN(G114-H114,$B114-(E114)))</f>
        <v>0</v>
      </c>
      <c r="J114" s="43" t="n">
        <f aca="false">MAX(0,G114-H114-I114)</f>
        <v>0</v>
      </c>
      <c r="K114" s="43" t="n">
        <f aca="false">IF(N113&gt;0.005,N113*(1+Ordem!$E$8),0)</f>
        <v>0</v>
      </c>
      <c r="L114" s="43" t="n">
        <f aca="false">MIN(K114,Ordem!$F$8)</f>
        <v>0</v>
      </c>
      <c r="M114" s="43" t="n">
        <f aca="false">MAX(0,MIN(K114-L114,$B114-(E114+I114)))</f>
        <v>0</v>
      </c>
      <c r="N114" s="43" t="n">
        <f aca="false">MAX(0,K114-L114-M114)</f>
        <v>0</v>
      </c>
      <c r="O114" s="43" t="n">
        <f aca="false">IF(R113&gt;0.005,R113*(1+Ordem!$E$9),0)</f>
        <v>0</v>
      </c>
      <c r="P114" s="43" t="n">
        <f aca="false">MIN(O114,Ordem!$F$9)</f>
        <v>0</v>
      </c>
      <c r="Q114" s="43" t="n">
        <f aca="false">MAX(0,MIN(O114-P114,$B114-(E114+I114+M114)))</f>
        <v>0</v>
      </c>
      <c r="R114" s="43" t="n">
        <f aca="false">MAX(0,O114-P114-Q114)</f>
        <v>0</v>
      </c>
      <c r="S114" s="43" t="n">
        <f aca="false">IF(V113&gt;0.005,V113*(1+Ordem!$E$10),0)</f>
        <v>0</v>
      </c>
      <c r="T114" s="43" t="n">
        <f aca="false">MIN(S114,Ordem!$F$10)</f>
        <v>0</v>
      </c>
      <c r="U114" s="43" t="n">
        <f aca="false">MAX(0,MIN(S114-T114,$B114-(E114+I114+M114+Q114)))</f>
        <v>0</v>
      </c>
      <c r="V114" s="43" t="n">
        <f aca="false">MAX(0,S114-T114-U114)</f>
        <v>0</v>
      </c>
      <c r="W114" s="43" t="n">
        <f aca="false">IF(Z113&gt;0.005,Z113*(1+Ordem!$E$11),0)</f>
        <v>0</v>
      </c>
      <c r="X114" s="43" t="n">
        <f aca="false">MIN(W114,Ordem!$F$11)</f>
        <v>0</v>
      </c>
      <c r="Y114" s="43" t="n">
        <f aca="false">MAX(0,MIN(W114-X114,$B114-(E114+I114+M114+Q114+U114)))</f>
        <v>0</v>
      </c>
      <c r="Z114" s="43" t="n">
        <f aca="false">MAX(0,W114-X114-Y114)</f>
        <v>0</v>
      </c>
      <c r="AA114" s="43" t="n">
        <f aca="false">IF(AD113&gt;0.005,AD113*(1+Ordem!$E$12),0)</f>
        <v>0</v>
      </c>
      <c r="AB114" s="43" t="n">
        <f aca="false">MIN(AA114,Ordem!$F$12)</f>
        <v>0</v>
      </c>
      <c r="AC114" s="43" t="n">
        <f aca="false">MAX(0,MIN(AA114-AB114,$B114-(E114+I114+M114+Q114+U114+Y114)))</f>
        <v>0</v>
      </c>
      <c r="AD114" s="43" t="n">
        <f aca="false">MAX(0,AA114-AB114-AC114)</f>
        <v>0</v>
      </c>
      <c r="AE114" s="43" t="n">
        <f aca="false">IF(AH113&gt;0.005,AH113*(1+Ordem!$E$13),0)</f>
        <v>0</v>
      </c>
      <c r="AF114" s="43" t="n">
        <f aca="false">MIN(AE114,Ordem!$F$13)</f>
        <v>0</v>
      </c>
      <c r="AG114" s="43" t="n">
        <f aca="false">MAX(0,MIN(AE114-AF114,$B114-(E114+I114+M114+Q114+U114+Y114+AC114)))</f>
        <v>0</v>
      </c>
      <c r="AH114" s="43" t="n">
        <f aca="false">MAX(0,AE114-AF114-AG114)</f>
        <v>0</v>
      </c>
      <c r="AI114" s="43" t="n">
        <f aca="false">IF(AL113&gt;0.005,AL113*(1+Ordem!$E$14),0)</f>
        <v>0</v>
      </c>
      <c r="AJ114" s="43" t="n">
        <f aca="false">MIN(AI114,Ordem!$F$14)</f>
        <v>0</v>
      </c>
      <c r="AK114" s="43" t="n">
        <f aca="false">MAX(0,MIN(AI114-AJ114,$B114-(E114+I114+M114+Q114+U114+Y114+AC114+AG114)))</f>
        <v>0</v>
      </c>
      <c r="AL114" s="43" t="n">
        <f aca="false">MAX(0,AI114-AJ114-AK114)</f>
        <v>0</v>
      </c>
      <c r="AM114" s="43" t="n">
        <f aca="false">IF(AP113&gt;0.005,AP113*(1+Ordem!$E$15),0)</f>
        <v>0</v>
      </c>
      <c r="AN114" s="43" t="n">
        <f aca="false">MIN(AM114,Ordem!$F$15)</f>
        <v>0</v>
      </c>
      <c r="AO114" s="43" t="n">
        <f aca="false">MAX(0,MIN(AM114-AN114,$B114-(E114+I114+M114+Q114+U114+Y114+AC114+AG114+AK114)))</f>
        <v>0</v>
      </c>
      <c r="AP114" s="43" t="n">
        <f aca="false">MAX(0,AM114-AN114-AO114)</f>
        <v>0</v>
      </c>
      <c r="AQ114" s="43" t="n">
        <f aca="false">F114+J114+N114+R114+V114+Z114+AD114+AH114+AL114+AP114</f>
        <v>0</v>
      </c>
      <c r="AR114" s="43" t="n">
        <f aca="false">D114+E114+H114+I114+L114+M114+P114+Q114+T114+U114+X114+Y114+AB114+AC114+AF114+AG114+AJ114+AK114+AN114+AO114</f>
        <v>0</v>
      </c>
    </row>
    <row r="115" customFormat="false" ht="15" hidden="false" customHeight="false" outlineLevel="0" collapsed="false">
      <c r="A115" s="0" t="n">
        <v>111</v>
      </c>
      <c r="B115" s="43" t="n">
        <f aca="false">MAX(0,Dívidas!$C$20-(D115+H115+L115+P115+T115+X115+AB115+AF115+AJ115+AN115))</f>
        <v>1450</v>
      </c>
      <c r="C115" s="43" t="n">
        <f aca="false">IF(F114&gt;0.005,F114*(1+Ordem!$E$6),0)</f>
        <v>0</v>
      </c>
      <c r="D115" s="43" t="n">
        <f aca="false">MIN(C115,Ordem!$F$6)</f>
        <v>0</v>
      </c>
      <c r="E115" s="43" t="n">
        <f aca="false">MAX(0,MIN(C115-D115,$B115-(0)))</f>
        <v>0</v>
      </c>
      <c r="F115" s="43" t="n">
        <f aca="false">MAX(0,C115-D115-E115)</f>
        <v>0</v>
      </c>
      <c r="G115" s="43" t="n">
        <f aca="false">IF(J114&gt;0.005,J114*(1+Ordem!$E$7),0)</f>
        <v>0</v>
      </c>
      <c r="H115" s="43" t="n">
        <f aca="false">MIN(G115,Ordem!$F$7)</f>
        <v>0</v>
      </c>
      <c r="I115" s="43" t="n">
        <f aca="false">MAX(0,MIN(G115-H115,$B115-(E115)))</f>
        <v>0</v>
      </c>
      <c r="J115" s="43" t="n">
        <f aca="false">MAX(0,G115-H115-I115)</f>
        <v>0</v>
      </c>
      <c r="K115" s="43" t="n">
        <f aca="false">IF(N114&gt;0.005,N114*(1+Ordem!$E$8),0)</f>
        <v>0</v>
      </c>
      <c r="L115" s="43" t="n">
        <f aca="false">MIN(K115,Ordem!$F$8)</f>
        <v>0</v>
      </c>
      <c r="M115" s="43" t="n">
        <f aca="false">MAX(0,MIN(K115-L115,$B115-(E115+I115)))</f>
        <v>0</v>
      </c>
      <c r="N115" s="43" t="n">
        <f aca="false">MAX(0,K115-L115-M115)</f>
        <v>0</v>
      </c>
      <c r="O115" s="43" t="n">
        <f aca="false">IF(R114&gt;0.005,R114*(1+Ordem!$E$9),0)</f>
        <v>0</v>
      </c>
      <c r="P115" s="43" t="n">
        <f aca="false">MIN(O115,Ordem!$F$9)</f>
        <v>0</v>
      </c>
      <c r="Q115" s="43" t="n">
        <f aca="false">MAX(0,MIN(O115-P115,$B115-(E115+I115+M115)))</f>
        <v>0</v>
      </c>
      <c r="R115" s="43" t="n">
        <f aca="false">MAX(0,O115-P115-Q115)</f>
        <v>0</v>
      </c>
      <c r="S115" s="43" t="n">
        <f aca="false">IF(V114&gt;0.005,V114*(1+Ordem!$E$10),0)</f>
        <v>0</v>
      </c>
      <c r="T115" s="43" t="n">
        <f aca="false">MIN(S115,Ordem!$F$10)</f>
        <v>0</v>
      </c>
      <c r="U115" s="43" t="n">
        <f aca="false">MAX(0,MIN(S115-T115,$B115-(E115+I115+M115+Q115)))</f>
        <v>0</v>
      </c>
      <c r="V115" s="43" t="n">
        <f aca="false">MAX(0,S115-T115-U115)</f>
        <v>0</v>
      </c>
      <c r="W115" s="43" t="n">
        <f aca="false">IF(Z114&gt;0.005,Z114*(1+Ordem!$E$11),0)</f>
        <v>0</v>
      </c>
      <c r="X115" s="43" t="n">
        <f aca="false">MIN(W115,Ordem!$F$11)</f>
        <v>0</v>
      </c>
      <c r="Y115" s="43" t="n">
        <f aca="false">MAX(0,MIN(W115-X115,$B115-(E115+I115+M115+Q115+U115)))</f>
        <v>0</v>
      </c>
      <c r="Z115" s="43" t="n">
        <f aca="false">MAX(0,W115-X115-Y115)</f>
        <v>0</v>
      </c>
      <c r="AA115" s="43" t="n">
        <f aca="false">IF(AD114&gt;0.005,AD114*(1+Ordem!$E$12),0)</f>
        <v>0</v>
      </c>
      <c r="AB115" s="43" t="n">
        <f aca="false">MIN(AA115,Ordem!$F$12)</f>
        <v>0</v>
      </c>
      <c r="AC115" s="43" t="n">
        <f aca="false">MAX(0,MIN(AA115-AB115,$B115-(E115+I115+M115+Q115+U115+Y115)))</f>
        <v>0</v>
      </c>
      <c r="AD115" s="43" t="n">
        <f aca="false">MAX(0,AA115-AB115-AC115)</f>
        <v>0</v>
      </c>
      <c r="AE115" s="43" t="n">
        <f aca="false">IF(AH114&gt;0.005,AH114*(1+Ordem!$E$13),0)</f>
        <v>0</v>
      </c>
      <c r="AF115" s="43" t="n">
        <f aca="false">MIN(AE115,Ordem!$F$13)</f>
        <v>0</v>
      </c>
      <c r="AG115" s="43" t="n">
        <f aca="false">MAX(0,MIN(AE115-AF115,$B115-(E115+I115+M115+Q115+U115+Y115+AC115)))</f>
        <v>0</v>
      </c>
      <c r="AH115" s="43" t="n">
        <f aca="false">MAX(0,AE115-AF115-AG115)</f>
        <v>0</v>
      </c>
      <c r="AI115" s="43" t="n">
        <f aca="false">IF(AL114&gt;0.005,AL114*(1+Ordem!$E$14),0)</f>
        <v>0</v>
      </c>
      <c r="AJ115" s="43" t="n">
        <f aca="false">MIN(AI115,Ordem!$F$14)</f>
        <v>0</v>
      </c>
      <c r="AK115" s="43" t="n">
        <f aca="false">MAX(0,MIN(AI115-AJ115,$B115-(E115+I115+M115+Q115+U115+Y115+AC115+AG115)))</f>
        <v>0</v>
      </c>
      <c r="AL115" s="43" t="n">
        <f aca="false">MAX(0,AI115-AJ115-AK115)</f>
        <v>0</v>
      </c>
      <c r="AM115" s="43" t="n">
        <f aca="false">IF(AP114&gt;0.005,AP114*(1+Ordem!$E$15),0)</f>
        <v>0</v>
      </c>
      <c r="AN115" s="43" t="n">
        <f aca="false">MIN(AM115,Ordem!$F$15)</f>
        <v>0</v>
      </c>
      <c r="AO115" s="43" t="n">
        <f aca="false">MAX(0,MIN(AM115-AN115,$B115-(E115+I115+M115+Q115+U115+Y115+AC115+AG115+AK115)))</f>
        <v>0</v>
      </c>
      <c r="AP115" s="43" t="n">
        <f aca="false">MAX(0,AM115-AN115-AO115)</f>
        <v>0</v>
      </c>
      <c r="AQ115" s="43" t="n">
        <f aca="false">F115+J115+N115+R115+V115+Z115+AD115+AH115+AL115+AP115</f>
        <v>0</v>
      </c>
      <c r="AR115" s="43" t="n">
        <f aca="false">D115+E115+H115+I115+L115+M115+P115+Q115+T115+U115+X115+Y115+AB115+AC115+AF115+AG115+AJ115+AK115+AN115+AO115</f>
        <v>0</v>
      </c>
    </row>
    <row r="116" customFormat="false" ht="15" hidden="false" customHeight="false" outlineLevel="0" collapsed="false">
      <c r="A116" s="0" t="n">
        <v>112</v>
      </c>
      <c r="B116" s="43" t="n">
        <f aca="false">MAX(0,Dívidas!$C$20-(D116+H116+L116+P116+T116+X116+AB116+AF116+AJ116+AN116))</f>
        <v>1450</v>
      </c>
      <c r="C116" s="43" t="n">
        <f aca="false">IF(F115&gt;0.005,F115*(1+Ordem!$E$6),0)</f>
        <v>0</v>
      </c>
      <c r="D116" s="43" t="n">
        <f aca="false">MIN(C116,Ordem!$F$6)</f>
        <v>0</v>
      </c>
      <c r="E116" s="43" t="n">
        <f aca="false">MAX(0,MIN(C116-D116,$B116-(0)))</f>
        <v>0</v>
      </c>
      <c r="F116" s="43" t="n">
        <f aca="false">MAX(0,C116-D116-E116)</f>
        <v>0</v>
      </c>
      <c r="G116" s="43" t="n">
        <f aca="false">IF(J115&gt;0.005,J115*(1+Ordem!$E$7),0)</f>
        <v>0</v>
      </c>
      <c r="H116" s="43" t="n">
        <f aca="false">MIN(G116,Ordem!$F$7)</f>
        <v>0</v>
      </c>
      <c r="I116" s="43" t="n">
        <f aca="false">MAX(0,MIN(G116-H116,$B116-(E116)))</f>
        <v>0</v>
      </c>
      <c r="J116" s="43" t="n">
        <f aca="false">MAX(0,G116-H116-I116)</f>
        <v>0</v>
      </c>
      <c r="K116" s="43" t="n">
        <f aca="false">IF(N115&gt;0.005,N115*(1+Ordem!$E$8),0)</f>
        <v>0</v>
      </c>
      <c r="L116" s="43" t="n">
        <f aca="false">MIN(K116,Ordem!$F$8)</f>
        <v>0</v>
      </c>
      <c r="M116" s="43" t="n">
        <f aca="false">MAX(0,MIN(K116-L116,$B116-(E116+I116)))</f>
        <v>0</v>
      </c>
      <c r="N116" s="43" t="n">
        <f aca="false">MAX(0,K116-L116-M116)</f>
        <v>0</v>
      </c>
      <c r="O116" s="43" t="n">
        <f aca="false">IF(R115&gt;0.005,R115*(1+Ordem!$E$9),0)</f>
        <v>0</v>
      </c>
      <c r="P116" s="43" t="n">
        <f aca="false">MIN(O116,Ordem!$F$9)</f>
        <v>0</v>
      </c>
      <c r="Q116" s="43" t="n">
        <f aca="false">MAX(0,MIN(O116-P116,$B116-(E116+I116+M116)))</f>
        <v>0</v>
      </c>
      <c r="R116" s="43" t="n">
        <f aca="false">MAX(0,O116-P116-Q116)</f>
        <v>0</v>
      </c>
      <c r="S116" s="43" t="n">
        <f aca="false">IF(V115&gt;0.005,V115*(1+Ordem!$E$10),0)</f>
        <v>0</v>
      </c>
      <c r="T116" s="43" t="n">
        <f aca="false">MIN(S116,Ordem!$F$10)</f>
        <v>0</v>
      </c>
      <c r="U116" s="43" t="n">
        <f aca="false">MAX(0,MIN(S116-T116,$B116-(E116+I116+M116+Q116)))</f>
        <v>0</v>
      </c>
      <c r="V116" s="43" t="n">
        <f aca="false">MAX(0,S116-T116-U116)</f>
        <v>0</v>
      </c>
      <c r="W116" s="43" t="n">
        <f aca="false">IF(Z115&gt;0.005,Z115*(1+Ordem!$E$11),0)</f>
        <v>0</v>
      </c>
      <c r="X116" s="43" t="n">
        <f aca="false">MIN(W116,Ordem!$F$11)</f>
        <v>0</v>
      </c>
      <c r="Y116" s="43" t="n">
        <f aca="false">MAX(0,MIN(W116-X116,$B116-(E116+I116+M116+Q116+U116)))</f>
        <v>0</v>
      </c>
      <c r="Z116" s="43" t="n">
        <f aca="false">MAX(0,W116-X116-Y116)</f>
        <v>0</v>
      </c>
      <c r="AA116" s="43" t="n">
        <f aca="false">IF(AD115&gt;0.005,AD115*(1+Ordem!$E$12),0)</f>
        <v>0</v>
      </c>
      <c r="AB116" s="43" t="n">
        <f aca="false">MIN(AA116,Ordem!$F$12)</f>
        <v>0</v>
      </c>
      <c r="AC116" s="43" t="n">
        <f aca="false">MAX(0,MIN(AA116-AB116,$B116-(E116+I116+M116+Q116+U116+Y116)))</f>
        <v>0</v>
      </c>
      <c r="AD116" s="43" t="n">
        <f aca="false">MAX(0,AA116-AB116-AC116)</f>
        <v>0</v>
      </c>
      <c r="AE116" s="43" t="n">
        <f aca="false">IF(AH115&gt;0.005,AH115*(1+Ordem!$E$13),0)</f>
        <v>0</v>
      </c>
      <c r="AF116" s="43" t="n">
        <f aca="false">MIN(AE116,Ordem!$F$13)</f>
        <v>0</v>
      </c>
      <c r="AG116" s="43" t="n">
        <f aca="false">MAX(0,MIN(AE116-AF116,$B116-(E116+I116+M116+Q116+U116+Y116+AC116)))</f>
        <v>0</v>
      </c>
      <c r="AH116" s="43" t="n">
        <f aca="false">MAX(0,AE116-AF116-AG116)</f>
        <v>0</v>
      </c>
      <c r="AI116" s="43" t="n">
        <f aca="false">IF(AL115&gt;0.005,AL115*(1+Ordem!$E$14),0)</f>
        <v>0</v>
      </c>
      <c r="AJ116" s="43" t="n">
        <f aca="false">MIN(AI116,Ordem!$F$14)</f>
        <v>0</v>
      </c>
      <c r="AK116" s="43" t="n">
        <f aca="false">MAX(0,MIN(AI116-AJ116,$B116-(E116+I116+M116+Q116+U116+Y116+AC116+AG116)))</f>
        <v>0</v>
      </c>
      <c r="AL116" s="43" t="n">
        <f aca="false">MAX(0,AI116-AJ116-AK116)</f>
        <v>0</v>
      </c>
      <c r="AM116" s="43" t="n">
        <f aca="false">IF(AP115&gt;0.005,AP115*(1+Ordem!$E$15),0)</f>
        <v>0</v>
      </c>
      <c r="AN116" s="43" t="n">
        <f aca="false">MIN(AM116,Ordem!$F$15)</f>
        <v>0</v>
      </c>
      <c r="AO116" s="43" t="n">
        <f aca="false">MAX(0,MIN(AM116-AN116,$B116-(E116+I116+M116+Q116+U116+Y116+AC116+AG116+AK116)))</f>
        <v>0</v>
      </c>
      <c r="AP116" s="43" t="n">
        <f aca="false">MAX(0,AM116-AN116-AO116)</f>
        <v>0</v>
      </c>
      <c r="AQ116" s="43" t="n">
        <f aca="false">F116+J116+N116+R116+V116+Z116+AD116+AH116+AL116+AP116</f>
        <v>0</v>
      </c>
      <c r="AR116" s="43" t="n">
        <f aca="false">D116+E116+H116+I116+L116+M116+P116+Q116+T116+U116+X116+Y116+AB116+AC116+AF116+AG116+AJ116+AK116+AN116+AO116</f>
        <v>0</v>
      </c>
    </row>
    <row r="117" customFormat="false" ht="15" hidden="false" customHeight="false" outlineLevel="0" collapsed="false">
      <c r="A117" s="0" t="n">
        <v>113</v>
      </c>
      <c r="B117" s="43" t="n">
        <f aca="false">MAX(0,Dívidas!$C$20-(D117+H117+L117+P117+T117+X117+AB117+AF117+AJ117+AN117))</f>
        <v>1450</v>
      </c>
      <c r="C117" s="43" t="n">
        <f aca="false">IF(F116&gt;0.005,F116*(1+Ordem!$E$6),0)</f>
        <v>0</v>
      </c>
      <c r="D117" s="43" t="n">
        <f aca="false">MIN(C117,Ordem!$F$6)</f>
        <v>0</v>
      </c>
      <c r="E117" s="43" t="n">
        <f aca="false">MAX(0,MIN(C117-D117,$B117-(0)))</f>
        <v>0</v>
      </c>
      <c r="F117" s="43" t="n">
        <f aca="false">MAX(0,C117-D117-E117)</f>
        <v>0</v>
      </c>
      <c r="G117" s="43" t="n">
        <f aca="false">IF(J116&gt;0.005,J116*(1+Ordem!$E$7),0)</f>
        <v>0</v>
      </c>
      <c r="H117" s="43" t="n">
        <f aca="false">MIN(G117,Ordem!$F$7)</f>
        <v>0</v>
      </c>
      <c r="I117" s="43" t="n">
        <f aca="false">MAX(0,MIN(G117-H117,$B117-(E117)))</f>
        <v>0</v>
      </c>
      <c r="J117" s="43" t="n">
        <f aca="false">MAX(0,G117-H117-I117)</f>
        <v>0</v>
      </c>
      <c r="K117" s="43" t="n">
        <f aca="false">IF(N116&gt;0.005,N116*(1+Ordem!$E$8),0)</f>
        <v>0</v>
      </c>
      <c r="L117" s="43" t="n">
        <f aca="false">MIN(K117,Ordem!$F$8)</f>
        <v>0</v>
      </c>
      <c r="M117" s="43" t="n">
        <f aca="false">MAX(0,MIN(K117-L117,$B117-(E117+I117)))</f>
        <v>0</v>
      </c>
      <c r="N117" s="43" t="n">
        <f aca="false">MAX(0,K117-L117-M117)</f>
        <v>0</v>
      </c>
      <c r="O117" s="43" t="n">
        <f aca="false">IF(R116&gt;0.005,R116*(1+Ordem!$E$9),0)</f>
        <v>0</v>
      </c>
      <c r="P117" s="43" t="n">
        <f aca="false">MIN(O117,Ordem!$F$9)</f>
        <v>0</v>
      </c>
      <c r="Q117" s="43" t="n">
        <f aca="false">MAX(0,MIN(O117-P117,$B117-(E117+I117+M117)))</f>
        <v>0</v>
      </c>
      <c r="R117" s="43" t="n">
        <f aca="false">MAX(0,O117-P117-Q117)</f>
        <v>0</v>
      </c>
      <c r="S117" s="43" t="n">
        <f aca="false">IF(V116&gt;0.005,V116*(1+Ordem!$E$10),0)</f>
        <v>0</v>
      </c>
      <c r="T117" s="43" t="n">
        <f aca="false">MIN(S117,Ordem!$F$10)</f>
        <v>0</v>
      </c>
      <c r="U117" s="43" t="n">
        <f aca="false">MAX(0,MIN(S117-T117,$B117-(E117+I117+M117+Q117)))</f>
        <v>0</v>
      </c>
      <c r="V117" s="43" t="n">
        <f aca="false">MAX(0,S117-T117-U117)</f>
        <v>0</v>
      </c>
      <c r="W117" s="43" t="n">
        <f aca="false">IF(Z116&gt;0.005,Z116*(1+Ordem!$E$11),0)</f>
        <v>0</v>
      </c>
      <c r="X117" s="43" t="n">
        <f aca="false">MIN(W117,Ordem!$F$11)</f>
        <v>0</v>
      </c>
      <c r="Y117" s="43" t="n">
        <f aca="false">MAX(0,MIN(W117-X117,$B117-(E117+I117+M117+Q117+U117)))</f>
        <v>0</v>
      </c>
      <c r="Z117" s="43" t="n">
        <f aca="false">MAX(0,W117-X117-Y117)</f>
        <v>0</v>
      </c>
      <c r="AA117" s="43" t="n">
        <f aca="false">IF(AD116&gt;0.005,AD116*(1+Ordem!$E$12),0)</f>
        <v>0</v>
      </c>
      <c r="AB117" s="43" t="n">
        <f aca="false">MIN(AA117,Ordem!$F$12)</f>
        <v>0</v>
      </c>
      <c r="AC117" s="43" t="n">
        <f aca="false">MAX(0,MIN(AA117-AB117,$B117-(E117+I117+M117+Q117+U117+Y117)))</f>
        <v>0</v>
      </c>
      <c r="AD117" s="43" t="n">
        <f aca="false">MAX(0,AA117-AB117-AC117)</f>
        <v>0</v>
      </c>
      <c r="AE117" s="43" t="n">
        <f aca="false">IF(AH116&gt;0.005,AH116*(1+Ordem!$E$13),0)</f>
        <v>0</v>
      </c>
      <c r="AF117" s="43" t="n">
        <f aca="false">MIN(AE117,Ordem!$F$13)</f>
        <v>0</v>
      </c>
      <c r="AG117" s="43" t="n">
        <f aca="false">MAX(0,MIN(AE117-AF117,$B117-(E117+I117+M117+Q117+U117+Y117+AC117)))</f>
        <v>0</v>
      </c>
      <c r="AH117" s="43" t="n">
        <f aca="false">MAX(0,AE117-AF117-AG117)</f>
        <v>0</v>
      </c>
      <c r="AI117" s="43" t="n">
        <f aca="false">IF(AL116&gt;0.005,AL116*(1+Ordem!$E$14),0)</f>
        <v>0</v>
      </c>
      <c r="AJ117" s="43" t="n">
        <f aca="false">MIN(AI117,Ordem!$F$14)</f>
        <v>0</v>
      </c>
      <c r="AK117" s="43" t="n">
        <f aca="false">MAX(0,MIN(AI117-AJ117,$B117-(E117+I117+M117+Q117+U117+Y117+AC117+AG117)))</f>
        <v>0</v>
      </c>
      <c r="AL117" s="43" t="n">
        <f aca="false">MAX(0,AI117-AJ117-AK117)</f>
        <v>0</v>
      </c>
      <c r="AM117" s="43" t="n">
        <f aca="false">IF(AP116&gt;0.005,AP116*(1+Ordem!$E$15),0)</f>
        <v>0</v>
      </c>
      <c r="AN117" s="43" t="n">
        <f aca="false">MIN(AM117,Ordem!$F$15)</f>
        <v>0</v>
      </c>
      <c r="AO117" s="43" t="n">
        <f aca="false">MAX(0,MIN(AM117-AN117,$B117-(E117+I117+M117+Q117+U117+Y117+AC117+AG117+AK117)))</f>
        <v>0</v>
      </c>
      <c r="AP117" s="43" t="n">
        <f aca="false">MAX(0,AM117-AN117-AO117)</f>
        <v>0</v>
      </c>
      <c r="AQ117" s="43" t="n">
        <f aca="false">F117+J117+N117+R117+V117+Z117+AD117+AH117+AL117+AP117</f>
        <v>0</v>
      </c>
      <c r="AR117" s="43" t="n">
        <f aca="false">D117+E117+H117+I117+L117+M117+P117+Q117+T117+U117+X117+Y117+AB117+AC117+AF117+AG117+AJ117+AK117+AN117+AO117</f>
        <v>0</v>
      </c>
    </row>
    <row r="118" customFormat="false" ht="15" hidden="false" customHeight="false" outlineLevel="0" collapsed="false">
      <c r="A118" s="0" t="n">
        <v>114</v>
      </c>
      <c r="B118" s="43" t="n">
        <f aca="false">MAX(0,Dívidas!$C$20-(D118+H118+L118+P118+T118+X118+AB118+AF118+AJ118+AN118))</f>
        <v>1450</v>
      </c>
      <c r="C118" s="43" t="n">
        <f aca="false">IF(F117&gt;0.005,F117*(1+Ordem!$E$6),0)</f>
        <v>0</v>
      </c>
      <c r="D118" s="43" t="n">
        <f aca="false">MIN(C118,Ordem!$F$6)</f>
        <v>0</v>
      </c>
      <c r="E118" s="43" t="n">
        <f aca="false">MAX(0,MIN(C118-D118,$B118-(0)))</f>
        <v>0</v>
      </c>
      <c r="F118" s="43" t="n">
        <f aca="false">MAX(0,C118-D118-E118)</f>
        <v>0</v>
      </c>
      <c r="G118" s="43" t="n">
        <f aca="false">IF(J117&gt;0.005,J117*(1+Ordem!$E$7),0)</f>
        <v>0</v>
      </c>
      <c r="H118" s="43" t="n">
        <f aca="false">MIN(G118,Ordem!$F$7)</f>
        <v>0</v>
      </c>
      <c r="I118" s="43" t="n">
        <f aca="false">MAX(0,MIN(G118-H118,$B118-(E118)))</f>
        <v>0</v>
      </c>
      <c r="J118" s="43" t="n">
        <f aca="false">MAX(0,G118-H118-I118)</f>
        <v>0</v>
      </c>
      <c r="K118" s="43" t="n">
        <f aca="false">IF(N117&gt;0.005,N117*(1+Ordem!$E$8),0)</f>
        <v>0</v>
      </c>
      <c r="L118" s="43" t="n">
        <f aca="false">MIN(K118,Ordem!$F$8)</f>
        <v>0</v>
      </c>
      <c r="M118" s="43" t="n">
        <f aca="false">MAX(0,MIN(K118-L118,$B118-(E118+I118)))</f>
        <v>0</v>
      </c>
      <c r="N118" s="43" t="n">
        <f aca="false">MAX(0,K118-L118-M118)</f>
        <v>0</v>
      </c>
      <c r="O118" s="43" t="n">
        <f aca="false">IF(R117&gt;0.005,R117*(1+Ordem!$E$9),0)</f>
        <v>0</v>
      </c>
      <c r="P118" s="43" t="n">
        <f aca="false">MIN(O118,Ordem!$F$9)</f>
        <v>0</v>
      </c>
      <c r="Q118" s="43" t="n">
        <f aca="false">MAX(0,MIN(O118-P118,$B118-(E118+I118+M118)))</f>
        <v>0</v>
      </c>
      <c r="R118" s="43" t="n">
        <f aca="false">MAX(0,O118-P118-Q118)</f>
        <v>0</v>
      </c>
      <c r="S118" s="43" t="n">
        <f aca="false">IF(V117&gt;0.005,V117*(1+Ordem!$E$10),0)</f>
        <v>0</v>
      </c>
      <c r="T118" s="43" t="n">
        <f aca="false">MIN(S118,Ordem!$F$10)</f>
        <v>0</v>
      </c>
      <c r="U118" s="43" t="n">
        <f aca="false">MAX(0,MIN(S118-T118,$B118-(E118+I118+M118+Q118)))</f>
        <v>0</v>
      </c>
      <c r="V118" s="43" t="n">
        <f aca="false">MAX(0,S118-T118-U118)</f>
        <v>0</v>
      </c>
      <c r="W118" s="43" t="n">
        <f aca="false">IF(Z117&gt;0.005,Z117*(1+Ordem!$E$11),0)</f>
        <v>0</v>
      </c>
      <c r="X118" s="43" t="n">
        <f aca="false">MIN(W118,Ordem!$F$11)</f>
        <v>0</v>
      </c>
      <c r="Y118" s="43" t="n">
        <f aca="false">MAX(0,MIN(W118-X118,$B118-(E118+I118+M118+Q118+U118)))</f>
        <v>0</v>
      </c>
      <c r="Z118" s="43" t="n">
        <f aca="false">MAX(0,W118-X118-Y118)</f>
        <v>0</v>
      </c>
      <c r="AA118" s="43" t="n">
        <f aca="false">IF(AD117&gt;0.005,AD117*(1+Ordem!$E$12),0)</f>
        <v>0</v>
      </c>
      <c r="AB118" s="43" t="n">
        <f aca="false">MIN(AA118,Ordem!$F$12)</f>
        <v>0</v>
      </c>
      <c r="AC118" s="43" t="n">
        <f aca="false">MAX(0,MIN(AA118-AB118,$B118-(E118+I118+M118+Q118+U118+Y118)))</f>
        <v>0</v>
      </c>
      <c r="AD118" s="43" t="n">
        <f aca="false">MAX(0,AA118-AB118-AC118)</f>
        <v>0</v>
      </c>
      <c r="AE118" s="43" t="n">
        <f aca="false">IF(AH117&gt;0.005,AH117*(1+Ordem!$E$13),0)</f>
        <v>0</v>
      </c>
      <c r="AF118" s="43" t="n">
        <f aca="false">MIN(AE118,Ordem!$F$13)</f>
        <v>0</v>
      </c>
      <c r="AG118" s="43" t="n">
        <f aca="false">MAX(0,MIN(AE118-AF118,$B118-(E118+I118+M118+Q118+U118+Y118+AC118)))</f>
        <v>0</v>
      </c>
      <c r="AH118" s="43" t="n">
        <f aca="false">MAX(0,AE118-AF118-AG118)</f>
        <v>0</v>
      </c>
      <c r="AI118" s="43" t="n">
        <f aca="false">IF(AL117&gt;0.005,AL117*(1+Ordem!$E$14),0)</f>
        <v>0</v>
      </c>
      <c r="AJ118" s="43" t="n">
        <f aca="false">MIN(AI118,Ordem!$F$14)</f>
        <v>0</v>
      </c>
      <c r="AK118" s="43" t="n">
        <f aca="false">MAX(0,MIN(AI118-AJ118,$B118-(E118+I118+M118+Q118+U118+Y118+AC118+AG118)))</f>
        <v>0</v>
      </c>
      <c r="AL118" s="43" t="n">
        <f aca="false">MAX(0,AI118-AJ118-AK118)</f>
        <v>0</v>
      </c>
      <c r="AM118" s="43" t="n">
        <f aca="false">IF(AP117&gt;0.005,AP117*(1+Ordem!$E$15),0)</f>
        <v>0</v>
      </c>
      <c r="AN118" s="43" t="n">
        <f aca="false">MIN(AM118,Ordem!$F$15)</f>
        <v>0</v>
      </c>
      <c r="AO118" s="43" t="n">
        <f aca="false">MAX(0,MIN(AM118-AN118,$B118-(E118+I118+M118+Q118+U118+Y118+AC118+AG118+AK118)))</f>
        <v>0</v>
      </c>
      <c r="AP118" s="43" t="n">
        <f aca="false">MAX(0,AM118-AN118-AO118)</f>
        <v>0</v>
      </c>
      <c r="AQ118" s="43" t="n">
        <f aca="false">F118+J118+N118+R118+V118+Z118+AD118+AH118+AL118+AP118</f>
        <v>0</v>
      </c>
      <c r="AR118" s="43" t="n">
        <f aca="false">D118+E118+H118+I118+L118+M118+P118+Q118+T118+U118+X118+Y118+AB118+AC118+AF118+AG118+AJ118+AK118+AN118+AO118</f>
        <v>0</v>
      </c>
    </row>
    <row r="119" customFormat="false" ht="15" hidden="false" customHeight="false" outlineLevel="0" collapsed="false">
      <c r="A119" s="0" t="n">
        <v>115</v>
      </c>
      <c r="B119" s="43" t="n">
        <f aca="false">MAX(0,Dívidas!$C$20-(D119+H119+L119+P119+T119+X119+AB119+AF119+AJ119+AN119))</f>
        <v>1450</v>
      </c>
      <c r="C119" s="43" t="n">
        <f aca="false">IF(F118&gt;0.005,F118*(1+Ordem!$E$6),0)</f>
        <v>0</v>
      </c>
      <c r="D119" s="43" t="n">
        <f aca="false">MIN(C119,Ordem!$F$6)</f>
        <v>0</v>
      </c>
      <c r="E119" s="43" t="n">
        <f aca="false">MAX(0,MIN(C119-D119,$B119-(0)))</f>
        <v>0</v>
      </c>
      <c r="F119" s="43" t="n">
        <f aca="false">MAX(0,C119-D119-E119)</f>
        <v>0</v>
      </c>
      <c r="G119" s="43" t="n">
        <f aca="false">IF(J118&gt;0.005,J118*(1+Ordem!$E$7),0)</f>
        <v>0</v>
      </c>
      <c r="H119" s="43" t="n">
        <f aca="false">MIN(G119,Ordem!$F$7)</f>
        <v>0</v>
      </c>
      <c r="I119" s="43" t="n">
        <f aca="false">MAX(0,MIN(G119-H119,$B119-(E119)))</f>
        <v>0</v>
      </c>
      <c r="J119" s="43" t="n">
        <f aca="false">MAX(0,G119-H119-I119)</f>
        <v>0</v>
      </c>
      <c r="K119" s="43" t="n">
        <f aca="false">IF(N118&gt;0.005,N118*(1+Ordem!$E$8),0)</f>
        <v>0</v>
      </c>
      <c r="L119" s="43" t="n">
        <f aca="false">MIN(K119,Ordem!$F$8)</f>
        <v>0</v>
      </c>
      <c r="M119" s="43" t="n">
        <f aca="false">MAX(0,MIN(K119-L119,$B119-(E119+I119)))</f>
        <v>0</v>
      </c>
      <c r="N119" s="43" t="n">
        <f aca="false">MAX(0,K119-L119-M119)</f>
        <v>0</v>
      </c>
      <c r="O119" s="43" t="n">
        <f aca="false">IF(R118&gt;0.005,R118*(1+Ordem!$E$9),0)</f>
        <v>0</v>
      </c>
      <c r="P119" s="43" t="n">
        <f aca="false">MIN(O119,Ordem!$F$9)</f>
        <v>0</v>
      </c>
      <c r="Q119" s="43" t="n">
        <f aca="false">MAX(0,MIN(O119-P119,$B119-(E119+I119+M119)))</f>
        <v>0</v>
      </c>
      <c r="R119" s="43" t="n">
        <f aca="false">MAX(0,O119-P119-Q119)</f>
        <v>0</v>
      </c>
      <c r="S119" s="43" t="n">
        <f aca="false">IF(V118&gt;0.005,V118*(1+Ordem!$E$10),0)</f>
        <v>0</v>
      </c>
      <c r="T119" s="43" t="n">
        <f aca="false">MIN(S119,Ordem!$F$10)</f>
        <v>0</v>
      </c>
      <c r="U119" s="43" t="n">
        <f aca="false">MAX(0,MIN(S119-T119,$B119-(E119+I119+M119+Q119)))</f>
        <v>0</v>
      </c>
      <c r="V119" s="43" t="n">
        <f aca="false">MAX(0,S119-T119-U119)</f>
        <v>0</v>
      </c>
      <c r="W119" s="43" t="n">
        <f aca="false">IF(Z118&gt;0.005,Z118*(1+Ordem!$E$11),0)</f>
        <v>0</v>
      </c>
      <c r="X119" s="43" t="n">
        <f aca="false">MIN(W119,Ordem!$F$11)</f>
        <v>0</v>
      </c>
      <c r="Y119" s="43" t="n">
        <f aca="false">MAX(0,MIN(W119-X119,$B119-(E119+I119+M119+Q119+U119)))</f>
        <v>0</v>
      </c>
      <c r="Z119" s="43" t="n">
        <f aca="false">MAX(0,W119-X119-Y119)</f>
        <v>0</v>
      </c>
      <c r="AA119" s="43" t="n">
        <f aca="false">IF(AD118&gt;0.005,AD118*(1+Ordem!$E$12),0)</f>
        <v>0</v>
      </c>
      <c r="AB119" s="43" t="n">
        <f aca="false">MIN(AA119,Ordem!$F$12)</f>
        <v>0</v>
      </c>
      <c r="AC119" s="43" t="n">
        <f aca="false">MAX(0,MIN(AA119-AB119,$B119-(E119+I119+M119+Q119+U119+Y119)))</f>
        <v>0</v>
      </c>
      <c r="AD119" s="43" t="n">
        <f aca="false">MAX(0,AA119-AB119-AC119)</f>
        <v>0</v>
      </c>
      <c r="AE119" s="43" t="n">
        <f aca="false">IF(AH118&gt;0.005,AH118*(1+Ordem!$E$13),0)</f>
        <v>0</v>
      </c>
      <c r="AF119" s="43" t="n">
        <f aca="false">MIN(AE119,Ordem!$F$13)</f>
        <v>0</v>
      </c>
      <c r="AG119" s="43" t="n">
        <f aca="false">MAX(0,MIN(AE119-AF119,$B119-(E119+I119+M119+Q119+U119+Y119+AC119)))</f>
        <v>0</v>
      </c>
      <c r="AH119" s="43" t="n">
        <f aca="false">MAX(0,AE119-AF119-AG119)</f>
        <v>0</v>
      </c>
      <c r="AI119" s="43" t="n">
        <f aca="false">IF(AL118&gt;0.005,AL118*(1+Ordem!$E$14),0)</f>
        <v>0</v>
      </c>
      <c r="AJ119" s="43" t="n">
        <f aca="false">MIN(AI119,Ordem!$F$14)</f>
        <v>0</v>
      </c>
      <c r="AK119" s="43" t="n">
        <f aca="false">MAX(0,MIN(AI119-AJ119,$B119-(E119+I119+M119+Q119+U119+Y119+AC119+AG119)))</f>
        <v>0</v>
      </c>
      <c r="AL119" s="43" t="n">
        <f aca="false">MAX(0,AI119-AJ119-AK119)</f>
        <v>0</v>
      </c>
      <c r="AM119" s="43" t="n">
        <f aca="false">IF(AP118&gt;0.005,AP118*(1+Ordem!$E$15),0)</f>
        <v>0</v>
      </c>
      <c r="AN119" s="43" t="n">
        <f aca="false">MIN(AM119,Ordem!$F$15)</f>
        <v>0</v>
      </c>
      <c r="AO119" s="43" t="n">
        <f aca="false">MAX(0,MIN(AM119-AN119,$B119-(E119+I119+M119+Q119+U119+Y119+AC119+AG119+AK119)))</f>
        <v>0</v>
      </c>
      <c r="AP119" s="43" t="n">
        <f aca="false">MAX(0,AM119-AN119-AO119)</f>
        <v>0</v>
      </c>
      <c r="AQ119" s="43" t="n">
        <f aca="false">F119+J119+N119+R119+V119+Z119+AD119+AH119+AL119+AP119</f>
        <v>0</v>
      </c>
      <c r="AR119" s="43" t="n">
        <f aca="false">D119+E119+H119+I119+L119+M119+P119+Q119+T119+U119+X119+Y119+AB119+AC119+AF119+AG119+AJ119+AK119+AN119+AO119</f>
        <v>0</v>
      </c>
    </row>
    <row r="120" customFormat="false" ht="15" hidden="false" customHeight="false" outlineLevel="0" collapsed="false">
      <c r="A120" s="0" t="n">
        <v>116</v>
      </c>
      <c r="B120" s="43" t="n">
        <f aca="false">MAX(0,Dívidas!$C$20-(D120+H120+L120+P120+T120+X120+AB120+AF120+AJ120+AN120))</f>
        <v>1450</v>
      </c>
      <c r="C120" s="43" t="n">
        <f aca="false">IF(F119&gt;0.005,F119*(1+Ordem!$E$6),0)</f>
        <v>0</v>
      </c>
      <c r="D120" s="43" t="n">
        <f aca="false">MIN(C120,Ordem!$F$6)</f>
        <v>0</v>
      </c>
      <c r="E120" s="43" t="n">
        <f aca="false">MAX(0,MIN(C120-D120,$B120-(0)))</f>
        <v>0</v>
      </c>
      <c r="F120" s="43" t="n">
        <f aca="false">MAX(0,C120-D120-E120)</f>
        <v>0</v>
      </c>
      <c r="G120" s="43" t="n">
        <f aca="false">IF(J119&gt;0.005,J119*(1+Ordem!$E$7),0)</f>
        <v>0</v>
      </c>
      <c r="H120" s="43" t="n">
        <f aca="false">MIN(G120,Ordem!$F$7)</f>
        <v>0</v>
      </c>
      <c r="I120" s="43" t="n">
        <f aca="false">MAX(0,MIN(G120-H120,$B120-(E120)))</f>
        <v>0</v>
      </c>
      <c r="J120" s="43" t="n">
        <f aca="false">MAX(0,G120-H120-I120)</f>
        <v>0</v>
      </c>
      <c r="K120" s="43" t="n">
        <f aca="false">IF(N119&gt;0.005,N119*(1+Ordem!$E$8),0)</f>
        <v>0</v>
      </c>
      <c r="L120" s="43" t="n">
        <f aca="false">MIN(K120,Ordem!$F$8)</f>
        <v>0</v>
      </c>
      <c r="M120" s="43" t="n">
        <f aca="false">MAX(0,MIN(K120-L120,$B120-(E120+I120)))</f>
        <v>0</v>
      </c>
      <c r="N120" s="43" t="n">
        <f aca="false">MAX(0,K120-L120-M120)</f>
        <v>0</v>
      </c>
      <c r="O120" s="43" t="n">
        <f aca="false">IF(R119&gt;0.005,R119*(1+Ordem!$E$9),0)</f>
        <v>0</v>
      </c>
      <c r="P120" s="43" t="n">
        <f aca="false">MIN(O120,Ordem!$F$9)</f>
        <v>0</v>
      </c>
      <c r="Q120" s="43" t="n">
        <f aca="false">MAX(0,MIN(O120-P120,$B120-(E120+I120+M120)))</f>
        <v>0</v>
      </c>
      <c r="R120" s="43" t="n">
        <f aca="false">MAX(0,O120-P120-Q120)</f>
        <v>0</v>
      </c>
      <c r="S120" s="43" t="n">
        <f aca="false">IF(V119&gt;0.005,V119*(1+Ordem!$E$10),0)</f>
        <v>0</v>
      </c>
      <c r="T120" s="43" t="n">
        <f aca="false">MIN(S120,Ordem!$F$10)</f>
        <v>0</v>
      </c>
      <c r="U120" s="43" t="n">
        <f aca="false">MAX(0,MIN(S120-T120,$B120-(E120+I120+M120+Q120)))</f>
        <v>0</v>
      </c>
      <c r="V120" s="43" t="n">
        <f aca="false">MAX(0,S120-T120-U120)</f>
        <v>0</v>
      </c>
      <c r="W120" s="43" t="n">
        <f aca="false">IF(Z119&gt;0.005,Z119*(1+Ordem!$E$11),0)</f>
        <v>0</v>
      </c>
      <c r="X120" s="43" t="n">
        <f aca="false">MIN(W120,Ordem!$F$11)</f>
        <v>0</v>
      </c>
      <c r="Y120" s="43" t="n">
        <f aca="false">MAX(0,MIN(W120-X120,$B120-(E120+I120+M120+Q120+U120)))</f>
        <v>0</v>
      </c>
      <c r="Z120" s="43" t="n">
        <f aca="false">MAX(0,W120-X120-Y120)</f>
        <v>0</v>
      </c>
      <c r="AA120" s="43" t="n">
        <f aca="false">IF(AD119&gt;0.005,AD119*(1+Ordem!$E$12),0)</f>
        <v>0</v>
      </c>
      <c r="AB120" s="43" t="n">
        <f aca="false">MIN(AA120,Ordem!$F$12)</f>
        <v>0</v>
      </c>
      <c r="AC120" s="43" t="n">
        <f aca="false">MAX(0,MIN(AA120-AB120,$B120-(E120+I120+M120+Q120+U120+Y120)))</f>
        <v>0</v>
      </c>
      <c r="AD120" s="43" t="n">
        <f aca="false">MAX(0,AA120-AB120-AC120)</f>
        <v>0</v>
      </c>
      <c r="AE120" s="43" t="n">
        <f aca="false">IF(AH119&gt;0.005,AH119*(1+Ordem!$E$13),0)</f>
        <v>0</v>
      </c>
      <c r="AF120" s="43" t="n">
        <f aca="false">MIN(AE120,Ordem!$F$13)</f>
        <v>0</v>
      </c>
      <c r="AG120" s="43" t="n">
        <f aca="false">MAX(0,MIN(AE120-AF120,$B120-(E120+I120+M120+Q120+U120+Y120+AC120)))</f>
        <v>0</v>
      </c>
      <c r="AH120" s="43" t="n">
        <f aca="false">MAX(0,AE120-AF120-AG120)</f>
        <v>0</v>
      </c>
      <c r="AI120" s="43" t="n">
        <f aca="false">IF(AL119&gt;0.005,AL119*(1+Ordem!$E$14),0)</f>
        <v>0</v>
      </c>
      <c r="AJ120" s="43" t="n">
        <f aca="false">MIN(AI120,Ordem!$F$14)</f>
        <v>0</v>
      </c>
      <c r="AK120" s="43" t="n">
        <f aca="false">MAX(0,MIN(AI120-AJ120,$B120-(E120+I120+M120+Q120+U120+Y120+AC120+AG120)))</f>
        <v>0</v>
      </c>
      <c r="AL120" s="43" t="n">
        <f aca="false">MAX(0,AI120-AJ120-AK120)</f>
        <v>0</v>
      </c>
      <c r="AM120" s="43" t="n">
        <f aca="false">IF(AP119&gt;0.005,AP119*(1+Ordem!$E$15),0)</f>
        <v>0</v>
      </c>
      <c r="AN120" s="43" t="n">
        <f aca="false">MIN(AM120,Ordem!$F$15)</f>
        <v>0</v>
      </c>
      <c r="AO120" s="43" t="n">
        <f aca="false">MAX(0,MIN(AM120-AN120,$B120-(E120+I120+M120+Q120+U120+Y120+AC120+AG120+AK120)))</f>
        <v>0</v>
      </c>
      <c r="AP120" s="43" t="n">
        <f aca="false">MAX(0,AM120-AN120-AO120)</f>
        <v>0</v>
      </c>
      <c r="AQ120" s="43" t="n">
        <f aca="false">F120+J120+N120+R120+V120+Z120+AD120+AH120+AL120+AP120</f>
        <v>0</v>
      </c>
      <c r="AR120" s="43" t="n">
        <f aca="false">D120+E120+H120+I120+L120+M120+P120+Q120+T120+U120+X120+Y120+AB120+AC120+AF120+AG120+AJ120+AK120+AN120+AO120</f>
        <v>0</v>
      </c>
    </row>
    <row r="121" customFormat="false" ht="15" hidden="false" customHeight="false" outlineLevel="0" collapsed="false">
      <c r="A121" s="0" t="n">
        <v>117</v>
      </c>
      <c r="B121" s="43" t="n">
        <f aca="false">MAX(0,Dívidas!$C$20-(D121+H121+L121+P121+T121+X121+AB121+AF121+AJ121+AN121))</f>
        <v>1450</v>
      </c>
      <c r="C121" s="43" t="n">
        <f aca="false">IF(F120&gt;0.005,F120*(1+Ordem!$E$6),0)</f>
        <v>0</v>
      </c>
      <c r="D121" s="43" t="n">
        <f aca="false">MIN(C121,Ordem!$F$6)</f>
        <v>0</v>
      </c>
      <c r="E121" s="43" t="n">
        <f aca="false">MAX(0,MIN(C121-D121,$B121-(0)))</f>
        <v>0</v>
      </c>
      <c r="F121" s="43" t="n">
        <f aca="false">MAX(0,C121-D121-E121)</f>
        <v>0</v>
      </c>
      <c r="G121" s="43" t="n">
        <f aca="false">IF(J120&gt;0.005,J120*(1+Ordem!$E$7),0)</f>
        <v>0</v>
      </c>
      <c r="H121" s="43" t="n">
        <f aca="false">MIN(G121,Ordem!$F$7)</f>
        <v>0</v>
      </c>
      <c r="I121" s="43" t="n">
        <f aca="false">MAX(0,MIN(G121-H121,$B121-(E121)))</f>
        <v>0</v>
      </c>
      <c r="J121" s="43" t="n">
        <f aca="false">MAX(0,G121-H121-I121)</f>
        <v>0</v>
      </c>
      <c r="K121" s="43" t="n">
        <f aca="false">IF(N120&gt;0.005,N120*(1+Ordem!$E$8),0)</f>
        <v>0</v>
      </c>
      <c r="L121" s="43" t="n">
        <f aca="false">MIN(K121,Ordem!$F$8)</f>
        <v>0</v>
      </c>
      <c r="M121" s="43" t="n">
        <f aca="false">MAX(0,MIN(K121-L121,$B121-(E121+I121)))</f>
        <v>0</v>
      </c>
      <c r="N121" s="43" t="n">
        <f aca="false">MAX(0,K121-L121-M121)</f>
        <v>0</v>
      </c>
      <c r="O121" s="43" t="n">
        <f aca="false">IF(R120&gt;0.005,R120*(1+Ordem!$E$9),0)</f>
        <v>0</v>
      </c>
      <c r="P121" s="43" t="n">
        <f aca="false">MIN(O121,Ordem!$F$9)</f>
        <v>0</v>
      </c>
      <c r="Q121" s="43" t="n">
        <f aca="false">MAX(0,MIN(O121-P121,$B121-(E121+I121+M121)))</f>
        <v>0</v>
      </c>
      <c r="R121" s="43" t="n">
        <f aca="false">MAX(0,O121-P121-Q121)</f>
        <v>0</v>
      </c>
      <c r="S121" s="43" t="n">
        <f aca="false">IF(V120&gt;0.005,V120*(1+Ordem!$E$10),0)</f>
        <v>0</v>
      </c>
      <c r="T121" s="43" t="n">
        <f aca="false">MIN(S121,Ordem!$F$10)</f>
        <v>0</v>
      </c>
      <c r="U121" s="43" t="n">
        <f aca="false">MAX(0,MIN(S121-T121,$B121-(E121+I121+M121+Q121)))</f>
        <v>0</v>
      </c>
      <c r="V121" s="43" t="n">
        <f aca="false">MAX(0,S121-T121-U121)</f>
        <v>0</v>
      </c>
      <c r="W121" s="43" t="n">
        <f aca="false">IF(Z120&gt;0.005,Z120*(1+Ordem!$E$11),0)</f>
        <v>0</v>
      </c>
      <c r="X121" s="43" t="n">
        <f aca="false">MIN(W121,Ordem!$F$11)</f>
        <v>0</v>
      </c>
      <c r="Y121" s="43" t="n">
        <f aca="false">MAX(0,MIN(W121-X121,$B121-(E121+I121+M121+Q121+U121)))</f>
        <v>0</v>
      </c>
      <c r="Z121" s="43" t="n">
        <f aca="false">MAX(0,W121-X121-Y121)</f>
        <v>0</v>
      </c>
      <c r="AA121" s="43" t="n">
        <f aca="false">IF(AD120&gt;0.005,AD120*(1+Ordem!$E$12),0)</f>
        <v>0</v>
      </c>
      <c r="AB121" s="43" t="n">
        <f aca="false">MIN(AA121,Ordem!$F$12)</f>
        <v>0</v>
      </c>
      <c r="AC121" s="43" t="n">
        <f aca="false">MAX(0,MIN(AA121-AB121,$B121-(E121+I121+M121+Q121+U121+Y121)))</f>
        <v>0</v>
      </c>
      <c r="AD121" s="43" t="n">
        <f aca="false">MAX(0,AA121-AB121-AC121)</f>
        <v>0</v>
      </c>
      <c r="AE121" s="43" t="n">
        <f aca="false">IF(AH120&gt;0.005,AH120*(1+Ordem!$E$13),0)</f>
        <v>0</v>
      </c>
      <c r="AF121" s="43" t="n">
        <f aca="false">MIN(AE121,Ordem!$F$13)</f>
        <v>0</v>
      </c>
      <c r="AG121" s="43" t="n">
        <f aca="false">MAX(0,MIN(AE121-AF121,$B121-(E121+I121+M121+Q121+U121+Y121+AC121)))</f>
        <v>0</v>
      </c>
      <c r="AH121" s="43" t="n">
        <f aca="false">MAX(0,AE121-AF121-AG121)</f>
        <v>0</v>
      </c>
      <c r="AI121" s="43" t="n">
        <f aca="false">IF(AL120&gt;0.005,AL120*(1+Ordem!$E$14),0)</f>
        <v>0</v>
      </c>
      <c r="AJ121" s="43" t="n">
        <f aca="false">MIN(AI121,Ordem!$F$14)</f>
        <v>0</v>
      </c>
      <c r="AK121" s="43" t="n">
        <f aca="false">MAX(0,MIN(AI121-AJ121,$B121-(E121+I121+M121+Q121+U121+Y121+AC121+AG121)))</f>
        <v>0</v>
      </c>
      <c r="AL121" s="43" t="n">
        <f aca="false">MAX(0,AI121-AJ121-AK121)</f>
        <v>0</v>
      </c>
      <c r="AM121" s="43" t="n">
        <f aca="false">IF(AP120&gt;0.005,AP120*(1+Ordem!$E$15),0)</f>
        <v>0</v>
      </c>
      <c r="AN121" s="43" t="n">
        <f aca="false">MIN(AM121,Ordem!$F$15)</f>
        <v>0</v>
      </c>
      <c r="AO121" s="43" t="n">
        <f aca="false">MAX(0,MIN(AM121-AN121,$B121-(E121+I121+M121+Q121+U121+Y121+AC121+AG121+AK121)))</f>
        <v>0</v>
      </c>
      <c r="AP121" s="43" t="n">
        <f aca="false">MAX(0,AM121-AN121-AO121)</f>
        <v>0</v>
      </c>
      <c r="AQ121" s="43" t="n">
        <f aca="false">F121+J121+N121+R121+V121+Z121+AD121+AH121+AL121+AP121</f>
        <v>0</v>
      </c>
      <c r="AR121" s="43" t="n">
        <f aca="false">D121+E121+H121+I121+L121+M121+P121+Q121+T121+U121+X121+Y121+AB121+AC121+AF121+AG121+AJ121+AK121+AN121+AO121</f>
        <v>0</v>
      </c>
    </row>
    <row r="122" customFormat="false" ht="15" hidden="false" customHeight="false" outlineLevel="0" collapsed="false">
      <c r="A122" s="0" t="n">
        <v>118</v>
      </c>
      <c r="B122" s="43" t="n">
        <f aca="false">MAX(0,Dívidas!$C$20-(D122+H122+L122+P122+T122+X122+AB122+AF122+AJ122+AN122))</f>
        <v>1450</v>
      </c>
      <c r="C122" s="43" t="n">
        <f aca="false">IF(F121&gt;0.005,F121*(1+Ordem!$E$6),0)</f>
        <v>0</v>
      </c>
      <c r="D122" s="43" t="n">
        <f aca="false">MIN(C122,Ordem!$F$6)</f>
        <v>0</v>
      </c>
      <c r="E122" s="43" t="n">
        <f aca="false">MAX(0,MIN(C122-D122,$B122-(0)))</f>
        <v>0</v>
      </c>
      <c r="F122" s="43" t="n">
        <f aca="false">MAX(0,C122-D122-E122)</f>
        <v>0</v>
      </c>
      <c r="G122" s="43" t="n">
        <f aca="false">IF(J121&gt;0.005,J121*(1+Ordem!$E$7),0)</f>
        <v>0</v>
      </c>
      <c r="H122" s="43" t="n">
        <f aca="false">MIN(G122,Ordem!$F$7)</f>
        <v>0</v>
      </c>
      <c r="I122" s="43" t="n">
        <f aca="false">MAX(0,MIN(G122-H122,$B122-(E122)))</f>
        <v>0</v>
      </c>
      <c r="J122" s="43" t="n">
        <f aca="false">MAX(0,G122-H122-I122)</f>
        <v>0</v>
      </c>
      <c r="K122" s="43" t="n">
        <f aca="false">IF(N121&gt;0.005,N121*(1+Ordem!$E$8),0)</f>
        <v>0</v>
      </c>
      <c r="L122" s="43" t="n">
        <f aca="false">MIN(K122,Ordem!$F$8)</f>
        <v>0</v>
      </c>
      <c r="M122" s="43" t="n">
        <f aca="false">MAX(0,MIN(K122-L122,$B122-(E122+I122)))</f>
        <v>0</v>
      </c>
      <c r="N122" s="43" t="n">
        <f aca="false">MAX(0,K122-L122-M122)</f>
        <v>0</v>
      </c>
      <c r="O122" s="43" t="n">
        <f aca="false">IF(R121&gt;0.005,R121*(1+Ordem!$E$9),0)</f>
        <v>0</v>
      </c>
      <c r="P122" s="43" t="n">
        <f aca="false">MIN(O122,Ordem!$F$9)</f>
        <v>0</v>
      </c>
      <c r="Q122" s="43" t="n">
        <f aca="false">MAX(0,MIN(O122-P122,$B122-(E122+I122+M122)))</f>
        <v>0</v>
      </c>
      <c r="R122" s="43" t="n">
        <f aca="false">MAX(0,O122-P122-Q122)</f>
        <v>0</v>
      </c>
      <c r="S122" s="43" t="n">
        <f aca="false">IF(V121&gt;0.005,V121*(1+Ordem!$E$10),0)</f>
        <v>0</v>
      </c>
      <c r="T122" s="43" t="n">
        <f aca="false">MIN(S122,Ordem!$F$10)</f>
        <v>0</v>
      </c>
      <c r="U122" s="43" t="n">
        <f aca="false">MAX(0,MIN(S122-T122,$B122-(E122+I122+M122+Q122)))</f>
        <v>0</v>
      </c>
      <c r="V122" s="43" t="n">
        <f aca="false">MAX(0,S122-T122-U122)</f>
        <v>0</v>
      </c>
      <c r="W122" s="43" t="n">
        <f aca="false">IF(Z121&gt;0.005,Z121*(1+Ordem!$E$11),0)</f>
        <v>0</v>
      </c>
      <c r="X122" s="43" t="n">
        <f aca="false">MIN(W122,Ordem!$F$11)</f>
        <v>0</v>
      </c>
      <c r="Y122" s="43" t="n">
        <f aca="false">MAX(0,MIN(W122-X122,$B122-(E122+I122+M122+Q122+U122)))</f>
        <v>0</v>
      </c>
      <c r="Z122" s="43" t="n">
        <f aca="false">MAX(0,W122-X122-Y122)</f>
        <v>0</v>
      </c>
      <c r="AA122" s="43" t="n">
        <f aca="false">IF(AD121&gt;0.005,AD121*(1+Ordem!$E$12),0)</f>
        <v>0</v>
      </c>
      <c r="AB122" s="43" t="n">
        <f aca="false">MIN(AA122,Ordem!$F$12)</f>
        <v>0</v>
      </c>
      <c r="AC122" s="43" t="n">
        <f aca="false">MAX(0,MIN(AA122-AB122,$B122-(E122+I122+M122+Q122+U122+Y122)))</f>
        <v>0</v>
      </c>
      <c r="AD122" s="43" t="n">
        <f aca="false">MAX(0,AA122-AB122-AC122)</f>
        <v>0</v>
      </c>
      <c r="AE122" s="43" t="n">
        <f aca="false">IF(AH121&gt;0.005,AH121*(1+Ordem!$E$13),0)</f>
        <v>0</v>
      </c>
      <c r="AF122" s="43" t="n">
        <f aca="false">MIN(AE122,Ordem!$F$13)</f>
        <v>0</v>
      </c>
      <c r="AG122" s="43" t="n">
        <f aca="false">MAX(0,MIN(AE122-AF122,$B122-(E122+I122+M122+Q122+U122+Y122+AC122)))</f>
        <v>0</v>
      </c>
      <c r="AH122" s="43" t="n">
        <f aca="false">MAX(0,AE122-AF122-AG122)</f>
        <v>0</v>
      </c>
      <c r="AI122" s="43" t="n">
        <f aca="false">IF(AL121&gt;0.005,AL121*(1+Ordem!$E$14),0)</f>
        <v>0</v>
      </c>
      <c r="AJ122" s="43" t="n">
        <f aca="false">MIN(AI122,Ordem!$F$14)</f>
        <v>0</v>
      </c>
      <c r="AK122" s="43" t="n">
        <f aca="false">MAX(0,MIN(AI122-AJ122,$B122-(E122+I122+M122+Q122+U122+Y122+AC122+AG122)))</f>
        <v>0</v>
      </c>
      <c r="AL122" s="43" t="n">
        <f aca="false">MAX(0,AI122-AJ122-AK122)</f>
        <v>0</v>
      </c>
      <c r="AM122" s="43" t="n">
        <f aca="false">IF(AP121&gt;0.005,AP121*(1+Ordem!$E$15),0)</f>
        <v>0</v>
      </c>
      <c r="AN122" s="43" t="n">
        <f aca="false">MIN(AM122,Ordem!$F$15)</f>
        <v>0</v>
      </c>
      <c r="AO122" s="43" t="n">
        <f aca="false">MAX(0,MIN(AM122-AN122,$B122-(E122+I122+M122+Q122+U122+Y122+AC122+AG122+AK122)))</f>
        <v>0</v>
      </c>
      <c r="AP122" s="43" t="n">
        <f aca="false">MAX(0,AM122-AN122-AO122)</f>
        <v>0</v>
      </c>
      <c r="AQ122" s="43" t="n">
        <f aca="false">F122+J122+N122+R122+V122+Z122+AD122+AH122+AL122+AP122</f>
        <v>0</v>
      </c>
      <c r="AR122" s="43" t="n">
        <f aca="false">D122+E122+H122+I122+L122+M122+P122+Q122+T122+U122+X122+Y122+AB122+AC122+AF122+AG122+AJ122+AK122+AN122+AO122</f>
        <v>0</v>
      </c>
    </row>
    <row r="123" customFormat="false" ht="15" hidden="false" customHeight="false" outlineLevel="0" collapsed="false">
      <c r="A123" s="0" t="n">
        <v>119</v>
      </c>
      <c r="B123" s="43" t="n">
        <f aca="false">MAX(0,Dívidas!$C$20-(D123+H123+L123+P123+T123+X123+AB123+AF123+AJ123+AN123))</f>
        <v>1450</v>
      </c>
      <c r="C123" s="43" t="n">
        <f aca="false">IF(F122&gt;0.005,F122*(1+Ordem!$E$6),0)</f>
        <v>0</v>
      </c>
      <c r="D123" s="43" t="n">
        <f aca="false">MIN(C123,Ordem!$F$6)</f>
        <v>0</v>
      </c>
      <c r="E123" s="43" t="n">
        <f aca="false">MAX(0,MIN(C123-D123,$B123-(0)))</f>
        <v>0</v>
      </c>
      <c r="F123" s="43" t="n">
        <f aca="false">MAX(0,C123-D123-E123)</f>
        <v>0</v>
      </c>
      <c r="G123" s="43" t="n">
        <f aca="false">IF(J122&gt;0.005,J122*(1+Ordem!$E$7),0)</f>
        <v>0</v>
      </c>
      <c r="H123" s="43" t="n">
        <f aca="false">MIN(G123,Ordem!$F$7)</f>
        <v>0</v>
      </c>
      <c r="I123" s="43" t="n">
        <f aca="false">MAX(0,MIN(G123-H123,$B123-(E123)))</f>
        <v>0</v>
      </c>
      <c r="J123" s="43" t="n">
        <f aca="false">MAX(0,G123-H123-I123)</f>
        <v>0</v>
      </c>
      <c r="K123" s="43" t="n">
        <f aca="false">IF(N122&gt;0.005,N122*(1+Ordem!$E$8),0)</f>
        <v>0</v>
      </c>
      <c r="L123" s="43" t="n">
        <f aca="false">MIN(K123,Ordem!$F$8)</f>
        <v>0</v>
      </c>
      <c r="M123" s="43" t="n">
        <f aca="false">MAX(0,MIN(K123-L123,$B123-(E123+I123)))</f>
        <v>0</v>
      </c>
      <c r="N123" s="43" t="n">
        <f aca="false">MAX(0,K123-L123-M123)</f>
        <v>0</v>
      </c>
      <c r="O123" s="43" t="n">
        <f aca="false">IF(R122&gt;0.005,R122*(1+Ordem!$E$9),0)</f>
        <v>0</v>
      </c>
      <c r="P123" s="43" t="n">
        <f aca="false">MIN(O123,Ordem!$F$9)</f>
        <v>0</v>
      </c>
      <c r="Q123" s="43" t="n">
        <f aca="false">MAX(0,MIN(O123-P123,$B123-(E123+I123+M123)))</f>
        <v>0</v>
      </c>
      <c r="R123" s="43" t="n">
        <f aca="false">MAX(0,O123-P123-Q123)</f>
        <v>0</v>
      </c>
      <c r="S123" s="43" t="n">
        <f aca="false">IF(V122&gt;0.005,V122*(1+Ordem!$E$10),0)</f>
        <v>0</v>
      </c>
      <c r="T123" s="43" t="n">
        <f aca="false">MIN(S123,Ordem!$F$10)</f>
        <v>0</v>
      </c>
      <c r="U123" s="43" t="n">
        <f aca="false">MAX(0,MIN(S123-T123,$B123-(E123+I123+M123+Q123)))</f>
        <v>0</v>
      </c>
      <c r="V123" s="43" t="n">
        <f aca="false">MAX(0,S123-T123-U123)</f>
        <v>0</v>
      </c>
      <c r="W123" s="43" t="n">
        <f aca="false">IF(Z122&gt;0.005,Z122*(1+Ordem!$E$11),0)</f>
        <v>0</v>
      </c>
      <c r="X123" s="43" t="n">
        <f aca="false">MIN(W123,Ordem!$F$11)</f>
        <v>0</v>
      </c>
      <c r="Y123" s="43" t="n">
        <f aca="false">MAX(0,MIN(W123-X123,$B123-(E123+I123+M123+Q123+U123)))</f>
        <v>0</v>
      </c>
      <c r="Z123" s="43" t="n">
        <f aca="false">MAX(0,W123-X123-Y123)</f>
        <v>0</v>
      </c>
      <c r="AA123" s="43" t="n">
        <f aca="false">IF(AD122&gt;0.005,AD122*(1+Ordem!$E$12),0)</f>
        <v>0</v>
      </c>
      <c r="AB123" s="43" t="n">
        <f aca="false">MIN(AA123,Ordem!$F$12)</f>
        <v>0</v>
      </c>
      <c r="AC123" s="43" t="n">
        <f aca="false">MAX(0,MIN(AA123-AB123,$B123-(E123+I123+M123+Q123+U123+Y123)))</f>
        <v>0</v>
      </c>
      <c r="AD123" s="43" t="n">
        <f aca="false">MAX(0,AA123-AB123-AC123)</f>
        <v>0</v>
      </c>
      <c r="AE123" s="43" t="n">
        <f aca="false">IF(AH122&gt;0.005,AH122*(1+Ordem!$E$13),0)</f>
        <v>0</v>
      </c>
      <c r="AF123" s="43" t="n">
        <f aca="false">MIN(AE123,Ordem!$F$13)</f>
        <v>0</v>
      </c>
      <c r="AG123" s="43" t="n">
        <f aca="false">MAX(0,MIN(AE123-AF123,$B123-(E123+I123+M123+Q123+U123+Y123+AC123)))</f>
        <v>0</v>
      </c>
      <c r="AH123" s="43" t="n">
        <f aca="false">MAX(0,AE123-AF123-AG123)</f>
        <v>0</v>
      </c>
      <c r="AI123" s="43" t="n">
        <f aca="false">IF(AL122&gt;0.005,AL122*(1+Ordem!$E$14),0)</f>
        <v>0</v>
      </c>
      <c r="AJ123" s="43" t="n">
        <f aca="false">MIN(AI123,Ordem!$F$14)</f>
        <v>0</v>
      </c>
      <c r="AK123" s="43" t="n">
        <f aca="false">MAX(0,MIN(AI123-AJ123,$B123-(E123+I123+M123+Q123+U123+Y123+AC123+AG123)))</f>
        <v>0</v>
      </c>
      <c r="AL123" s="43" t="n">
        <f aca="false">MAX(0,AI123-AJ123-AK123)</f>
        <v>0</v>
      </c>
      <c r="AM123" s="43" t="n">
        <f aca="false">IF(AP122&gt;0.005,AP122*(1+Ordem!$E$15),0)</f>
        <v>0</v>
      </c>
      <c r="AN123" s="43" t="n">
        <f aca="false">MIN(AM123,Ordem!$F$15)</f>
        <v>0</v>
      </c>
      <c r="AO123" s="43" t="n">
        <f aca="false">MAX(0,MIN(AM123-AN123,$B123-(E123+I123+M123+Q123+U123+Y123+AC123+AG123+AK123)))</f>
        <v>0</v>
      </c>
      <c r="AP123" s="43" t="n">
        <f aca="false">MAX(0,AM123-AN123-AO123)</f>
        <v>0</v>
      </c>
      <c r="AQ123" s="43" t="n">
        <f aca="false">F123+J123+N123+R123+V123+Z123+AD123+AH123+AL123+AP123</f>
        <v>0</v>
      </c>
      <c r="AR123" s="43" t="n">
        <f aca="false">D123+E123+H123+I123+L123+M123+P123+Q123+T123+U123+X123+Y123+AB123+AC123+AF123+AG123+AJ123+AK123+AN123+AO123</f>
        <v>0</v>
      </c>
    </row>
    <row r="124" customFormat="false" ht="15" hidden="false" customHeight="false" outlineLevel="0" collapsed="false">
      <c r="A124" s="0" t="n">
        <v>120</v>
      </c>
      <c r="B124" s="43" t="n">
        <f aca="false">MAX(0,Dívidas!$C$20-(D124+H124+L124+P124+T124+X124+AB124+AF124+AJ124+AN124))</f>
        <v>1450</v>
      </c>
      <c r="C124" s="43" t="n">
        <f aca="false">IF(F123&gt;0.005,F123*(1+Ordem!$E$6),0)</f>
        <v>0</v>
      </c>
      <c r="D124" s="43" t="n">
        <f aca="false">MIN(C124,Ordem!$F$6)</f>
        <v>0</v>
      </c>
      <c r="E124" s="43" t="n">
        <f aca="false">MAX(0,MIN(C124-D124,$B124-(0)))</f>
        <v>0</v>
      </c>
      <c r="F124" s="43" t="n">
        <f aca="false">MAX(0,C124-D124-E124)</f>
        <v>0</v>
      </c>
      <c r="G124" s="43" t="n">
        <f aca="false">IF(J123&gt;0.005,J123*(1+Ordem!$E$7),0)</f>
        <v>0</v>
      </c>
      <c r="H124" s="43" t="n">
        <f aca="false">MIN(G124,Ordem!$F$7)</f>
        <v>0</v>
      </c>
      <c r="I124" s="43" t="n">
        <f aca="false">MAX(0,MIN(G124-H124,$B124-(E124)))</f>
        <v>0</v>
      </c>
      <c r="J124" s="43" t="n">
        <f aca="false">MAX(0,G124-H124-I124)</f>
        <v>0</v>
      </c>
      <c r="K124" s="43" t="n">
        <f aca="false">IF(N123&gt;0.005,N123*(1+Ordem!$E$8),0)</f>
        <v>0</v>
      </c>
      <c r="L124" s="43" t="n">
        <f aca="false">MIN(K124,Ordem!$F$8)</f>
        <v>0</v>
      </c>
      <c r="M124" s="43" t="n">
        <f aca="false">MAX(0,MIN(K124-L124,$B124-(E124+I124)))</f>
        <v>0</v>
      </c>
      <c r="N124" s="43" t="n">
        <f aca="false">MAX(0,K124-L124-M124)</f>
        <v>0</v>
      </c>
      <c r="O124" s="43" t="n">
        <f aca="false">IF(R123&gt;0.005,R123*(1+Ordem!$E$9),0)</f>
        <v>0</v>
      </c>
      <c r="P124" s="43" t="n">
        <f aca="false">MIN(O124,Ordem!$F$9)</f>
        <v>0</v>
      </c>
      <c r="Q124" s="43" t="n">
        <f aca="false">MAX(0,MIN(O124-P124,$B124-(E124+I124+M124)))</f>
        <v>0</v>
      </c>
      <c r="R124" s="43" t="n">
        <f aca="false">MAX(0,O124-P124-Q124)</f>
        <v>0</v>
      </c>
      <c r="S124" s="43" t="n">
        <f aca="false">IF(V123&gt;0.005,V123*(1+Ordem!$E$10),0)</f>
        <v>0</v>
      </c>
      <c r="T124" s="43" t="n">
        <f aca="false">MIN(S124,Ordem!$F$10)</f>
        <v>0</v>
      </c>
      <c r="U124" s="43" t="n">
        <f aca="false">MAX(0,MIN(S124-T124,$B124-(E124+I124+M124+Q124)))</f>
        <v>0</v>
      </c>
      <c r="V124" s="43" t="n">
        <f aca="false">MAX(0,S124-T124-U124)</f>
        <v>0</v>
      </c>
      <c r="W124" s="43" t="n">
        <f aca="false">IF(Z123&gt;0.005,Z123*(1+Ordem!$E$11),0)</f>
        <v>0</v>
      </c>
      <c r="X124" s="43" t="n">
        <f aca="false">MIN(W124,Ordem!$F$11)</f>
        <v>0</v>
      </c>
      <c r="Y124" s="43" t="n">
        <f aca="false">MAX(0,MIN(W124-X124,$B124-(E124+I124+M124+Q124+U124)))</f>
        <v>0</v>
      </c>
      <c r="Z124" s="43" t="n">
        <f aca="false">MAX(0,W124-X124-Y124)</f>
        <v>0</v>
      </c>
      <c r="AA124" s="43" t="n">
        <f aca="false">IF(AD123&gt;0.005,AD123*(1+Ordem!$E$12),0)</f>
        <v>0</v>
      </c>
      <c r="AB124" s="43" t="n">
        <f aca="false">MIN(AA124,Ordem!$F$12)</f>
        <v>0</v>
      </c>
      <c r="AC124" s="43" t="n">
        <f aca="false">MAX(0,MIN(AA124-AB124,$B124-(E124+I124+M124+Q124+U124+Y124)))</f>
        <v>0</v>
      </c>
      <c r="AD124" s="43" t="n">
        <f aca="false">MAX(0,AA124-AB124-AC124)</f>
        <v>0</v>
      </c>
      <c r="AE124" s="43" t="n">
        <f aca="false">IF(AH123&gt;0.005,AH123*(1+Ordem!$E$13),0)</f>
        <v>0</v>
      </c>
      <c r="AF124" s="43" t="n">
        <f aca="false">MIN(AE124,Ordem!$F$13)</f>
        <v>0</v>
      </c>
      <c r="AG124" s="43" t="n">
        <f aca="false">MAX(0,MIN(AE124-AF124,$B124-(E124+I124+M124+Q124+U124+Y124+AC124)))</f>
        <v>0</v>
      </c>
      <c r="AH124" s="43" t="n">
        <f aca="false">MAX(0,AE124-AF124-AG124)</f>
        <v>0</v>
      </c>
      <c r="AI124" s="43" t="n">
        <f aca="false">IF(AL123&gt;0.005,AL123*(1+Ordem!$E$14),0)</f>
        <v>0</v>
      </c>
      <c r="AJ124" s="43" t="n">
        <f aca="false">MIN(AI124,Ordem!$F$14)</f>
        <v>0</v>
      </c>
      <c r="AK124" s="43" t="n">
        <f aca="false">MAX(0,MIN(AI124-AJ124,$B124-(E124+I124+M124+Q124+U124+Y124+AC124+AG124)))</f>
        <v>0</v>
      </c>
      <c r="AL124" s="43" t="n">
        <f aca="false">MAX(0,AI124-AJ124-AK124)</f>
        <v>0</v>
      </c>
      <c r="AM124" s="43" t="n">
        <f aca="false">IF(AP123&gt;0.005,AP123*(1+Ordem!$E$15),0)</f>
        <v>0</v>
      </c>
      <c r="AN124" s="43" t="n">
        <f aca="false">MIN(AM124,Ordem!$F$15)</f>
        <v>0</v>
      </c>
      <c r="AO124" s="43" t="n">
        <f aca="false">MAX(0,MIN(AM124-AN124,$B124-(E124+I124+M124+Q124+U124+Y124+AC124+AG124+AK124)))</f>
        <v>0</v>
      </c>
      <c r="AP124" s="43" t="n">
        <f aca="false">MAX(0,AM124-AN124-AO124)</f>
        <v>0</v>
      </c>
      <c r="AQ124" s="43" t="n">
        <f aca="false">F124+J124+N124+R124+V124+Z124+AD124+AH124+AL124+AP124</f>
        <v>0</v>
      </c>
      <c r="AR124" s="43" t="n">
        <f aca="false">D124+E124+H124+I124+L124+M124+P124+Q124+T124+U124+X124+Y124+AB124+AC124+AF124+AG124+AJ124+AK124+AN124+AO124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A1:AR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0" t="s">
        <v>99</v>
      </c>
    </row>
    <row r="2" customFormat="false" ht="15" hidden="false" customHeight="false" outlineLevel="0" collapsed="false">
      <c r="A2" s="34" t="s">
        <v>54</v>
      </c>
    </row>
    <row r="4" customFormat="false" ht="15" hidden="false" customHeight="false" outlineLevel="0" collapsed="false">
      <c r="A4" s="41" t="s">
        <v>55</v>
      </c>
      <c r="B4" s="41" t="s">
        <v>56</v>
      </c>
      <c r="C4" s="42" t="s">
        <v>57</v>
      </c>
      <c r="D4" s="42" t="s">
        <v>58</v>
      </c>
      <c r="E4" s="42" t="s">
        <v>59</v>
      </c>
      <c r="F4" s="42" t="s">
        <v>60</v>
      </c>
      <c r="G4" s="42" t="s">
        <v>61</v>
      </c>
      <c r="H4" s="42" t="s">
        <v>62</v>
      </c>
      <c r="I4" s="42" t="s">
        <v>63</v>
      </c>
      <c r="J4" s="42" t="s">
        <v>64</v>
      </c>
      <c r="K4" s="42" t="s">
        <v>65</v>
      </c>
      <c r="L4" s="42" t="s">
        <v>66</v>
      </c>
      <c r="M4" s="42" t="s">
        <v>67</v>
      </c>
      <c r="N4" s="42" t="s">
        <v>68</v>
      </c>
      <c r="O4" s="42" t="s">
        <v>69</v>
      </c>
      <c r="P4" s="42" t="s">
        <v>70</v>
      </c>
      <c r="Q4" s="42" t="s">
        <v>71</v>
      </c>
      <c r="R4" s="42" t="s">
        <v>72</v>
      </c>
      <c r="S4" s="42" t="s">
        <v>73</v>
      </c>
      <c r="T4" s="42" t="s">
        <v>74</v>
      </c>
      <c r="U4" s="42" t="s">
        <v>75</v>
      </c>
      <c r="V4" s="42" t="s">
        <v>76</v>
      </c>
      <c r="W4" s="42" t="s">
        <v>77</v>
      </c>
      <c r="X4" s="42" t="s">
        <v>78</v>
      </c>
      <c r="Y4" s="42" t="s">
        <v>79</v>
      </c>
      <c r="Z4" s="42" t="s">
        <v>80</v>
      </c>
      <c r="AA4" s="42" t="s">
        <v>81</v>
      </c>
      <c r="AB4" s="42" t="s">
        <v>82</v>
      </c>
      <c r="AC4" s="42" t="s">
        <v>83</v>
      </c>
      <c r="AD4" s="42" t="s">
        <v>84</v>
      </c>
      <c r="AE4" s="42" t="s">
        <v>85</v>
      </c>
      <c r="AF4" s="42" t="s">
        <v>86</v>
      </c>
      <c r="AG4" s="42" t="s">
        <v>87</v>
      </c>
      <c r="AH4" s="42" t="s">
        <v>88</v>
      </c>
      <c r="AI4" s="42" t="s">
        <v>89</v>
      </c>
      <c r="AJ4" s="42" t="s">
        <v>90</v>
      </c>
      <c r="AK4" s="42" t="s">
        <v>91</v>
      </c>
      <c r="AL4" s="42" t="s">
        <v>92</v>
      </c>
      <c r="AM4" s="42" t="s">
        <v>93</v>
      </c>
      <c r="AN4" s="42" t="s">
        <v>94</v>
      </c>
      <c r="AO4" s="42" t="s">
        <v>95</v>
      </c>
      <c r="AP4" s="42" t="s">
        <v>96</v>
      </c>
      <c r="AQ4" s="41" t="s">
        <v>97</v>
      </c>
      <c r="AR4" s="41" t="s">
        <v>98</v>
      </c>
    </row>
    <row r="5" customFormat="false" ht="15" hidden="false" customHeight="false" outlineLevel="0" collapsed="false">
      <c r="A5" s="0" t="n">
        <v>1</v>
      </c>
      <c r="B5" s="43" t="n">
        <f aca="false">MAX(0,Dívidas!$C$20-(D5+H5+L5+P5+T5+X5+AB5+AF5+AJ5+AN5))</f>
        <v>400</v>
      </c>
      <c r="C5" s="43" t="n">
        <f aca="false">IF(Ordem!$J$6&gt;0.005,Ordem!$J$6*(1+Ordem!$K$6),0)</f>
        <v>900</v>
      </c>
      <c r="D5" s="43" t="n">
        <f aca="false">MIN(C5,Ordem!$L$6)</f>
        <v>150</v>
      </c>
      <c r="E5" s="43" t="n">
        <f aca="false">MAX(0,MIN(C5-D5,$B5-(0)))</f>
        <v>400</v>
      </c>
      <c r="F5" s="43" t="n">
        <f aca="false">MAX(0,C5-D5-E5)</f>
        <v>350</v>
      </c>
      <c r="G5" s="43" t="n">
        <f aca="false">IF(Ordem!$J$7&gt;0.005,Ordem!$J$7*(1+Ordem!$K$7),0)</f>
        <v>1296</v>
      </c>
      <c r="H5" s="43" t="n">
        <f aca="false">MIN(G5,Ordem!$L$7)</f>
        <v>150</v>
      </c>
      <c r="I5" s="43" t="n">
        <f aca="false">MAX(0,MIN(G5-H5,$B5-(E5)))</f>
        <v>0</v>
      </c>
      <c r="J5" s="43" t="n">
        <f aca="false">MAX(0,G5-H5-I5)</f>
        <v>1146</v>
      </c>
      <c r="K5" s="43" t="n">
        <f aca="false">IF(Ordem!$J$8&gt;0.005,Ordem!$J$8*(1+Ordem!$K$8),0)</f>
        <v>3360</v>
      </c>
      <c r="L5" s="43" t="n">
        <f aca="false">MIN(K5,Ordem!$L$8)</f>
        <v>300</v>
      </c>
      <c r="M5" s="43" t="n">
        <f aca="false">MAX(0,MIN(K5-L5,$B5-(E5+I5)))</f>
        <v>0</v>
      </c>
      <c r="N5" s="43" t="n">
        <f aca="false">MAX(0,K5-L5-M5)</f>
        <v>3060</v>
      </c>
      <c r="O5" s="43" t="n">
        <f aca="false">IF(Ordem!$J$9&gt;0.005,Ordem!$J$9*(1+Ordem!$K$9),0)</f>
        <v>8280</v>
      </c>
      <c r="P5" s="43" t="n">
        <f aca="false">MIN(O5,Ordem!$L$9)</f>
        <v>450</v>
      </c>
      <c r="Q5" s="43" t="n">
        <f aca="false">MAX(0,MIN(O5-P5,$B5-(E5+I5+M5)))</f>
        <v>0</v>
      </c>
      <c r="R5" s="43" t="n">
        <f aca="false">MAX(0,O5-P5-Q5)</f>
        <v>7830</v>
      </c>
      <c r="S5" s="43" t="n">
        <f aca="false">IF(Ordem!$J$10&gt;0.005,Ordem!$J$10*(1+Ordem!$K$10),0)</f>
        <v>0</v>
      </c>
      <c r="T5" s="43" t="n">
        <f aca="false">MIN(S5,Ordem!$L$10)</f>
        <v>0</v>
      </c>
      <c r="U5" s="43" t="n">
        <f aca="false">MAX(0,MIN(S5-T5,$B5-(E5+I5+M5+Q5)))</f>
        <v>0</v>
      </c>
      <c r="V5" s="43" t="n">
        <f aca="false">MAX(0,S5-T5-U5)</f>
        <v>0</v>
      </c>
      <c r="W5" s="43" t="n">
        <f aca="false">IF(Ordem!$J$11&gt;0.005,Ordem!$J$11*(1+Ordem!$K$11),0)</f>
        <v>0</v>
      </c>
      <c r="X5" s="43" t="n">
        <f aca="false">MIN(W5,Ordem!$L$11)</f>
        <v>0</v>
      </c>
      <c r="Y5" s="43" t="n">
        <f aca="false">MAX(0,MIN(W5-X5,$B5-(E5+I5+M5+Q5+U5)))</f>
        <v>0</v>
      </c>
      <c r="Z5" s="43" t="n">
        <f aca="false">MAX(0,W5-X5-Y5)</f>
        <v>0</v>
      </c>
      <c r="AA5" s="43" t="n">
        <f aca="false">IF(Ordem!$J$12&gt;0.005,Ordem!$J$12*(1+Ordem!$K$12),0)</f>
        <v>0</v>
      </c>
      <c r="AB5" s="43" t="n">
        <f aca="false">MIN(AA5,Ordem!$L$12)</f>
        <v>0</v>
      </c>
      <c r="AC5" s="43" t="n">
        <f aca="false">MAX(0,MIN(AA5-AB5,$B5-(E5+I5+M5+Q5+U5+Y5)))</f>
        <v>0</v>
      </c>
      <c r="AD5" s="43" t="n">
        <f aca="false">MAX(0,AA5-AB5-AC5)</f>
        <v>0</v>
      </c>
      <c r="AE5" s="43" t="n">
        <f aca="false">IF(Ordem!$J$13&gt;0.005,Ordem!$J$13*(1+Ordem!$K$13),0)</f>
        <v>0</v>
      </c>
      <c r="AF5" s="43" t="n">
        <f aca="false">MIN(AE5,Ordem!$L$13)</f>
        <v>0</v>
      </c>
      <c r="AG5" s="43" t="n">
        <f aca="false">MAX(0,MIN(AE5-AF5,$B5-(E5+I5+M5+Q5+U5+Y5+AC5)))</f>
        <v>0</v>
      </c>
      <c r="AH5" s="43" t="n">
        <f aca="false">MAX(0,AE5-AF5-AG5)</f>
        <v>0</v>
      </c>
      <c r="AI5" s="43" t="n">
        <f aca="false">IF(Ordem!$J$14&gt;0.005,Ordem!$J$14*(1+Ordem!$K$14),0)</f>
        <v>0</v>
      </c>
      <c r="AJ5" s="43" t="n">
        <f aca="false">MIN(AI5,Ordem!$L$14)</f>
        <v>0</v>
      </c>
      <c r="AK5" s="43" t="n">
        <f aca="false">MAX(0,MIN(AI5-AJ5,$B5-(E5+I5+M5+Q5+U5+Y5+AC5+AG5)))</f>
        <v>0</v>
      </c>
      <c r="AL5" s="43" t="n">
        <f aca="false">MAX(0,AI5-AJ5-AK5)</f>
        <v>0</v>
      </c>
      <c r="AM5" s="43" t="n">
        <f aca="false">IF(Ordem!$J$15&gt;0.005,Ordem!$J$15*(1+Ordem!$K$15),0)</f>
        <v>0</v>
      </c>
      <c r="AN5" s="43" t="n">
        <f aca="false">MIN(AM5,Ordem!$L$15)</f>
        <v>0</v>
      </c>
      <c r="AO5" s="43" t="n">
        <f aca="false">MAX(0,MIN(AM5-AN5,$B5-(E5+I5+M5+Q5+U5+Y5+AC5+AG5+AK5)))</f>
        <v>0</v>
      </c>
      <c r="AP5" s="43" t="n">
        <f aca="false">MAX(0,AM5-AN5-AO5)</f>
        <v>0</v>
      </c>
      <c r="AQ5" s="43" t="n">
        <f aca="false">F5+J5+N5+R5+V5+Z5+AD5+AH5+AL5+AP5</f>
        <v>12386</v>
      </c>
      <c r="AR5" s="43" t="n">
        <f aca="false">D5+E5+H5+I5+L5+M5+P5+Q5+T5+U5+X5+Y5+AB5+AC5+AF5+AG5+AJ5+AK5+AN5+AO5</f>
        <v>1450</v>
      </c>
    </row>
    <row r="6" customFormat="false" ht="15" hidden="false" customHeight="false" outlineLevel="0" collapsed="false">
      <c r="A6" s="0" t="n">
        <v>2</v>
      </c>
      <c r="B6" s="43" t="n">
        <f aca="false">MAX(0,Dívidas!$C$20-(D6+H6+L6+P6+T6+X6+AB6+AF6+AJ6+AN6))</f>
        <v>400</v>
      </c>
      <c r="C6" s="43" t="n">
        <f aca="false">IF(F5&gt;0.005,F5*(1+Ordem!$K$6),0)</f>
        <v>350</v>
      </c>
      <c r="D6" s="43" t="n">
        <f aca="false">MIN(C6,Ordem!$L$6)</f>
        <v>150</v>
      </c>
      <c r="E6" s="43" t="n">
        <f aca="false">MAX(0,MIN(C6-D6,$B6-(0)))</f>
        <v>200</v>
      </c>
      <c r="F6" s="43" t="n">
        <f aca="false">MAX(0,C6-D6-E6)</f>
        <v>0</v>
      </c>
      <c r="G6" s="43" t="n">
        <f aca="false">IF(J5&gt;0.005,J5*(1+Ordem!$K$7),0)</f>
        <v>1237.68</v>
      </c>
      <c r="H6" s="43" t="n">
        <f aca="false">MIN(G6,Ordem!$L$7)</f>
        <v>150</v>
      </c>
      <c r="I6" s="43" t="n">
        <f aca="false">MAX(0,MIN(G6-H6,$B6-(E6)))</f>
        <v>200</v>
      </c>
      <c r="J6" s="43" t="n">
        <f aca="false">MAX(0,G6-H6-I6)</f>
        <v>887.68</v>
      </c>
      <c r="K6" s="43" t="n">
        <f aca="false">IF(N5&gt;0.005,N5*(1+Ordem!$K$8),0)</f>
        <v>3427.2</v>
      </c>
      <c r="L6" s="43" t="n">
        <f aca="false">MIN(K6,Ordem!$L$8)</f>
        <v>300</v>
      </c>
      <c r="M6" s="43" t="n">
        <f aca="false">MAX(0,MIN(K6-L6,$B6-(E6+I6)))</f>
        <v>0</v>
      </c>
      <c r="N6" s="43" t="n">
        <f aca="false">MAX(0,K6-L6-M6)</f>
        <v>3127.2</v>
      </c>
      <c r="O6" s="43" t="n">
        <f aca="false">IF(R5&gt;0.005,R5*(1+Ordem!$K$9),0)</f>
        <v>8104.05</v>
      </c>
      <c r="P6" s="43" t="n">
        <f aca="false">MIN(O6,Ordem!$L$9)</f>
        <v>450</v>
      </c>
      <c r="Q6" s="43" t="n">
        <f aca="false">MAX(0,MIN(O6-P6,$B6-(E6+I6+M6)))</f>
        <v>0</v>
      </c>
      <c r="R6" s="43" t="n">
        <f aca="false">MAX(0,O6-P6-Q6)</f>
        <v>7654.05</v>
      </c>
      <c r="S6" s="43" t="n">
        <f aca="false">IF(V5&gt;0.005,V5*(1+Ordem!$K$10),0)</f>
        <v>0</v>
      </c>
      <c r="T6" s="43" t="n">
        <f aca="false">MIN(S6,Ordem!$L$10)</f>
        <v>0</v>
      </c>
      <c r="U6" s="43" t="n">
        <f aca="false">MAX(0,MIN(S6-T6,$B6-(E6+I6+M6+Q6)))</f>
        <v>0</v>
      </c>
      <c r="V6" s="43" t="n">
        <f aca="false">MAX(0,S6-T6-U6)</f>
        <v>0</v>
      </c>
      <c r="W6" s="43" t="n">
        <f aca="false">IF(Z5&gt;0.005,Z5*(1+Ordem!$K$11),0)</f>
        <v>0</v>
      </c>
      <c r="X6" s="43" t="n">
        <f aca="false">MIN(W6,Ordem!$L$11)</f>
        <v>0</v>
      </c>
      <c r="Y6" s="43" t="n">
        <f aca="false">MAX(0,MIN(W6-X6,$B6-(E6+I6+M6+Q6+U6)))</f>
        <v>0</v>
      </c>
      <c r="Z6" s="43" t="n">
        <f aca="false">MAX(0,W6-X6-Y6)</f>
        <v>0</v>
      </c>
      <c r="AA6" s="43" t="n">
        <f aca="false">IF(AD5&gt;0.005,AD5*(1+Ordem!$K$12),0)</f>
        <v>0</v>
      </c>
      <c r="AB6" s="43" t="n">
        <f aca="false">MIN(AA6,Ordem!$L$12)</f>
        <v>0</v>
      </c>
      <c r="AC6" s="43" t="n">
        <f aca="false">MAX(0,MIN(AA6-AB6,$B6-(E6+I6+M6+Q6+U6+Y6)))</f>
        <v>0</v>
      </c>
      <c r="AD6" s="43" t="n">
        <f aca="false">MAX(0,AA6-AB6-AC6)</f>
        <v>0</v>
      </c>
      <c r="AE6" s="43" t="n">
        <f aca="false">IF(AH5&gt;0.005,AH5*(1+Ordem!$K$13),0)</f>
        <v>0</v>
      </c>
      <c r="AF6" s="43" t="n">
        <f aca="false">MIN(AE6,Ordem!$L$13)</f>
        <v>0</v>
      </c>
      <c r="AG6" s="43" t="n">
        <f aca="false">MAX(0,MIN(AE6-AF6,$B6-(E6+I6+M6+Q6+U6+Y6+AC6)))</f>
        <v>0</v>
      </c>
      <c r="AH6" s="43" t="n">
        <f aca="false">MAX(0,AE6-AF6-AG6)</f>
        <v>0</v>
      </c>
      <c r="AI6" s="43" t="n">
        <f aca="false">IF(AL5&gt;0.005,AL5*(1+Ordem!$K$14),0)</f>
        <v>0</v>
      </c>
      <c r="AJ6" s="43" t="n">
        <f aca="false">MIN(AI6,Ordem!$L$14)</f>
        <v>0</v>
      </c>
      <c r="AK6" s="43" t="n">
        <f aca="false">MAX(0,MIN(AI6-AJ6,$B6-(E6+I6+M6+Q6+U6+Y6+AC6+AG6)))</f>
        <v>0</v>
      </c>
      <c r="AL6" s="43" t="n">
        <f aca="false">MAX(0,AI6-AJ6-AK6)</f>
        <v>0</v>
      </c>
      <c r="AM6" s="43" t="n">
        <f aca="false">IF(AP5&gt;0.005,AP5*(1+Ordem!$K$15),0)</f>
        <v>0</v>
      </c>
      <c r="AN6" s="43" t="n">
        <f aca="false">MIN(AM6,Ordem!$L$15)</f>
        <v>0</v>
      </c>
      <c r="AO6" s="43" t="n">
        <f aca="false">MAX(0,MIN(AM6-AN6,$B6-(E6+I6+M6+Q6+U6+Y6+AC6+AG6+AK6)))</f>
        <v>0</v>
      </c>
      <c r="AP6" s="43" t="n">
        <f aca="false">MAX(0,AM6-AN6-AO6)</f>
        <v>0</v>
      </c>
      <c r="AQ6" s="43" t="n">
        <f aca="false">F6+J6+N6+R6+V6+Z6+AD6+AH6+AL6+AP6</f>
        <v>11668.93</v>
      </c>
      <c r="AR6" s="43" t="n">
        <f aca="false">D6+E6+H6+I6+L6+M6+P6+Q6+T6+U6+X6+Y6+AB6+AC6+AF6+AG6+AJ6+AK6+AN6+AO6</f>
        <v>1450</v>
      </c>
    </row>
    <row r="7" customFormat="false" ht="15" hidden="false" customHeight="false" outlineLevel="0" collapsed="false">
      <c r="A7" s="0" t="n">
        <v>3</v>
      </c>
      <c r="B7" s="43" t="n">
        <f aca="false">MAX(0,Dívidas!$C$20-(D7+H7+L7+P7+T7+X7+AB7+AF7+AJ7+AN7))</f>
        <v>550</v>
      </c>
      <c r="C7" s="43" t="n">
        <f aca="false">IF(F6&gt;0.005,F6*(1+Ordem!$K$6),0)</f>
        <v>0</v>
      </c>
      <c r="D7" s="43" t="n">
        <f aca="false">MIN(C7,Ordem!$L$6)</f>
        <v>0</v>
      </c>
      <c r="E7" s="43" t="n">
        <f aca="false">MAX(0,MIN(C7-D7,$B7-(0)))</f>
        <v>0</v>
      </c>
      <c r="F7" s="43" t="n">
        <f aca="false">MAX(0,C7-D7-E7)</f>
        <v>0</v>
      </c>
      <c r="G7" s="43" t="n">
        <f aca="false">IF(J6&gt;0.005,J6*(1+Ordem!$K$7),0)</f>
        <v>958.6944</v>
      </c>
      <c r="H7" s="43" t="n">
        <f aca="false">MIN(G7,Ordem!$L$7)</f>
        <v>150</v>
      </c>
      <c r="I7" s="43" t="n">
        <f aca="false">MAX(0,MIN(G7-H7,$B7-(E7)))</f>
        <v>550</v>
      </c>
      <c r="J7" s="43" t="n">
        <f aca="false">MAX(0,G7-H7-I7)</f>
        <v>258.6944</v>
      </c>
      <c r="K7" s="43" t="n">
        <f aca="false">IF(N6&gt;0.005,N6*(1+Ordem!$K$8),0)</f>
        <v>3502.464</v>
      </c>
      <c r="L7" s="43" t="n">
        <f aca="false">MIN(K7,Ordem!$L$8)</f>
        <v>300</v>
      </c>
      <c r="M7" s="43" t="n">
        <f aca="false">MAX(0,MIN(K7-L7,$B7-(E7+I7)))</f>
        <v>0</v>
      </c>
      <c r="N7" s="43" t="n">
        <f aca="false">MAX(0,K7-L7-M7)</f>
        <v>3202.464</v>
      </c>
      <c r="O7" s="43" t="n">
        <f aca="false">IF(R6&gt;0.005,R6*(1+Ordem!$K$9),0)</f>
        <v>7921.94175</v>
      </c>
      <c r="P7" s="43" t="n">
        <f aca="false">MIN(O7,Ordem!$L$9)</f>
        <v>450</v>
      </c>
      <c r="Q7" s="43" t="n">
        <f aca="false">MAX(0,MIN(O7-P7,$B7-(E7+I7+M7)))</f>
        <v>0</v>
      </c>
      <c r="R7" s="43" t="n">
        <f aca="false">MAX(0,O7-P7-Q7)</f>
        <v>7471.94175</v>
      </c>
      <c r="S7" s="43" t="n">
        <f aca="false">IF(V6&gt;0.005,V6*(1+Ordem!$K$10),0)</f>
        <v>0</v>
      </c>
      <c r="T7" s="43" t="n">
        <f aca="false">MIN(S7,Ordem!$L$10)</f>
        <v>0</v>
      </c>
      <c r="U7" s="43" t="n">
        <f aca="false">MAX(0,MIN(S7-T7,$B7-(E7+I7+M7+Q7)))</f>
        <v>0</v>
      </c>
      <c r="V7" s="43" t="n">
        <f aca="false">MAX(0,S7-T7-U7)</f>
        <v>0</v>
      </c>
      <c r="W7" s="43" t="n">
        <f aca="false">IF(Z6&gt;0.005,Z6*(1+Ordem!$K$11),0)</f>
        <v>0</v>
      </c>
      <c r="X7" s="43" t="n">
        <f aca="false">MIN(W7,Ordem!$L$11)</f>
        <v>0</v>
      </c>
      <c r="Y7" s="43" t="n">
        <f aca="false">MAX(0,MIN(W7-X7,$B7-(E7+I7+M7+Q7+U7)))</f>
        <v>0</v>
      </c>
      <c r="Z7" s="43" t="n">
        <f aca="false">MAX(0,W7-X7-Y7)</f>
        <v>0</v>
      </c>
      <c r="AA7" s="43" t="n">
        <f aca="false">IF(AD6&gt;0.005,AD6*(1+Ordem!$K$12),0)</f>
        <v>0</v>
      </c>
      <c r="AB7" s="43" t="n">
        <f aca="false">MIN(AA7,Ordem!$L$12)</f>
        <v>0</v>
      </c>
      <c r="AC7" s="43" t="n">
        <f aca="false">MAX(0,MIN(AA7-AB7,$B7-(E7+I7+M7+Q7+U7+Y7)))</f>
        <v>0</v>
      </c>
      <c r="AD7" s="43" t="n">
        <f aca="false">MAX(0,AA7-AB7-AC7)</f>
        <v>0</v>
      </c>
      <c r="AE7" s="43" t="n">
        <f aca="false">IF(AH6&gt;0.005,AH6*(1+Ordem!$K$13),0)</f>
        <v>0</v>
      </c>
      <c r="AF7" s="43" t="n">
        <f aca="false">MIN(AE7,Ordem!$L$13)</f>
        <v>0</v>
      </c>
      <c r="AG7" s="43" t="n">
        <f aca="false">MAX(0,MIN(AE7-AF7,$B7-(E7+I7+M7+Q7+U7+Y7+AC7)))</f>
        <v>0</v>
      </c>
      <c r="AH7" s="43" t="n">
        <f aca="false">MAX(0,AE7-AF7-AG7)</f>
        <v>0</v>
      </c>
      <c r="AI7" s="43" t="n">
        <f aca="false">IF(AL6&gt;0.005,AL6*(1+Ordem!$K$14),0)</f>
        <v>0</v>
      </c>
      <c r="AJ7" s="43" t="n">
        <f aca="false">MIN(AI7,Ordem!$L$14)</f>
        <v>0</v>
      </c>
      <c r="AK7" s="43" t="n">
        <f aca="false">MAX(0,MIN(AI7-AJ7,$B7-(E7+I7+M7+Q7+U7+Y7+AC7+AG7)))</f>
        <v>0</v>
      </c>
      <c r="AL7" s="43" t="n">
        <f aca="false">MAX(0,AI7-AJ7-AK7)</f>
        <v>0</v>
      </c>
      <c r="AM7" s="43" t="n">
        <f aca="false">IF(AP6&gt;0.005,AP6*(1+Ordem!$K$15),0)</f>
        <v>0</v>
      </c>
      <c r="AN7" s="43" t="n">
        <f aca="false">MIN(AM7,Ordem!$L$15)</f>
        <v>0</v>
      </c>
      <c r="AO7" s="43" t="n">
        <f aca="false">MAX(0,MIN(AM7-AN7,$B7-(E7+I7+M7+Q7+U7+Y7+AC7+AG7+AK7)))</f>
        <v>0</v>
      </c>
      <c r="AP7" s="43" t="n">
        <f aca="false">MAX(0,AM7-AN7-AO7)</f>
        <v>0</v>
      </c>
      <c r="AQ7" s="43" t="n">
        <f aca="false">F7+J7+N7+R7+V7+Z7+AD7+AH7+AL7+AP7</f>
        <v>10933.10015</v>
      </c>
      <c r="AR7" s="43" t="n">
        <f aca="false">D7+E7+H7+I7+L7+M7+P7+Q7+T7+U7+X7+Y7+AB7+AC7+AF7+AG7+AJ7+AK7+AN7+AO7</f>
        <v>1450</v>
      </c>
    </row>
    <row r="8" customFormat="false" ht="15" hidden="false" customHeight="false" outlineLevel="0" collapsed="false">
      <c r="A8" s="0" t="n">
        <v>4</v>
      </c>
      <c r="B8" s="43" t="n">
        <f aca="false">MAX(0,Dívidas!$C$20-(D8+H8+L8+P8+T8+X8+AB8+AF8+AJ8+AN8))</f>
        <v>550</v>
      </c>
      <c r="C8" s="43" t="n">
        <f aca="false">IF(F7&gt;0.005,F7*(1+Ordem!$K$6),0)</f>
        <v>0</v>
      </c>
      <c r="D8" s="43" t="n">
        <f aca="false">MIN(C8,Ordem!$L$6)</f>
        <v>0</v>
      </c>
      <c r="E8" s="43" t="n">
        <f aca="false">MAX(0,MIN(C8-D8,$B8-(0)))</f>
        <v>0</v>
      </c>
      <c r="F8" s="43" t="n">
        <f aca="false">MAX(0,C8-D8-E8)</f>
        <v>0</v>
      </c>
      <c r="G8" s="43" t="n">
        <f aca="false">IF(J7&gt;0.005,J7*(1+Ordem!$K$7),0)</f>
        <v>279.389952</v>
      </c>
      <c r="H8" s="43" t="n">
        <f aca="false">MIN(G8,Ordem!$L$7)</f>
        <v>150</v>
      </c>
      <c r="I8" s="43" t="n">
        <f aca="false">MAX(0,MIN(G8-H8,$B8-(E8)))</f>
        <v>129.389952</v>
      </c>
      <c r="J8" s="43" t="n">
        <f aca="false">MAX(0,G8-H8-I8)</f>
        <v>0</v>
      </c>
      <c r="K8" s="43" t="n">
        <f aca="false">IF(N7&gt;0.005,N7*(1+Ordem!$K$8),0)</f>
        <v>3586.75968</v>
      </c>
      <c r="L8" s="43" t="n">
        <f aca="false">MIN(K8,Ordem!$L$8)</f>
        <v>300</v>
      </c>
      <c r="M8" s="43" t="n">
        <f aca="false">MAX(0,MIN(K8-L8,$B8-(E8+I8)))</f>
        <v>420.610048</v>
      </c>
      <c r="N8" s="43" t="n">
        <f aca="false">MAX(0,K8-L8-M8)</f>
        <v>2866.149632</v>
      </c>
      <c r="O8" s="43" t="n">
        <f aca="false">IF(R7&gt;0.005,R7*(1+Ordem!$K$9),0)</f>
        <v>7733.45971125</v>
      </c>
      <c r="P8" s="43" t="n">
        <f aca="false">MIN(O8,Ordem!$L$9)</f>
        <v>450</v>
      </c>
      <c r="Q8" s="43" t="n">
        <f aca="false">MAX(0,MIN(O8-P8,$B8-(E8+I8+M8)))</f>
        <v>0</v>
      </c>
      <c r="R8" s="43" t="n">
        <f aca="false">MAX(0,O8-P8-Q8)</f>
        <v>7283.45971125</v>
      </c>
      <c r="S8" s="43" t="n">
        <f aca="false">IF(V7&gt;0.005,V7*(1+Ordem!$K$10),0)</f>
        <v>0</v>
      </c>
      <c r="T8" s="43" t="n">
        <f aca="false">MIN(S8,Ordem!$L$10)</f>
        <v>0</v>
      </c>
      <c r="U8" s="43" t="n">
        <f aca="false">MAX(0,MIN(S8-T8,$B8-(E8+I8+M8+Q8)))</f>
        <v>0</v>
      </c>
      <c r="V8" s="43" t="n">
        <f aca="false">MAX(0,S8-T8-U8)</f>
        <v>0</v>
      </c>
      <c r="W8" s="43" t="n">
        <f aca="false">IF(Z7&gt;0.005,Z7*(1+Ordem!$K$11),0)</f>
        <v>0</v>
      </c>
      <c r="X8" s="43" t="n">
        <f aca="false">MIN(W8,Ordem!$L$11)</f>
        <v>0</v>
      </c>
      <c r="Y8" s="43" t="n">
        <f aca="false">MAX(0,MIN(W8-X8,$B8-(E8+I8+M8+Q8+U8)))</f>
        <v>0</v>
      </c>
      <c r="Z8" s="43" t="n">
        <f aca="false">MAX(0,W8-X8-Y8)</f>
        <v>0</v>
      </c>
      <c r="AA8" s="43" t="n">
        <f aca="false">IF(AD7&gt;0.005,AD7*(1+Ordem!$K$12),0)</f>
        <v>0</v>
      </c>
      <c r="AB8" s="43" t="n">
        <f aca="false">MIN(AA8,Ordem!$L$12)</f>
        <v>0</v>
      </c>
      <c r="AC8" s="43" t="n">
        <f aca="false">MAX(0,MIN(AA8-AB8,$B8-(E8+I8+M8+Q8+U8+Y8)))</f>
        <v>0</v>
      </c>
      <c r="AD8" s="43" t="n">
        <f aca="false">MAX(0,AA8-AB8-AC8)</f>
        <v>0</v>
      </c>
      <c r="AE8" s="43" t="n">
        <f aca="false">IF(AH7&gt;0.005,AH7*(1+Ordem!$K$13),0)</f>
        <v>0</v>
      </c>
      <c r="AF8" s="43" t="n">
        <f aca="false">MIN(AE8,Ordem!$L$13)</f>
        <v>0</v>
      </c>
      <c r="AG8" s="43" t="n">
        <f aca="false">MAX(0,MIN(AE8-AF8,$B8-(E8+I8+M8+Q8+U8+Y8+AC8)))</f>
        <v>0</v>
      </c>
      <c r="AH8" s="43" t="n">
        <f aca="false">MAX(0,AE8-AF8-AG8)</f>
        <v>0</v>
      </c>
      <c r="AI8" s="43" t="n">
        <f aca="false">IF(AL7&gt;0.005,AL7*(1+Ordem!$K$14),0)</f>
        <v>0</v>
      </c>
      <c r="AJ8" s="43" t="n">
        <f aca="false">MIN(AI8,Ordem!$L$14)</f>
        <v>0</v>
      </c>
      <c r="AK8" s="43" t="n">
        <f aca="false">MAX(0,MIN(AI8-AJ8,$B8-(E8+I8+M8+Q8+U8+Y8+AC8+AG8)))</f>
        <v>0</v>
      </c>
      <c r="AL8" s="43" t="n">
        <f aca="false">MAX(0,AI8-AJ8-AK8)</f>
        <v>0</v>
      </c>
      <c r="AM8" s="43" t="n">
        <f aca="false">IF(AP7&gt;0.005,AP7*(1+Ordem!$K$15),0)</f>
        <v>0</v>
      </c>
      <c r="AN8" s="43" t="n">
        <f aca="false">MIN(AM8,Ordem!$L$15)</f>
        <v>0</v>
      </c>
      <c r="AO8" s="43" t="n">
        <f aca="false">MAX(0,MIN(AM8-AN8,$B8-(E8+I8+M8+Q8+U8+Y8+AC8+AG8+AK8)))</f>
        <v>0</v>
      </c>
      <c r="AP8" s="43" t="n">
        <f aca="false">MAX(0,AM8-AN8-AO8)</f>
        <v>0</v>
      </c>
      <c r="AQ8" s="43" t="n">
        <f aca="false">F8+J8+N8+R8+V8+Z8+AD8+AH8+AL8+AP8</f>
        <v>10149.60934325</v>
      </c>
      <c r="AR8" s="43" t="n">
        <f aca="false">D8+E8+H8+I8+L8+M8+P8+Q8+T8+U8+X8+Y8+AB8+AC8+AF8+AG8+AJ8+AK8+AN8+AO8</f>
        <v>1450</v>
      </c>
    </row>
    <row r="9" customFormat="false" ht="15" hidden="false" customHeight="false" outlineLevel="0" collapsed="false">
      <c r="A9" s="0" t="n">
        <v>5</v>
      </c>
      <c r="B9" s="43" t="n">
        <f aca="false">MAX(0,Dívidas!$C$20-(D9+H9+L9+P9+T9+X9+AB9+AF9+AJ9+AN9))</f>
        <v>700</v>
      </c>
      <c r="C9" s="43" t="n">
        <f aca="false">IF(F8&gt;0.005,F8*(1+Ordem!$K$6),0)</f>
        <v>0</v>
      </c>
      <c r="D9" s="43" t="n">
        <f aca="false">MIN(C9,Ordem!$L$6)</f>
        <v>0</v>
      </c>
      <c r="E9" s="43" t="n">
        <f aca="false">MAX(0,MIN(C9-D9,$B9-(0)))</f>
        <v>0</v>
      </c>
      <c r="F9" s="43" t="n">
        <f aca="false">MAX(0,C9-D9-E9)</f>
        <v>0</v>
      </c>
      <c r="G9" s="43" t="n">
        <f aca="false">IF(J8&gt;0.005,J8*(1+Ordem!$K$7),0)</f>
        <v>0</v>
      </c>
      <c r="H9" s="43" t="n">
        <f aca="false">MIN(G9,Ordem!$L$7)</f>
        <v>0</v>
      </c>
      <c r="I9" s="43" t="n">
        <f aca="false">MAX(0,MIN(G9-H9,$B9-(E9)))</f>
        <v>0</v>
      </c>
      <c r="J9" s="43" t="n">
        <f aca="false">MAX(0,G9-H9-I9)</f>
        <v>0</v>
      </c>
      <c r="K9" s="43" t="n">
        <f aca="false">IF(N8&gt;0.005,N8*(1+Ordem!$K$8),0)</f>
        <v>3210.08758784</v>
      </c>
      <c r="L9" s="43" t="n">
        <f aca="false">MIN(K9,Ordem!$L$8)</f>
        <v>300</v>
      </c>
      <c r="M9" s="43" t="n">
        <f aca="false">MAX(0,MIN(K9-L9,$B9-(E9+I9)))</f>
        <v>700</v>
      </c>
      <c r="N9" s="43" t="n">
        <f aca="false">MAX(0,K9-L9-M9)</f>
        <v>2210.08758784</v>
      </c>
      <c r="O9" s="43" t="n">
        <f aca="false">IF(R8&gt;0.005,R8*(1+Ordem!$K$9),0)</f>
        <v>7538.38080114375</v>
      </c>
      <c r="P9" s="43" t="n">
        <f aca="false">MIN(O9,Ordem!$L$9)</f>
        <v>450</v>
      </c>
      <c r="Q9" s="43" t="n">
        <f aca="false">MAX(0,MIN(O9-P9,$B9-(E9+I9+M9)))</f>
        <v>0</v>
      </c>
      <c r="R9" s="43" t="n">
        <f aca="false">MAX(0,O9-P9-Q9)</f>
        <v>7088.38080114375</v>
      </c>
      <c r="S9" s="43" t="n">
        <f aca="false">IF(V8&gt;0.005,V8*(1+Ordem!$K$10),0)</f>
        <v>0</v>
      </c>
      <c r="T9" s="43" t="n">
        <f aca="false">MIN(S9,Ordem!$L$10)</f>
        <v>0</v>
      </c>
      <c r="U9" s="43" t="n">
        <f aca="false">MAX(0,MIN(S9-T9,$B9-(E9+I9+M9+Q9)))</f>
        <v>0</v>
      </c>
      <c r="V9" s="43" t="n">
        <f aca="false">MAX(0,S9-T9-U9)</f>
        <v>0</v>
      </c>
      <c r="W9" s="43" t="n">
        <f aca="false">IF(Z8&gt;0.005,Z8*(1+Ordem!$K$11),0)</f>
        <v>0</v>
      </c>
      <c r="X9" s="43" t="n">
        <f aca="false">MIN(W9,Ordem!$L$11)</f>
        <v>0</v>
      </c>
      <c r="Y9" s="43" t="n">
        <f aca="false">MAX(0,MIN(W9-X9,$B9-(E9+I9+M9+Q9+U9)))</f>
        <v>0</v>
      </c>
      <c r="Z9" s="43" t="n">
        <f aca="false">MAX(0,W9-X9-Y9)</f>
        <v>0</v>
      </c>
      <c r="AA9" s="43" t="n">
        <f aca="false">IF(AD8&gt;0.005,AD8*(1+Ordem!$K$12),0)</f>
        <v>0</v>
      </c>
      <c r="AB9" s="43" t="n">
        <f aca="false">MIN(AA9,Ordem!$L$12)</f>
        <v>0</v>
      </c>
      <c r="AC9" s="43" t="n">
        <f aca="false">MAX(0,MIN(AA9-AB9,$B9-(E9+I9+M9+Q9+U9+Y9)))</f>
        <v>0</v>
      </c>
      <c r="AD9" s="43" t="n">
        <f aca="false">MAX(0,AA9-AB9-AC9)</f>
        <v>0</v>
      </c>
      <c r="AE9" s="43" t="n">
        <f aca="false">IF(AH8&gt;0.005,AH8*(1+Ordem!$K$13),0)</f>
        <v>0</v>
      </c>
      <c r="AF9" s="43" t="n">
        <f aca="false">MIN(AE9,Ordem!$L$13)</f>
        <v>0</v>
      </c>
      <c r="AG9" s="43" t="n">
        <f aca="false">MAX(0,MIN(AE9-AF9,$B9-(E9+I9+M9+Q9+U9+Y9+AC9)))</f>
        <v>0</v>
      </c>
      <c r="AH9" s="43" t="n">
        <f aca="false">MAX(0,AE9-AF9-AG9)</f>
        <v>0</v>
      </c>
      <c r="AI9" s="43" t="n">
        <f aca="false">IF(AL8&gt;0.005,AL8*(1+Ordem!$K$14),0)</f>
        <v>0</v>
      </c>
      <c r="AJ9" s="43" t="n">
        <f aca="false">MIN(AI9,Ordem!$L$14)</f>
        <v>0</v>
      </c>
      <c r="AK9" s="43" t="n">
        <f aca="false">MAX(0,MIN(AI9-AJ9,$B9-(E9+I9+M9+Q9+U9+Y9+AC9+AG9)))</f>
        <v>0</v>
      </c>
      <c r="AL9" s="43" t="n">
        <f aca="false">MAX(0,AI9-AJ9-AK9)</f>
        <v>0</v>
      </c>
      <c r="AM9" s="43" t="n">
        <f aca="false">IF(AP8&gt;0.005,AP8*(1+Ordem!$K$15),0)</f>
        <v>0</v>
      </c>
      <c r="AN9" s="43" t="n">
        <f aca="false">MIN(AM9,Ordem!$L$15)</f>
        <v>0</v>
      </c>
      <c r="AO9" s="43" t="n">
        <f aca="false">MAX(0,MIN(AM9-AN9,$B9-(E9+I9+M9+Q9+U9+Y9+AC9+AG9+AK9)))</f>
        <v>0</v>
      </c>
      <c r="AP9" s="43" t="n">
        <f aca="false">MAX(0,AM9-AN9-AO9)</f>
        <v>0</v>
      </c>
      <c r="AQ9" s="43" t="n">
        <f aca="false">F9+J9+N9+R9+V9+Z9+AD9+AH9+AL9+AP9</f>
        <v>9298.46838898375</v>
      </c>
      <c r="AR9" s="43" t="n">
        <f aca="false">D9+E9+H9+I9+L9+M9+P9+Q9+T9+U9+X9+Y9+AB9+AC9+AF9+AG9+AJ9+AK9+AN9+AO9</f>
        <v>1450</v>
      </c>
    </row>
    <row r="10" customFormat="false" ht="15" hidden="false" customHeight="false" outlineLevel="0" collapsed="false">
      <c r="A10" s="0" t="n">
        <v>6</v>
      </c>
      <c r="B10" s="43" t="n">
        <f aca="false">MAX(0,Dívidas!$C$20-(D10+H10+L10+P10+T10+X10+AB10+AF10+AJ10+AN10))</f>
        <v>700</v>
      </c>
      <c r="C10" s="43" t="n">
        <f aca="false">IF(F9&gt;0.005,F9*(1+Ordem!$K$6),0)</f>
        <v>0</v>
      </c>
      <c r="D10" s="43" t="n">
        <f aca="false">MIN(C10,Ordem!$L$6)</f>
        <v>0</v>
      </c>
      <c r="E10" s="43" t="n">
        <f aca="false">MAX(0,MIN(C10-D10,$B10-(0)))</f>
        <v>0</v>
      </c>
      <c r="F10" s="43" t="n">
        <f aca="false">MAX(0,C10-D10-E10)</f>
        <v>0</v>
      </c>
      <c r="G10" s="43" t="n">
        <f aca="false">IF(J9&gt;0.005,J9*(1+Ordem!$K$7),0)</f>
        <v>0</v>
      </c>
      <c r="H10" s="43" t="n">
        <f aca="false">MIN(G10,Ordem!$L$7)</f>
        <v>0</v>
      </c>
      <c r="I10" s="43" t="n">
        <f aca="false">MAX(0,MIN(G10-H10,$B10-(E10)))</f>
        <v>0</v>
      </c>
      <c r="J10" s="43" t="n">
        <f aca="false">MAX(0,G10-H10-I10)</f>
        <v>0</v>
      </c>
      <c r="K10" s="43" t="n">
        <f aca="false">IF(N9&gt;0.005,N9*(1+Ordem!$K$8),0)</f>
        <v>2475.2980983808</v>
      </c>
      <c r="L10" s="43" t="n">
        <f aca="false">MIN(K10,Ordem!$L$8)</f>
        <v>300</v>
      </c>
      <c r="M10" s="43" t="n">
        <f aca="false">MAX(0,MIN(K10-L10,$B10-(E10+I10)))</f>
        <v>700</v>
      </c>
      <c r="N10" s="43" t="n">
        <f aca="false">MAX(0,K10-L10-M10)</f>
        <v>1475.2980983808</v>
      </c>
      <c r="O10" s="43" t="n">
        <f aca="false">IF(R9&gt;0.005,R9*(1+Ordem!$K$9),0)</f>
        <v>7336.47412918378</v>
      </c>
      <c r="P10" s="43" t="n">
        <f aca="false">MIN(O10,Ordem!$L$9)</f>
        <v>450</v>
      </c>
      <c r="Q10" s="43" t="n">
        <f aca="false">MAX(0,MIN(O10-P10,$B10-(E10+I10+M10)))</f>
        <v>0</v>
      </c>
      <c r="R10" s="43" t="n">
        <f aca="false">MAX(0,O10-P10-Q10)</f>
        <v>6886.47412918378</v>
      </c>
      <c r="S10" s="43" t="n">
        <f aca="false">IF(V9&gt;0.005,V9*(1+Ordem!$K$10),0)</f>
        <v>0</v>
      </c>
      <c r="T10" s="43" t="n">
        <f aca="false">MIN(S10,Ordem!$L$10)</f>
        <v>0</v>
      </c>
      <c r="U10" s="43" t="n">
        <f aca="false">MAX(0,MIN(S10-T10,$B10-(E10+I10+M10+Q10)))</f>
        <v>0</v>
      </c>
      <c r="V10" s="43" t="n">
        <f aca="false">MAX(0,S10-T10-U10)</f>
        <v>0</v>
      </c>
      <c r="W10" s="43" t="n">
        <f aca="false">IF(Z9&gt;0.005,Z9*(1+Ordem!$K$11),0)</f>
        <v>0</v>
      </c>
      <c r="X10" s="43" t="n">
        <f aca="false">MIN(W10,Ordem!$L$11)</f>
        <v>0</v>
      </c>
      <c r="Y10" s="43" t="n">
        <f aca="false">MAX(0,MIN(W10-X10,$B10-(E10+I10+M10+Q10+U10)))</f>
        <v>0</v>
      </c>
      <c r="Z10" s="43" t="n">
        <f aca="false">MAX(0,W10-X10-Y10)</f>
        <v>0</v>
      </c>
      <c r="AA10" s="43" t="n">
        <f aca="false">IF(AD9&gt;0.005,AD9*(1+Ordem!$K$12),0)</f>
        <v>0</v>
      </c>
      <c r="AB10" s="43" t="n">
        <f aca="false">MIN(AA10,Ordem!$L$12)</f>
        <v>0</v>
      </c>
      <c r="AC10" s="43" t="n">
        <f aca="false">MAX(0,MIN(AA10-AB10,$B10-(E10+I10+M10+Q10+U10+Y10)))</f>
        <v>0</v>
      </c>
      <c r="AD10" s="43" t="n">
        <f aca="false">MAX(0,AA10-AB10-AC10)</f>
        <v>0</v>
      </c>
      <c r="AE10" s="43" t="n">
        <f aca="false">IF(AH9&gt;0.005,AH9*(1+Ordem!$K$13),0)</f>
        <v>0</v>
      </c>
      <c r="AF10" s="43" t="n">
        <f aca="false">MIN(AE10,Ordem!$L$13)</f>
        <v>0</v>
      </c>
      <c r="AG10" s="43" t="n">
        <f aca="false">MAX(0,MIN(AE10-AF10,$B10-(E10+I10+M10+Q10+U10+Y10+AC10)))</f>
        <v>0</v>
      </c>
      <c r="AH10" s="43" t="n">
        <f aca="false">MAX(0,AE10-AF10-AG10)</f>
        <v>0</v>
      </c>
      <c r="AI10" s="43" t="n">
        <f aca="false">IF(AL9&gt;0.005,AL9*(1+Ordem!$K$14),0)</f>
        <v>0</v>
      </c>
      <c r="AJ10" s="43" t="n">
        <f aca="false">MIN(AI10,Ordem!$L$14)</f>
        <v>0</v>
      </c>
      <c r="AK10" s="43" t="n">
        <f aca="false">MAX(0,MIN(AI10-AJ10,$B10-(E10+I10+M10+Q10+U10+Y10+AC10+AG10)))</f>
        <v>0</v>
      </c>
      <c r="AL10" s="43" t="n">
        <f aca="false">MAX(0,AI10-AJ10-AK10)</f>
        <v>0</v>
      </c>
      <c r="AM10" s="43" t="n">
        <f aca="false">IF(AP9&gt;0.005,AP9*(1+Ordem!$K$15),0)</f>
        <v>0</v>
      </c>
      <c r="AN10" s="43" t="n">
        <f aca="false">MIN(AM10,Ordem!$L$15)</f>
        <v>0</v>
      </c>
      <c r="AO10" s="43" t="n">
        <f aca="false">MAX(0,MIN(AM10-AN10,$B10-(E10+I10+M10+Q10+U10+Y10+AC10+AG10+AK10)))</f>
        <v>0</v>
      </c>
      <c r="AP10" s="43" t="n">
        <f aca="false">MAX(0,AM10-AN10-AO10)</f>
        <v>0</v>
      </c>
      <c r="AQ10" s="43" t="n">
        <f aca="false">F10+J10+N10+R10+V10+Z10+AD10+AH10+AL10+AP10</f>
        <v>8361.77222756458</v>
      </c>
      <c r="AR10" s="43" t="n">
        <f aca="false">D10+E10+H10+I10+L10+M10+P10+Q10+T10+U10+X10+Y10+AB10+AC10+AF10+AG10+AJ10+AK10+AN10+AO10</f>
        <v>1450</v>
      </c>
    </row>
    <row r="11" customFormat="false" ht="15" hidden="false" customHeight="false" outlineLevel="0" collapsed="false">
      <c r="A11" s="0" t="n">
        <v>7</v>
      </c>
      <c r="B11" s="43" t="n">
        <f aca="false">MAX(0,Dívidas!$C$20-(D11+H11+L11+P11+T11+X11+AB11+AF11+AJ11+AN11))</f>
        <v>700</v>
      </c>
      <c r="C11" s="43" t="n">
        <f aca="false">IF(F10&gt;0.005,F10*(1+Ordem!$K$6),0)</f>
        <v>0</v>
      </c>
      <c r="D11" s="43" t="n">
        <f aca="false">MIN(C11,Ordem!$L$6)</f>
        <v>0</v>
      </c>
      <c r="E11" s="43" t="n">
        <f aca="false">MAX(0,MIN(C11-D11,$B11-(0)))</f>
        <v>0</v>
      </c>
      <c r="F11" s="43" t="n">
        <f aca="false">MAX(0,C11-D11-E11)</f>
        <v>0</v>
      </c>
      <c r="G11" s="43" t="n">
        <f aca="false">IF(J10&gt;0.005,J10*(1+Ordem!$K$7),0)</f>
        <v>0</v>
      </c>
      <c r="H11" s="43" t="n">
        <f aca="false">MIN(G11,Ordem!$L$7)</f>
        <v>0</v>
      </c>
      <c r="I11" s="43" t="n">
        <f aca="false">MAX(0,MIN(G11-H11,$B11-(E11)))</f>
        <v>0</v>
      </c>
      <c r="J11" s="43" t="n">
        <f aca="false">MAX(0,G11-H11-I11)</f>
        <v>0</v>
      </c>
      <c r="K11" s="43" t="n">
        <f aca="false">IF(N10&gt;0.005,N10*(1+Ordem!$K$8),0)</f>
        <v>1652.3338701865</v>
      </c>
      <c r="L11" s="43" t="n">
        <f aca="false">MIN(K11,Ordem!$L$8)</f>
        <v>300</v>
      </c>
      <c r="M11" s="43" t="n">
        <f aca="false">MAX(0,MIN(K11-L11,$B11-(E11+I11)))</f>
        <v>700</v>
      </c>
      <c r="N11" s="43" t="n">
        <f aca="false">MAX(0,K11-L11-M11)</f>
        <v>652.333870186499</v>
      </c>
      <c r="O11" s="43" t="n">
        <f aca="false">IF(R10&gt;0.005,R10*(1+Ordem!$K$9),0)</f>
        <v>7127.50072370521</v>
      </c>
      <c r="P11" s="43" t="n">
        <f aca="false">MIN(O11,Ordem!$L$9)</f>
        <v>450</v>
      </c>
      <c r="Q11" s="43" t="n">
        <f aca="false">MAX(0,MIN(O11-P11,$B11-(E11+I11+M11)))</f>
        <v>0</v>
      </c>
      <c r="R11" s="43" t="n">
        <f aca="false">MAX(0,O11-P11-Q11)</f>
        <v>6677.50072370521</v>
      </c>
      <c r="S11" s="43" t="n">
        <f aca="false">IF(V10&gt;0.005,V10*(1+Ordem!$K$10),0)</f>
        <v>0</v>
      </c>
      <c r="T11" s="43" t="n">
        <f aca="false">MIN(S11,Ordem!$L$10)</f>
        <v>0</v>
      </c>
      <c r="U11" s="43" t="n">
        <f aca="false">MAX(0,MIN(S11-T11,$B11-(E11+I11+M11+Q11)))</f>
        <v>0</v>
      </c>
      <c r="V11" s="43" t="n">
        <f aca="false">MAX(0,S11-T11-U11)</f>
        <v>0</v>
      </c>
      <c r="W11" s="43" t="n">
        <f aca="false">IF(Z10&gt;0.005,Z10*(1+Ordem!$K$11),0)</f>
        <v>0</v>
      </c>
      <c r="X11" s="43" t="n">
        <f aca="false">MIN(W11,Ordem!$L$11)</f>
        <v>0</v>
      </c>
      <c r="Y11" s="43" t="n">
        <f aca="false">MAX(0,MIN(W11-X11,$B11-(E11+I11+M11+Q11+U11)))</f>
        <v>0</v>
      </c>
      <c r="Z11" s="43" t="n">
        <f aca="false">MAX(0,W11-X11-Y11)</f>
        <v>0</v>
      </c>
      <c r="AA11" s="43" t="n">
        <f aca="false">IF(AD10&gt;0.005,AD10*(1+Ordem!$K$12),0)</f>
        <v>0</v>
      </c>
      <c r="AB11" s="43" t="n">
        <f aca="false">MIN(AA11,Ordem!$L$12)</f>
        <v>0</v>
      </c>
      <c r="AC11" s="43" t="n">
        <f aca="false">MAX(0,MIN(AA11-AB11,$B11-(E11+I11+M11+Q11+U11+Y11)))</f>
        <v>0</v>
      </c>
      <c r="AD11" s="43" t="n">
        <f aca="false">MAX(0,AA11-AB11-AC11)</f>
        <v>0</v>
      </c>
      <c r="AE11" s="43" t="n">
        <f aca="false">IF(AH10&gt;0.005,AH10*(1+Ordem!$K$13),0)</f>
        <v>0</v>
      </c>
      <c r="AF11" s="43" t="n">
        <f aca="false">MIN(AE11,Ordem!$L$13)</f>
        <v>0</v>
      </c>
      <c r="AG11" s="43" t="n">
        <f aca="false">MAX(0,MIN(AE11-AF11,$B11-(E11+I11+M11+Q11+U11+Y11+AC11)))</f>
        <v>0</v>
      </c>
      <c r="AH11" s="43" t="n">
        <f aca="false">MAX(0,AE11-AF11-AG11)</f>
        <v>0</v>
      </c>
      <c r="AI11" s="43" t="n">
        <f aca="false">IF(AL10&gt;0.005,AL10*(1+Ordem!$K$14),0)</f>
        <v>0</v>
      </c>
      <c r="AJ11" s="43" t="n">
        <f aca="false">MIN(AI11,Ordem!$L$14)</f>
        <v>0</v>
      </c>
      <c r="AK11" s="43" t="n">
        <f aca="false">MAX(0,MIN(AI11-AJ11,$B11-(E11+I11+M11+Q11+U11+Y11+AC11+AG11)))</f>
        <v>0</v>
      </c>
      <c r="AL11" s="43" t="n">
        <f aca="false">MAX(0,AI11-AJ11-AK11)</f>
        <v>0</v>
      </c>
      <c r="AM11" s="43" t="n">
        <f aca="false">IF(AP10&gt;0.005,AP10*(1+Ordem!$K$15),0)</f>
        <v>0</v>
      </c>
      <c r="AN11" s="43" t="n">
        <f aca="false">MIN(AM11,Ordem!$L$15)</f>
        <v>0</v>
      </c>
      <c r="AO11" s="43" t="n">
        <f aca="false">MAX(0,MIN(AM11-AN11,$B11-(E11+I11+M11+Q11+U11+Y11+AC11+AG11+AK11)))</f>
        <v>0</v>
      </c>
      <c r="AP11" s="43" t="n">
        <f aca="false">MAX(0,AM11-AN11-AO11)</f>
        <v>0</v>
      </c>
      <c r="AQ11" s="43" t="n">
        <f aca="false">F11+J11+N11+R11+V11+Z11+AD11+AH11+AL11+AP11</f>
        <v>7329.83459389171</v>
      </c>
      <c r="AR11" s="43" t="n">
        <f aca="false">D11+E11+H11+I11+L11+M11+P11+Q11+T11+U11+X11+Y11+AB11+AC11+AF11+AG11+AJ11+AK11+AN11+AO11</f>
        <v>1450</v>
      </c>
    </row>
    <row r="12" customFormat="false" ht="15" hidden="false" customHeight="false" outlineLevel="0" collapsed="false">
      <c r="A12" s="0" t="n">
        <v>8</v>
      </c>
      <c r="B12" s="43" t="n">
        <f aca="false">MAX(0,Dívidas!$C$20-(D12+H12+L12+P12+T12+X12+AB12+AF12+AJ12+AN12))</f>
        <v>700</v>
      </c>
      <c r="C12" s="43" t="n">
        <f aca="false">IF(F11&gt;0.005,F11*(1+Ordem!$K$6),0)</f>
        <v>0</v>
      </c>
      <c r="D12" s="43" t="n">
        <f aca="false">MIN(C12,Ordem!$L$6)</f>
        <v>0</v>
      </c>
      <c r="E12" s="43" t="n">
        <f aca="false">MAX(0,MIN(C12-D12,$B12-(0)))</f>
        <v>0</v>
      </c>
      <c r="F12" s="43" t="n">
        <f aca="false">MAX(0,C12-D12-E12)</f>
        <v>0</v>
      </c>
      <c r="G12" s="43" t="n">
        <f aca="false">IF(J11&gt;0.005,J11*(1+Ordem!$K$7),0)</f>
        <v>0</v>
      </c>
      <c r="H12" s="43" t="n">
        <f aca="false">MIN(G12,Ordem!$L$7)</f>
        <v>0</v>
      </c>
      <c r="I12" s="43" t="n">
        <f aca="false">MAX(0,MIN(G12-H12,$B12-(E12)))</f>
        <v>0</v>
      </c>
      <c r="J12" s="43" t="n">
        <f aca="false">MAX(0,G12-H12-I12)</f>
        <v>0</v>
      </c>
      <c r="K12" s="43" t="n">
        <f aca="false">IF(N11&gt;0.005,N11*(1+Ordem!$K$8),0)</f>
        <v>730.613934608879</v>
      </c>
      <c r="L12" s="43" t="n">
        <f aca="false">MIN(K12,Ordem!$L$8)</f>
        <v>300</v>
      </c>
      <c r="M12" s="43" t="n">
        <f aca="false">MAX(0,MIN(K12-L12,$B12-(E12+I12)))</f>
        <v>430.613934608879</v>
      </c>
      <c r="N12" s="43" t="n">
        <f aca="false">MAX(0,K12-L12-M12)</f>
        <v>0</v>
      </c>
      <c r="O12" s="43" t="n">
        <f aca="false">IF(R11&gt;0.005,R11*(1+Ordem!$K$9),0)</f>
        <v>6911.21324903489</v>
      </c>
      <c r="P12" s="43" t="n">
        <f aca="false">MIN(O12,Ordem!$L$9)</f>
        <v>450</v>
      </c>
      <c r="Q12" s="43" t="n">
        <f aca="false">MAX(0,MIN(O12-P12,$B12-(E12+I12+M12)))</f>
        <v>269.386065391121</v>
      </c>
      <c r="R12" s="43" t="n">
        <f aca="false">MAX(0,O12-P12-Q12)</f>
        <v>6191.82718364377</v>
      </c>
      <c r="S12" s="43" t="n">
        <f aca="false">IF(V11&gt;0.005,V11*(1+Ordem!$K$10),0)</f>
        <v>0</v>
      </c>
      <c r="T12" s="43" t="n">
        <f aca="false">MIN(S12,Ordem!$L$10)</f>
        <v>0</v>
      </c>
      <c r="U12" s="43" t="n">
        <f aca="false">MAX(0,MIN(S12-T12,$B12-(E12+I12+M12+Q12)))</f>
        <v>0</v>
      </c>
      <c r="V12" s="43" t="n">
        <f aca="false">MAX(0,S12-T12-U12)</f>
        <v>0</v>
      </c>
      <c r="W12" s="43" t="n">
        <f aca="false">IF(Z11&gt;0.005,Z11*(1+Ordem!$K$11),0)</f>
        <v>0</v>
      </c>
      <c r="X12" s="43" t="n">
        <f aca="false">MIN(W12,Ordem!$L$11)</f>
        <v>0</v>
      </c>
      <c r="Y12" s="43" t="n">
        <f aca="false">MAX(0,MIN(W12-X12,$B12-(E12+I12+M12+Q12+U12)))</f>
        <v>0</v>
      </c>
      <c r="Z12" s="43" t="n">
        <f aca="false">MAX(0,W12-X12-Y12)</f>
        <v>0</v>
      </c>
      <c r="AA12" s="43" t="n">
        <f aca="false">IF(AD11&gt;0.005,AD11*(1+Ordem!$K$12),0)</f>
        <v>0</v>
      </c>
      <c r="AB12" s="43" t="n">
        <f aca="false">MIN(AA12,Ordem!$L$12)</f>
        <v>0</v>
      </c>
      <c r="AC12" s="43" t="n">
        <f aca="false">MAX(0,MIN(AA12-AB12,$B12-(E12+I12+M12+Q12+U12+Y12)))</f>
        <v>0</v>
      </c>
      <c r="AD12" s="43" t="n">
        <f aca="false">MAX(0,AA12-AB12-AC12)</f>
        <v>0</v>
      </c>
      <c r="AE12" s="43" t="n">
        <f aca="false">IF(AH11&gt;0.005,AH11*(1+Ordem!$K$13),0)</f>
        <v>0</v>
      </c>
      <c r="AF12" s="43" t="n">
        <f aca="false">MIN(AE12,Ordem!$L$13)</f>
        <v>0</v>
      </c>
      <c r="AG12" s="43" t="n">
        <f aca="false">MAX(0,MIN(AE12-AF12,$B12-(E12+I12+M12+Q12+U12+Y12+AC12)))</f>
        <v>0</v>
      </c>
      <c r="AH12" s="43" t="n">
        <f aca="false">MAX(0,AE12-AF12-AG12)</f>
        <v>0</v>
      </c>
      <c r="AI12" s="43" t="n">
        <f aca="false">IF(AL11&gt;0.005,AL11*(1+Ordem!$K$14),0)</f>
        <v>0</v>
      </c>
      <c r="AJ12" s="43" t="n">
        <f aca="false">MIN(AI12,Ordem!$L$14)</f>
        <v>0</v>
      </c>
      <c r="AK12" s="43" t="n">
        <f aca="false">MAX(0,MIN(AI12-AJ12,$B12-(E12+I12+M12+Q12+U12+Y12+AC12+AG12)))</f>
        <v>0</v>
      </c>
      <c r="AL12" s="43" t="n">
        <f aca="false">MAX(0,AI12-AJ12-AK12)</f>
        <v>0</v>
      </c>
      <c r="AM12" s="43" t="n">
        <f aca="false">IF(AP11&gt;0.005,AP11*(1+Ordem!$K$15),0)</f>
        <v>0</v>
      </c>
      <c r="AN12" s="43" t="n">
        <f aca="false">MIN(AM12,Ordem!$L$15)</f>
        <v>0</v>
      </c>
      <c r="AO12" s="43" t="n">
        <f aca="false">MAX(0,MIN(AM12-AN12,$B12-(E12+I12+M12+Q12+U12+Y12+AC12+AG12+AK12)))</f>
        <v>0</v>
      </c>
      <c r="AP12" s="43" t="n">
        <f aca="false">MAX(0,AM12-AN12-AO12)</f>
        <v>0</v>
      </c>
      <c r="AQ12" s="43" t="n">
        <f aca="false">F12+J12+N12+R12+V12+Z12+AD12+AH12+AL12+AP12</f>
        <v>6191.82718364377</v>
      </c>
      <c r="AR12" s="43" t="n">
        <f aca="false">D12+E12+H12+I12+L12+M12+P12+Q12+T12+U12+X12+Y12+AB12+AC12+AF12+AG12+AJ12+AK12+AN12+AO12</f>
        <v>1450</v>
      </c>
    </row>
    <row r="13" customFormat="false" ht="15" hidden="false" customHeight="false" outlineLevel="0" collapsed="false">
      <c r="A13" s="0" t="n">
        <v>9</v>
      </c>
      <c r="B13" s="43" t="n">
        <f aca="false">MAX(0,Dívidas!$C$20-(D13+H13+L13+P13+T13+X13+AB13+AF13+AJ13+AN13))</f>
        <v>1000</v>
      </c>
      <c r="C13" s="43" t="n">
        <f aca="false">IF(F12&gt;0.005,F12*(1+Ordem!$K$6),0)</f>
        <v>0</v>
      </c>
      <c r="D13" s="43" t="n">
        <f aca="false">MIN(C13,Ordem!$L$6)</f>
        <v>0</v>
      </c>
      <c r="E13" s="43" t="n">
        <f aca="false">MAX(0,MIN(C13-D13,$B13-(0)))</f>
        <v>0</v>
      </c>
      <c r="F13" s="43" t="n">
        <f aca="false">MAX(0,C13-D13-E13)</f>
        <v>0</v>
      </c>
      <c r="G13" s="43" t="n">
        <f aca="false">IF(J12&gt;0.005,J12*(1+Ordem!$K$7),0)</f>
        <v>0</v>
      </c>
      <c r="H13" s="43" t="n">
        <f aca="false">MIN(G13,Ordem!$L$7)</f>
        <v>0</v>
      </c>
      <c r="I13" s="43" t="n">
        <f aca="false">MAX(0,MIN(G13-H13,$B13-(E13)))</f>
        <v>0</v>
      </c>
      <c r="J13" s="43" t="n">
        <f aca="false">MAX(0,G13-H13-I13)</f>
        <v>0</v>
      </c>
      <c r="K13" s="43" t="n">
        <f aca="false">IF(N12&gt;0.005,N12*(1+Ordem!$K$8),0)</f>
        <v>0</v>
      </c>
      <c r="L13" s="43" t="n">
        <f aca="false">MIN(K13,Ordem!$L$8)</f>
        <v>0</v>
      </c>
      <c r="M13" s="43" t="n">
        <f aca="false">MAX(0,MIN(K13-L13,$B13-(E13+I13)))</f>
        <v>0</v>
      </c>
      <c r="N13" s="43" t="n">
        <f aca="false">MAX(0,K13-L13-M13)</f>
        <v>0</v>
      </c>
      <c r="O13" s="43" t="n">
        <f aca="false">IF(R12&gt;0.005,R12*(1+Ordem!$K$9),0)</f>
        <v>6408.5411350713</v>
      </c>
      <c r="P13" s="43" t="n">
        <f aca="false">MIN(O13,Ordem!$L$9)</f>
        <v>450</v>
      </c>
      <c r="Q13" s="43" t="n">
        <f aca="false">MAX(0,MIN(O13-P13,$B13-(E13+I13+M13)))</f>
        <v>1000</v>
      </c>
      <c r="R13" s="43" t="n">
        <f aca="false">MAX(0,O13-P13-Q13)</f>
        <v>4958.5411350713</v>
      </c>
      <c r="S13" s="43" t="n">
        <f aca="false">IF(V12&gt;0.005,V12*(1+Ordem!$K$10),0)</f>
        <v>0</v>
      </c>
      <c r="T13" s="43" t="n">
        <f aca="false">MIN(S13,Ordem!$L$10)</f>
        <v>0</v>
      </c>
      <c r="U13" s="43" t="n">
        <f aca="false">MAX(0,MIN(S13-T13,$B13-(E13+I13+M13+Q13)))</f>
        <v>0</v>
      </c>
      <c r="V13" s="43" t="n">
        <f aca="false">MAX(0,S13-T13-U13)</f>
        <v>0</v>
      </c>
      <c r="W13" s="43" t="n">
        <f aca="false">IF(Z12&gt;0.005,Z12*(1+Ordem!$K$11),0)</f>
        <v>0</v>
      </c>
      <c r="X13" s="43" t="n">
        <f aca="false">MIN(W13,Ordem!$L$11)</f>
        <v>0</v>
      </c>
      <c r="Y13" s="43" t="n">
        <f aca="false">MAX(0,MIN(W13-X13,$B13-(E13+I13+M13+Q13+U13)))</f>
        <v>0</v>
      </c>
      <c r="Z13" s="43" t="n">
        <f aca="false">MAX(0,W13-X13-Y13)</f>
        <v>0</v>
      </c>
      <c r="AA13" s="43" t="n">
        <f aca="false">IF(AD12&gt;0.005,AD12*(1+Ordem!$K$12),0)</f>
        <v>0</v>
      </c>
      <c r="AB13" s="43" t="n">
        <f aca="false">MIN(AA13,Ordem!$L$12)</f>
        <v>0</v>
      </c>
      <c r="AC13" s="43" t="n">
        <f aca="false">MAX(0,MIN(AA13-AB13,$B13-(E13+I13+M13+Q13+U13+Y13)))</f>
        <v>0</v>
      </c>
      <c r="AD13" s="43" t="n">
        <f aca="false">MAX(0,AA13-AB13-AC13)</f>
        <v>0</v>
      </c>
      <c r="AE13" s="43" t="n">
        <f aca="false">IF(AH12&gt;0.005,AH12*(1+Ordem!$K$13),0)</f>
        <v>0</v>
      </c>
      <c r="AF13" s="43" t="n">
        <f aca="false">MIN(AE13,Ordem!$L$13)</f>
        <v>0</v>
      </c>
      <c r="AG13" s="43" t="n">
        <f aca="false">MAX(0,MIN(AE13-AF13,$B13-(E13+I13+M13+Q13+U13+Y13+AC13)))</f>
        <v>0</v>
      </c>
      <c r="AH13" s="43" t="n">
        <f aca="false">MAX(0,AE13-AF13-AG13)</f>
        <v>0</v>
      </c>
      <c r="AI13" s="43" t="n">
        <f aca="false">IF(AL12&gt;0.005,AL12*(1+Ordem!$K$14),0)</f>
        <v>0</v>
      </c>
      <c r="AJ13" s="43" t="n">
        <f aca="false">MIN(AI13,Ordem!$L$14)</f>
        <v>0</v>
      </c>
      <c r="AK13" s="43" t="n">
        <f aca="false">MAX(0,MIN(AI13-AJ13,$B13-(E13+I13+M13+Q13+U13+Y13+AC13+AG13)))</f>
        <v>0</v>
      </c>
      <c r="AL13" s="43" t="n">
        <f aca="false">MAX(0,AI13-AJ13-AK13)</f>
        <v>0</v>
      </c>
      <c r="AM13" s="43" t="n">
        <f aca="false">IF(AP12&gt;0.005,AP12*(1+Ordem!$K$15),0)</f>
        <v>0</v>
      </c>
      <c r="AN13" s="43" t="n">
        <f aca="false">MIN(AM13,Ordem!$L$15)</f>
        <v>0</v>
      </c>
      <c r="AO13" s="43" t="n">
        <f aca="false">MAX(0,MIN(AM13-AN13,$B13-(E13+I13+M13+Q13+U13+Y13+AC13+AG13+AK13)))</f>
        <v>0</v>
      </c>
      <c r="AP13" s="43" t="n">
        <f aca="false">MAX(0,AM13-AN13-AO13)</f>
        <v>0</v>
      </c>
      <c r="AQ13" s="43" t="n">
        <f aca="false">F13+J13+N13+R13+V13+Z13+AD13+AH13+AL13+AP13</f>
        <v>4958.5411350713</v>
      </c>
      <c r="AR13" s="43" t="n">
        <f aca="false">D13+E13+H13+I13+L13+M13+P13+Q13+T13+U13+X13+Y13+AB13+AC13+AF13+AG13+AJ13+AK13+AN13+AO13</f>
        <v>1450</v>
      </c>
    </row>
    <row r="14" customFormat="false" ht="15" hidden="false" customHeight="false" outlineLevel="0" collapsed="false">
      <c r="A14" s="0" t="n">
        <v>10</v>
      </c>
      <c r="B14" s="43" t="n">
        <f aca="false">MAX(0,Dívidas!$C$20-(D14+H14+L14+P14+T14+X14+AB14+AF14+AJ14+AN14))</f>
        <v>1000</v>
      </c>
      <c r="C14" s="43" t="n">
        <f aca="false">IF(F13&gt;0.005,F13*(1+Ordem!$K$6),0)</f>
        <v>0</v>
      </c>
      <c r="D14" s="43" t="n">
        <f aca="false">MIN(C14,Ordem!$L$6)</f>
        <v>0</v>
      </c>
      <c r="E14" s="43" t="n">
        <f aca="false">MAX(0,MIN(C14-D14,$B14-(0)))</f>
        <v>0</v>
      </c>
      <c r="F14" s="43" t="n">
        <f aca="false">MAX(0,C14-D14-E14)</f>
        <v>0</v>
      </c>
      <c r="G14" s="43" t="n">
        <f aca="false">IF(J13&gt;0.005,J13*(1+Ordem!$K$7),0)</f>
        <v>0</v>
      </c>
      <c r="H14" s="43" t="n">
        <f aca="false">MIN(G14,Ordem!$L$7)</f>
        <v>0</v>
      </c>
      <c r="I14" s="43" t="n">
        <f aca="false">MAX(0,MIN(G14-H14,$B14-(E14)))</f>
        <v>0</v>
      </c>
      <c r="J14" s="43" t="n">
        <f aca="false">MAX(0,G14-H14-I14)</f>
        <v>0</v>
      </c>
      <c r="K14" s="43" t="n">
        <f aca="false">IF(N13&gt;0.005,N13*(1+Ordem!$K$8),0)</f>
        <v>0</v>
      </c>
      <c r="L14" s="43" t="n">
        <f aca="false">MIN(K14,Ordem!$L$8)</f>
        <v>0</v>
      </c>
      <c r="M14" s="43" t="n">
        <f aca="false">MAX(0,MIN(K14-L14,$B14-(E14+I14)))</f>
        <v>0</v>
      </c>
      <c r="N14" s="43" t="n">
        <f aca="false">MAX(0,K14-L14-M14)</f>
        <v>0</v>
      </c>
      <c r="O14" s="43" t="n">
        <f aca="false">IF(R13&gt;0.005,R13*(1+Ordem!$K$9),0)</f>
        <v>5132.0900747988</v>
      </c>
      <c r="P14" s="43" t="n">
        <f aca="false">MIN(O14,Ordem!$L$9)</f>
        <v>450</v>
      </c>
      <c r="Q14" s="43" t="n">
        <f aca="false">MAX(0,MIN(O14-P14,$B14-(E14+I14+M14)))</f>
        <v>1000</v>
      </c>
      <c r="R14" s="43" t="n">
        <f aca="false">MAX(0,O14-P14-Q14)</f>
        <v>3682.0900747988</v>
      </c>
      <c r="S14" s="43" t="n">
        <f aca="false">IF(V13&gt;0.005,V13*(1+Ordem!$K$10),0)</f>
        <v>0</v>
      </c>
      <c r="T14" s="43" t="n">
        <f aca="false">MIN(S14,Ordem!$L$10)</f>
        <v>0</v>
      </c>
      <c r="U14" s="43" t="n">
        <f aca="false">MAX(0,MIN(S14-T14,$B14-(E14+I14+M14+Q14)))</f>
        <v>0</v>
      </c>
      <c r="V14" s="43" t="n">
        <f aca="false">MAX(0,S14-T14-U14)</f>
        <v>0</v>
      </c>
      <c r="W14" s="43" t="n">
        <f aca="false">IF(Z13&gt;0.005,Z13*(1+Ordem!$K$11),0)</f>
        <v>0</v>
      </c>
      <c r="X14" s="43" t="n">
        <f aca="false">MIN(W14,Ordem!$L$11)</f>
        <v>0</v>
      </c>
      <c r="Y14" s="43" t="n">
        <f aca="false">MAX(0,MIN(W14-X14,$B14-(E14+I14+M14+Q14+U14)))</f>
        <v>0</v>
      </c>
      <c r="Z14" s="43" t="n">
        <f aca="false">MAX(0,W14-X14-Y14)</f>
        <v>0</v>
      </c>
      <c r="AA14" s="43" t="n">
        <f aca="false">IF(AD13&gt;0.005,AD13*(1+Ordem!$K$12),0)</f>
        <v>0</v>
      </c>
      <c r="AB14" s="43" t="n">
        <f aca="false">MIN(AA14,Ordem!$L$12)</f>
        <v>0</v>
      </c>
      <c r="AC14" s="43" t="n">
        <f aca="false">MAX(0,MIN(AA14-AB14,$B14-(E14+I14+M14+Q14+U14+Y14)))</f>
        <v>0</v>
      </c>
      <c r="AD14" s="43" t="n">
        <f aca="false">MAX(0,AA14-AB14-AC14)</f>
        <v>0</v>
      </c>
      <c r="AE14" s="43" t="n">
        <f aca="false">IF(AH13&gt;0.005,AH13*(1+Ordem!$K$13),0)</f>
        <v>0</v>
      </c>
      <c r="AF14" s="43" t="n">
        <f aca="false">MIN(AE14,Ordem!$L$13)</f>
        <v>0</v>
      </c>
      <c r="AG14" s="43" t="n">
        <f aca="false">MAX(0,MIN(AE14-AF14,$B14-(E14+I14+M14+Q14+U14+Y14+AC14)))</f>
        <v>0</v>
      </c>
      <c r="AH14" s="43" t="n">
        <f aca="false">MAX(0,AE14-AF14-AG14)</f>
        <v>0</v>
      </c>
      <c r="AI14" s="43" t="n">
        <f aca="false">IF(AL13&gt;0.005,AL13*(1+Ordem!$K$14),0)</f>
        <v>0</v>
      </c>
      <c r="AJ14" s="43" t="n">
        <f aca="false">MIN(AI14,Ordem!$L$14)</f>
        <v>0</v>
      </c>
      <c r="AK14" s="43" t="n">
        <f aca="false">MAX(0,MIN(AI14-AJ14,$B14-(E14+I14+M14+Q14+U14+Y14+AC14+AG14)))</f>
        <v>0</v>
      </c>
      <c r="AL14" s="43" t="n">
        <f aca="false">MAX(0,AI14-AJ14-AK14)</f>
        <v>0</v>
      </c>
      <c r="AM14" s="43" t="n">
        <f aca="false">IF(AP13&gt;0.005,AP13*(1+Ordem!$K$15),0)</f>
        <v>0</v>
      </c>
      <c r="AN14" s="43" t="n">
        <f aca="false">MIN(AM14,Ordem!$L$15)</f>
        <v>0</v>
      </c>
      <c r="AO14" s="43" t="n">
        <f aca="false">MAX(0,MIN(AM14-AN14,$B14-(E14+I14+M14+Q14+U14+Y14+AC14+AG14+AK14)))</f>
        <v>0</v>
      </c>
      <c r="AP14" s="43" t="n">
        <f aca="false">MAX(0,AM14-AN14-AO14)</f>
        <v>0</v>
      </c>
      <c r="AQ14" s="43" t="n">
        <f aca="false">F14+J14+N14+R14+V14+Z14+AD14+AH14+AL14+AP14</f>
        <v>3682.0900747988</v>
      </c>
      <c r="AR14" s="43" t="n">
        <f aca="false">D14+E14+H14+I14+L14+M14+P14+Q14+T14+U14+X14+Y14+AB14+AC14+AF14+AG14+AJ14+AK14+AN14+AO14</f>
        <v>1450</v>
      </c>
    </row>
    <row r="15" customFormat="false" ht="15" hidden="false" customHeight="false" outlineLevel="0" collapsed="false">
      <c r="A15" s="0" t="n">
        <v>11</v>
      </c>
      <c r="B15" s="43" t="n">
        <f aca="false">MAX(0,Dívidas!$C$20-(D15+H15+L15+P15+T15+X15+AB15+AF15+AJ15+AN15))</f>
        <v>1000</v>
      </c>
      <c r="C15" s="43" t="n">
        <f aca="false">IF(F14&gt;0.005,F14*(1+Ordem!$K$6),0)</f>
        <v>0</v>
      </c>
      <c r="D15" s="43" t="n">
        <f aca="false">MIN(C15,Ordem!$L$6)</f>
        <v>0</v>
      </c>
      <c r="E15" s="43" t="n">
        <f aca="false">MAX(0,MIN(C15-D15,$B15-(0)))</f>
        <v>0</v>
      </c>
      <c r="F15" s="43" t="n">
        <f aca="false">MAX(0,C15-D15-E15)</f>
        <v>0</v>
      </c>
      <c r="G15" s="43" t="n">
        <f aca="false">IF(J14&gt;0.005,J14*(1+Ordem!$K$7),0)</f>
        <v>0</v>
      </c>
      <c r="H15" s="43" t="n">
        <f aca="false">MIN(G15,Ordem!$L$7)</f>
        <v>0</v>
      </c>
      <c r="I15" s="43" t="n">
        <f aca="false">MAX(0,MIN(G15-H15,$B15-(E15)))</f>
        <v>0</v>
      </c>
      <c r="J15" s="43" t="n">
        <f aca="false">MAX(0,G15-H15-I15)</f>
        <v>0</v>
      </c>
      <c r="K15" s="43" t="n">
        <f aca="false">IF(N14&gt;0.005,N14*(1+Ordem!$K$8),0)</f>
        <v>0</v>
      </c>
      <c r="L15" s="43" t="n">
        <f aca="false">MIN(K15,Ordem!$L$8)</f>
        <v>0</v>
      </c>
      <c r="M15" s="43" t="n">
        <f aca="false">MAX(0,MIN(K15-L15,$B15-(E15+I15)))</f>
        <v>0</v>
      </c>
      <c r="N15" s="43" t="n">
        <f aca="false">MAX(0,K15-L15-M15)</f>
        <v>0</v>
      </c>
      <c r="O15" s="43" t="n">
        <f aca="false">IF(R14&gt;0.005,R14*(1+Ordem!$K$9),0)</f>
        <v>3810.96322741675</v>
      </c>
      <c r="P15" s="43" t="n">
        <f aca="false">MIN(O15,Ordem!$L$9)</f>
        <v>450</v>
      </c>
      <c r="Q15" s="43" t="n">
        <f aca="false">MAX(0,MIN(O15-P15,$B15-(E15+I15+M15)))</f>
        <v>1000</v>
      </c>
      <c r="R15" s="43" t="n">
        <f aca="false">MAX(0,O15-P15-Q15)</f>
        <v>2360.96322741675</v>
      </c>
      <c r="S15" s="43" t="n">
        <f aca="false">IF(V14&gt;0.005,V14*(1+Ordem!$K$10),0)</f>
        <v>0</v>
      </c>
      <c r="T15" s="43" t="n">
        <f aca="false">MIN(S15,Ordem!$L$10)</f>
        <v>0</v>
      </c>
      <c r="U15" s="43" t="n">
        <f aca="false">MAX(0,MIN(S15-T15,$B15-(E15+I15+M15+Q15)))</f>
        <v>0</v>
      </c>
      <c r="V15" s="43" t="n">
        <f aca="false">MAX(0,S15-T15-U15)</f>
        <v>0</v>
      </c>
      <c r="W15" s="43" t="n">
        <f aca="false">IF(Z14&gt;0.005,Z14*(1+Ordem!$K$11),0)</f>
        <v>0</v>
      </c>
      <c r="X15" s="43" t="n">
        <f aca="false">MIN(W15,Ordem!$L$11)</f>
        <v>0</v>
      </c>
      <c r="Y15" s="43" t="n">
        <f aca="false">MAX(0,MIN(W15-X15,$B15-(E15+I15+M15+Q15+U15)))</f>
        <v>0</v>
      </c>
      <c r="Z15" s="43" t="n">
        <f aca="false">MAX(0,W15-X15-Y15)</f>
        <v>0</v>
      </c>
      <c r="AA15" s="43" t="n">
        <f aca="false">IF(AD14&gt;0.005,AD14*(1+Ordem!$K$12),0)</f>
        <v>0</v>
      </c>
      <c r="AB15" s="43" t="n">
        <f aca="false">MIN(AA15,Ordem!$L$12)</f>
        <v>0</v>
      </c>
      <c r="AC15" s="43" t="n">
        <f aca="false">MAX(0,MIN(AA15-AB15,$B15-(E15+I15+M15+Q15+U15+Y15)))</f>
        <v>0</v>
      </c>
      <c r="AD15" s="43" t="n">
        <f aca="false">MAX(0,AA15-AB15-AC15)</f>
        <v>0</v>
      </c>
      <c r="AE15" s="43" t="n">
        <f aca="false">IF(AH14&gt;0.005,AH14*(1+Ordem!$K$13),0)</f>
        <v>0</v>
      </c>
      <c r="AF15" s="43" t="n">
        <f aca="false">MIN(AE15,Ordem!$L$13)</f>
        <v>0</v>
      </c>
      <c r="AG15" s="43" t="n">
        <f aca="false">MAX(0,MIN(AE15-AF15,$B15-(E15+I15+M15+Q15+U15+Y15+AC15)))</f>
        <v>0</v>
      </c>
      <c r="AH15" s="43" t="n">
        <f aca="false">MAX(0,AE15-AF15-AG15)</f>
        <v>0</v>
      </c>
      <c r="AI15" s="43" t="n">
        <f aca="false">IF(AL14&gt;0.005,AL14*(1+Ordem!$K$14),0)</f>
        <v>0</v>
      </c>
      <c r="AJ15" s="43" t="n">
        <f aca="false">MIN(AI15,Ordem!$L$14)</f>
        <v>0</v>
      </c>
      <c r="AK15" s="43" t="n">
        <f aca="false">MAX(0,MIN(AI15-AJ15,$B15-(E15+I15+M15+Q15+U15+Y15+AC15+AG15)))</f>
        <v>0</v>
      </c>
      <c r="AL15" s="43" t="n">
        <f aca="false">MAX(0,AI15-AJ15-AK15)</f>
        <v>0</v>
      </c>
      <c r="AM15" s="43" t="n">
        <f aca="false">IF(AP14&gt;0.005,AP14*(1+Ordem!$K$15),0)</f>
        <v>0</v>
      </c>
      <c r="AN15" s="43" t="n">
        <f aca="false">MIN(AM15,Ordem!$L$15)</f>
        <v>0</v>
      </c>
      <c r="AO15" s="43" t="n">
        <f aca="false">MAX(0,MIN(AM15-AN15,$B15-(E15+I15+M15+Q15+U15+Y15+AC15+AG15+AK15)))</f>
        <v>0</v>
      </c>
      <c r="AP15" s="43" t="n">
        <f aca="false">MAX(0,AM15-AN15-AO15)</f>
        <v>0</v>
      </c>
      <c r="AQ15" s="43" t="n">
        <f aca="false">F15+J15+N15+R15+V15+Z15+AD15+AH15+AL15+AP15</f>
        <v>2360.96322741675</v>
      </c>
      <c r="AR15" s="43" t="n">
        <f aca="false">D15+E15+H15+I15+L15+M15+P15+Q15+T15+U15+X15+Y15+AB15+AC15+AF15+AG15+AJ15+AK15+AN15+AO15</f>
        <v>1450</v>
      </c>
    </row>
    <row r="16" customFormat="false" ht="15" hidden="false" customHeight="false" outlineLevel="0" collapsed="false">
      <c r="A16" s="0" t="n">
        <v>12</v>
      </c>
      <c r="B16" s="43" t="n">
        <f aca="false">MAX(0,Dívidas!$C$20-(D16+H16+L16+P16+T16+X16+AB16+AF16+AJ16+AN16))</f>
        <v>1000</v>
      </c>
      <c r="C16" s="43" t="n">
        <f aca="false">IF(F15&gt;0.005,F15*(1+Ordem!$K$6),0)</f>
        <v>0</v>
      </c>
      <c r="D16" s="43" t="n">
        <f aca="false">MIN(C16,Ordem!$L$6)</f>
        <v>0</v>
      </c>
      <c r="E16" s="43" t="n">
        <f aca="false">MAX(0,MIN(C16-D16,$B16-(0)))</f>
        <v>0</v>
      </c>
      <c r="F16" s="43" t="n">
        <f aca="false">MAX(0,C16-D16-E16)</f>
        <v>0</v>
      </c>
      <c r="G16" s="43" t="n">
        <f aca="false">IF(J15&gt;0.005,J15*(1+Ordem!$K$7),0)</f>
        <v>0</v>
      </c>
      <c r="H16" s="43" t="n">
        <f aca="false">MIN(G16,Ordem!$L$7)</f>
        <v>0</v>
      </c>
      <c r="I16" s="43" t="n">
        <f aca="false">MAX(0,MIN(G16-H16,$B16-(E16)))</f>
        <v>0</v>
      </c>
      <c r="J16" s="43" t="n">
        <f aca="false">MAX(0,G16-H16-I16)</f>
        <v>0</v>
      </c>
      <c r="K16" s="43" t="n">
        <f aca="false">IF(N15&gt;0.005,N15*(1+Ordem!$K$8),0)</f>
        <v>0</v>
      </c>
      <c r="L16" s="43" t="n">
        <f aca="false">MIN(K16,Ordem!$L$8)</f>
        <v>0</v>
      </c>
      <c r="M16" s="43" t="n">
        <f aca="false">MAX(0,MIN(K16-L16,$B16-(E16+I16)))</f>
        <v>0</v>
      </c>
      <c r="N16" s="43" t="n">
        <f aca="false">MAX(0,K16-L16-M16)</f>
        <v>0</v>
      </c>
      <c r="O16" s="43" t="n">
        <f aca="false">IF(R15&gt;0.005,R15*(1+Ordem!$K$9),0)</f>
        <v>2443.59694037634</v>
      </c>
      <c r="P16" s="43" t="n">
        <f aca="false">MIN(O16,Ordem!$L$9)</f>
        <v>450</v>
      </c>
      <c r="Q16" s="43" t="n">
        <f aca="false">MAX(0,MIN(O16-P16,$B16-(E16+I16+M16)))</f>
        <v>1000</v>
      </c>
      <c r="R16" s="43" t="n">
        <f aca="false">MAX(0,O16-P16-Q16)</f>
        <v>993.596940376341</v>
      </c>
      <c r="S16" s="43" t="n">
        <f aca="false">IF(V15&gt;0.005,V15*(1+Ordem!$K$10),0)</f>
        <v>0</v>
      </c>
      <c r="T16" s="43" t="n">
        <f aca="false">MIN(S16,Ordem!$L$10)</f>
        <v>0</v>
      </c>
      <c r="U16" s="43" t="n">
        <f aca="false">MAX(0,MIN(S16-T16,$B16-(E16+I16+M16+Q16)))</f>
        <v>0</v>
      </c>
      <c r="V16" s="43" t="n">
        <f aca="false">MAX(0,S16-T16-U16)</f>
        <v>0</v>
      </c>
      <c r="W16" s="43" t="n">
        <f aca="false">IF(Z15&gt;0.005,Z15*(1+Ordem!$K$11),0)</f>
        <v>0</v>
      </c>
      <c r="X16" s="43" t="n">
        <f aca="false">MIN(W16,Ordem!$L$11)</f>
        <v>0</v>
      </c>
      <c r="Y16" s="43" t="n">
        <f aca="false">MAX(0,MIN(W16-X16,$B16-(E16+I16+M16+Q16+U16)))</f>
        <v>0</v>
      </c>
      <c r="Z16" s="43" t="n">
        <f aca="false">MAX(0,W16-X16-Y16)</f>
        <v>0</v>
      </c>
      <c r="AA16" s="43" t="n">
        <f aca="false">IF(AD15&gt;0.005,AD15*(1+Ordem!$K$12),0)</f>
        <v>0</v>
      </c>
      <c r="AB16" s="43" t="n">
        <f aca="false">MIN(AA16,Ordem!$L$12)</f>
        <v>0</v>
      </c>
      <c r="AC16" s="43" t="n">
        <f aca="false">MAX(0,MIN(AA16-AB16,$B16-(E16+I16+M16+Q16+U16+Y16)))</f>
        <v>0</v>
      </c>
      <c r="AD16" s="43" t="n">
        <f aca="false">MAX(0,AA16-AB16-AC16)</f>
        <v>0</v>
      </c>
      <c r="AE16" s="43" t="n">
        <f aca="false">IF(AH15&gt;0.005,AH15*(1+Ordem!$K$13),0)</f>
        <v>0</v>
      </c>
      <c r="AF16" s="43" t="n">
        <f aca="false">MIN(AE16,Ordem!$L$13)</f>
        <v>0</v>
      </c>
      <c r="AG16" s="43" t="n">
        <f aca="false">MAX(0,MIN(AE16-AF16,$B16-(E16+I16+M16+Q16+U16+Y16+AC16)))</f>
        <v>0</v>
      </c>
      <c r="AH16" s="43" t="n">
        <f aca="false">MAX(0,AE16-AF16-AG16)</f>
        <v>0</v>
      </c>
      <c r="AI16" s="43" t="n">
        <f aca="false">IF(AL15&gt;0.005,AL15*(1+Ordem!$K$14),0)</f>
        <v>0</v>
      </c>
      <c r="AJ16" s="43" t="n">
        <f aca="false">MIN(AI16,Ordem!$L$14)</f>
        <v>0</v>
      </c>
      <c r="AK16" s="43" t="n">
        <f aca="false">MAX(0,MIN(AI16-AJ16,$B16-(E16+I16+M16+Q16+U16+Y16+AC16+AG16)))</f>
        <v>0</v>
      </c>
      <c r="AL16" s="43" t="n">
        <f aca="false">MAX(0,AI16-AJ16-AK16)</f>
        <v>0</v>
      </c>
      <c r="AM16" s="43" t="n">
        <f aca="false">IF(AP15&gt;0.005,AP15*(1+Ordem!$K$15),0)</f>
        <v>0</v>
      </c>
      <c r="AN16" s="43" t="n">
        <f aca="false">MIN(AM16,Ordem!$L$15)</f>
        <v>0</v>
      </c>
      <c r="AO16" s="43" t="n">
        <f aca="false">MAX(0,MIN(AM16-AN16,$B16-(E16+I16+M16+Q16+U16+Y16+AC16+AG16+AK16)))</f>
        <v>0</v>
      </c>
      <c r="AP16" s="43" t="n">
        <f aca="false">MAX(0,AM16-AN16-AO16)</f>
        <v>0</v>
      </c>
      <c r="AQ16" s="43" t="n">
        <f aca="false">F16+J16+N16+R16+V16+Z16+AD16+AH16+AL16+AP16</f>
        <v>993.596940376341</v>
      </c>
      <c r="AR16" s="43" t="n">
        <f aca="false">D16+E16+H16+I16+L16+M16+P16+Q16+T16+U16+X16+Y16+AB16+AC16+AF16+AG16+AJ16+AK16+AN16+AO16</f>
        <v>1450</v>
      </c>
    </row>
    <row r="17" customFormat="false" ht="15" hidden="false" customHeight="false" outlineLevel="0" collapsed="false">
      <c r="A17" s="0" t="n">
        <v>13</v>
      </c>
      <c r="B17" s="43" t="n">
        <f aca="false">MAX(0,Dívidas!$C$20-(D17+H17+L17+P17+T17+X17+AB17+AF17+AJ17+AN17))</f>
        <v>1000</v>
      </c>
      <c r="C17" s="43" t="n">
        <f aca="false">IF(F16&gt;0.005,F16*(1+Ordem!$K$6),0)</f>
        <v>0</v>
      </c>
      <c r="D17" s="43" t="n">
        <f aca="false">MIN(C17,Ordem!$L$6)</f>
        <v>0</v>
      </c>
      <c r="E17" s="43" t="n">
        <f aca="false">MAX(0,MIN(C17-D17,$B17-(0)))</f>
        <v>0</v>
      </c>
      <c r="F17" s="43" t="n">
        <f aca="false">MAX(0,C17-D17-E17)</f>
        <v>0</v>
      </c>
      <c r="G17" s="43" t="n">
        <f aca="false">IF(J16&gt;0.005,J16*(1+Ordem!$K$7),0)</f>
        <v>0</v>
      </c>
      <c r="H17" s="43" t="n">
        <f aca="false">MIN(G17,Ordem!$L$7)</f>
        <v>0</v>
      </c>
      <c r="I17" s="43" t="n">
        <f aca="false">MAX(0,MIN(G17-H17,$B17-(E17)))</f>
        <v>0</v>
      </c>
      <c r="J17" s="43" t="n">
        <f aca="false">MAX(0,G17-H17-I17)</f>
        <v>0</v>
      </c>
      <c r="K17" s="43" t="n">
        <f aca="false">IF(N16&gt;0.005,N16*(1+Ordem!$K$8),0)</f>
        <v>0</v>
      </c>
      <c r="L17" s="43" t="n">
        <f aca="false">MIN(K17,Ordem!$L$8)</f>
        <v>0</v>
      </c>
      <c r="M17" s="43" t="n">
        <f aca="false">MAX(0,MIN(K17-L17,$B17-(E17+I17)))</f>
        <v>0</v>
      </c>
      <c r="N17" s="43" t="n">
        <f aca="false">MAX(0,K17-L17-M17)</f>
        <v>0</v>
      </c>
      <c r="O17" s="43" t="n">
        <f aca="false">IF(R16&gt;0.005,R16*(1+Ordem!$K$9),0)</f>
        <v>1028.37283328951</v>
      </c>
      <c r="P17" s="43" t="n">
        <f aca="false">MIN(O17,Ordem!$L$9)</f>
        <v>450</v>
      </c>
      <c r="Q17" s="43" t="n">
        <f aca="false">MAX(0,MIN(O17-P17,$B17-(E17+I17+M17)))</f>
        <v>578.372833289513</v>
      </c>
      <c r="R17" s="43" t="n">
        <f aca="false">MAX(0,O17-P17-Q17)</f>
        <v>0</v>
      </c>
      <c r="S17" s="43" t="n">
        <f aca="false">IF(V16&gt;0.005,V16*(1+Ordem!$K$10),0)</f>
        <v>0</v>
      </c>
      <c r="T17" s="43" t="n">
        <f aca="false">MIN(S17,Ordem!$L$10)</f>
        <v>0</v>
      </c>
      <c r="U17" s="43" t="n">
        <f aca="false">MAX(0,MIN(S17-T17,$B17-(E17+I17+M17+Q17)))</f>
        <v>0</v>
      </c>
      <c r="V17" s="43" t="n">
        <f aca="false">MAX(0,S17-T17-U17)</f>
        <v>0</v>
      </c>
      <c r="W17" s="43" t="n">
        <f aca="false">IF(Z16&gt;0.005,Z16*(1+Ordem!$K$11),0)</f>
        <v>0</v>
      </c>
      <c r="X17" s="43" t="n">
        <f aca="false">MIN(W17,Ordem!$L$11)</f>
        <v>0</v>
      </c>
      <c r="Y17" s="43" t="n">
        <f aca="false">MAX(0,MIN(W17-X17,$B17-(E17+I17+M17+Q17+U17)))</f>
        <v>0</v>
      </c>
      <c r="Z17" s="43" t="n">
        <f aca="false">MAX(0,W17-X17-Y17)</f>
        <v>0</v>
      </c>
      <c r="AA17" s="43" t="n">
        <f aca="false">IF(AD16&gt;0.005,AD16*(1+Ordem!$K$12),0)</f>
        <v>0</v>
      </c>
      <c r="AB17" s="43" t="n">
        <f aca="false">MIN(AA17,Ordem!$L$12)</f>
        <v>0</v>
      </c>
      <c r="AC17" s="43" t="n">
        <f aca="false">MAX(0,MIN(AA17-AB17,$B17-(E17+I17+M17+Q17+U17+Y17)))</f>
        <v>0</v>
      </c>
      <c r="AD17" s="43" t="n">
        <f aca="false">MAX(0,AA17-AB17-AC17)</f>
        <v>0</v>
      </c>
      <c r="AE17" s="43" t="n">
        <f aca="false">IF(AH16&gt;0.005,AH16*(1+Ordem!$K$13),0)</f>
        <v>0</v>
      </c>
      <c r="AF17" s="43" t="n">
        <f aca="false">MIN(AE17,Ordem!$L$13)</f>
        <v>0</v>
      </c>
      <c r="AG17" s="43" t="n">
        <f aca="false">MAX(0,MIN(AE17-AF17,$B17-(E17+I17+M17+Q17+U17+Y17+AC17)))</f>
        <v>0</v>
      </c>
      <c r="AH17" s="43" t="n">
        <f aca="false">MAX(0,AE17-AF17-AG17)</f>
        <v>0</v>
      </c>
      <c r="AI17" s="43" t="n">
        <f aca="false">IF(AL16&gt;0.005,AL16*(1+Ordem!$K$14),0)</f>
        <v>0</v>
      </c>
      <c r="AJ17" s="43" t="n">
        <f aca="false">MIN(AI17,Ordem!$L$14)</f>
        <v>0</v>
      </c>
      <c r="AK17" s="43" t="n">
        <f aca="false">MAX(0,MIN(AI17-AJ17,$B17-(E17+I17+M17+Q17+U17+Y17+AC17+AG17)))</f>
        <v>0</v>
      </c>
      <c r="AL17" s="43" t="n">
        <f aca="false">MAX(0,AI17-AJ17-AK17)</f>
        <v>0</v>
      </c>
      <c r="AM17" s="43" t="n">
        <f aca="false">IF(AP16&gt;0.005,AP16*(1+Ordem!$K$15),0)</f>
        <v>0</v>
      </c>
      <c r="AN17" s="43" t="n">
        <f aca="false">MIN(AM17,Ordem!$L$15)</f>
        <v>0</v>
      </c>
      <c r="AO17" s="43" t="n">
        <f aca="false">MAX(0,MIN(AM17-AN17,$B17-(E17+I17+M17+Q17+U17+Y17+AC17+AG17+AK17)))</f>
        <v>0</v>
      </c>
      <c r="AP17" s="43" t="n">
        <f aca="false">MAX(0,AM17-AN17-AO17)</f>
        <v>0</v>
      </c>
      <c r="AQ17" s="43" t="n">
        <f aca="false">F17+J17+N17+R17+V17+Z17+AD17+AH17+AL17+AP17</f>
        <v>0</v>
      </c>
      <c r="AR17" s="43" t="n">
        <f aca="false">D17+E17+H17+I17+L17+M17+P17+Q17+T17+U17+X17+Y17+AB17+AC17+AF17+AG17+AJ17+AK17+AN17+AO17</f>
        <v>1028.37283328951</v>
      </c>
    </row>
    <row r="18" customFormat="false" ht="15" hidden="false" customHeight="false" outlineLevel="0" collapsed="false">
      <c r="A18" s="0" t="n">
        <v>14</v>
      </c>
      <c r="B18" s="43" t="n">
        <f aca="false">MAX(0,Dívidas!$C$20-(D18+H18+L18+P18+T18+X18+AB18+AF18+AJ18+AN18))</f>
        <v>1450</v>
      </c>
      <c r="C18" s="43" t="n">
        <f aca="false">IF(F17&gt;0.005,F17*(1+Ordem!$K$6),0)</f>
        <v>0</v>
      </c>
      <c r="D18" s="43" t="n">
        <f aca="false">MIN(C18,Ordem!$L$6)</f>
        <v>0</v>
      </c>
      <c r="E18" s="43" t="n">
        <f aca="false">MAX(0,MIN(C18-D18,$B18-(0)))</f>
        <v>0</v>
      </c>
      <c r="F18" s="43" t="n">
        <f aca="false">MAX(0,C18-D18-E18)</f>
        <v>0</v>
      </c>
      <c r="G18" s="43" t="n">
        <f aca="false">IF(J17&gt;0.005,J17*(1+Ordem!$K$7),0)</f>
        <v>0</v>
      </c>
      <c r="H18" s="43" t="n">
        <f aca="false">MIN(G18,Ordem!$L$7)</f>
        <v>0</v>
      </c>
      <c r="I18" s="43" t="n">
        <f aca="false">MAX(0,MIN(G18-H18,$B18-(E18)))</f>
        <v>0</v>
      </c>
      <c r="J18" s="43" t="n">
        <f aca="false">MAX(0,G18-H18-I18)</f>
        <v>0</v>
      </c>
      <c r="K18" s="43" t="n">
        <f aca="false">IF(N17&gt;0.005,N17*(1+Ordem!$K$8),0)</f>
        <v>0</v>
      </c>
      <c r="L18" s="43" t="n">
        <f aca="false">MIN(K18,Ordem!$L$8)</f>
        <v>0</v>
      </c>
      <c r="M18" s="43" t="n">
        <f aca="false">MAX(0,MIN(K18-L18,$B18-(E18+I18)))</f>
        <v>0</v>
      </c>
      <c r="N18" s="43" t="n">
        <f aca="false">MAX(0,K18-L18-M18)</f>
        <v>0</v>
      </c>
      <c r="O18" s="43" t="n">
        <f aca="false">IF(R17&gt;0.005,R17*(1+Ordem!$K$9),0)</f>
        <v>0</v>
      </c>
      <c r="P18" s="43" t="n">
        <f aca="false">MIN(O18,Ordem!$L$9)</f>
        <v>0</v>
      </c>
      <c r="Q18" s="43" t="n">
        <f aca="false">MAX(0,MIN(O18-P18,$B18-(E18+I18+M18)))</f>
        <v>0</v>
      </c>
      <c r="R18" s="43" t="n">
        <f aca="false">MAX(0,O18-P18-Q18)</f>
        <v>0</v>
      </c>
      <c r="S18" s="43" t="n">
        <f aca="false">IF(V17&gt;0.005,V17*(1+Ordem!$K$10),0)</f>
        <v>0</v>
      </c>
      <c r="T18" s="43" t="n">
        <f aca="false">MIN(S18,Ordem!$L$10)</f>
        <v>0</v>
      </c>
      <c r="U18" s="43" t="n">
        <f aca="false">MAX(0,MIN(S18-T18,$B18-(E18+I18+M18+Q18)))</f>
        <v>0</v>
      </c>
      <c r="V18" s="43" t="n">
        <f aca="false">MAX(0,S18-T18-U18)</f>
        <v>0</v>
      </c>
      <c r="W18" s="43" t="n">
        <f aca="false">IF(Z17&gt;0.005,Z17*(1+Ordem!$K$11),0)</f>
        <v>0</v>
      </c>
      <c r="X18" s="43" t="n">
        <f aca="false">MIN(W18,Ordem!$L$11)</f>
        <v>0</v>
      </c>
      <c r="Y18" s="43" t="n">
        <f aca="false">MAX(0,MIN(W18-X18,$B18-(E18+I18+M18+Q18+U18)))</f>
        <v>0</v>
      </c>
      <c r="Z18" s="43" t="n">
        <f aca="false">MAX(0,W18-X18-Y18)</f>
        <v>0</v>
      </c>
      <c r="AA18" s="43" t="n">
        <f aca="false">IF(AD17&gt;0.005,AD17*(1+Ordem!$K$12),0)</f>
        <v>0</v>
      </c>
      <c r="AB18" s="43" t="n">
        <f aca="false">MIN(AA18,Ordem!$L$12)</f>
        <v>0</v>
      </c>
      <c r="AC18" s="43" t="n">
        <f aca="false">MAX(0,MIN(AA18-AB18,$B18-(E18+I18+M18+Q18+U18+Y18)))</f>
        <v>0</v>
      </c>
      <c r="AD18" s="43" t="n">
        <f aca="false">MAX(0,AA18-AB18-AC18)</f>
        <v>0</v>
      </c>
      <c r="AE18" s="43" t="n">
        <f aca="false">IF(AH17&gt;0.005,AH17*(1+Ordem!$K$13),0)</f>
        <v>0</v>
      </c>
      <c r="AF18" s="43" t="n">
        <f aca="false">MIN(AE18,Ordem!$L$13)</f>
        <v>0</v>
      </c>
      <c r="AG18" s="43" t="n">
        <f aca="false">MAX(0,MIN(AE18-AF18,$B18-(E18+I18+M18+Q18+U18+Y18+AC18)))</f>
        <v>0</v>
      </c>
      <c r="AH18" s="43" t="n">
        <f aca="false">MAX(0,AE18-AF18-AG18)</f>
        <v>0</v>
      </c>
      <c r="AI18" s="43" t="n">
        <f aca="false">IF(AL17&gt;0.005,AL17*(1+Ordem!$K$14),0)</f>
        <v>0</v>
      </c>
      <c r="AJ18" s="43" t="n">
        <f aca="false">MIN(AI18,Ordem!$L$14)</f>
        <v>0</v>
      </c>
      <c r="AK18" s="43" t="n">
        <f aca="false">MAX(0,MIN(AI18-AJ18,$B18-(E18+I18+M18+Q18+U18+Y18+AC18+AG18)))</f>
        <v>0</v>
      </c>
      <c r="AL18" s="43" t="n">
        <f aca="false">MAX(0,AI18-AJ18-AK18)</f>
        <v>0</v>
      </c>
      <c r="AM18" s="43" t="n">
        <f aca="false">IF(AP17&gt;0.005,AP17*(1+Ordem!$K$15),0)</f>
        <v>0</v>
      </c>
      <c r="AN18" s="43" t="n">
        <f aca="false">MIN(AM18,Ordem!$L$15)</f>
        <v>0</v>
      </c>
      <c r="AO18" s="43" t="n">
        <f aca="false">MAX(0,MIN(AM18-AN18,$B18-(E18+I18+M18+Q18+U18+Y18+AC18+AG18+AK18)))</f>
        <v>0</v>
      </c>
      <c r="AP18" s="43" t="n">
        <f aca="false">MAX(0,AM18-AN18-AO18)</f>
        <v>0</v>
      </c>
      <c r="AQ18" s="43" t="n">
        <f aca="false">F18+J18+N18+R18+V18+Z18+AD18+AH18+AL18+AP18</f>
        <v>0</v>
      </c>
      <c r="AR18" s="43" t="n">
        <f aca="false">D18+E18+H18+I18+L18+M18+P18+Q18+T18+U18+X18+Y18+AB18+AC18+AF18+AG18+AJ18+AK18+AN18+AO18</f>
        <v>0</v>
      </c>
    </row>
    <row r="19" customFormat="false" ht="15" hidden="false" customHeight="false" outlineLevel="0" collapsed="false">
      <c r="A19" s="0" t="n">
        <v>15</v>
      </c>
      <c r="B19" s="43" t="n">
        <f aca="false">MAX(0,Dívidas!$C$20-(D19+H19+L19+P19+T19+X19+AB19+AF19+AJ19+AN19))</f>
        <v>1450</v>
      </c>
      <c r="C19" s="43" t="n">
        <f aca="false">IF(F18&gt;0.005,F18*(1+Ordem!$K$6),0)</f>
        <v>0</v>
      </c>
      <c r="D19" s="43" t="n">
        <f aca="false">MIN(C19,Ordem!$L$6)</f>
        <v>0</v>
      </c>
      <c r="E19" s="43" t="n">
        <f aca="false">MAX(0,MIN(C19-D19,$B19-(0)))</f>
        <v>0</v>
      </c>
      <c r="F19" s="43" t="n">
        <f aca="false">MAX(0,C19-D19-E19)</f>
        <v>0</v>
      </c>
      <c r="G19" s="43" t="n">
        <f aca="false">IF(J18&gt;0.005,J18*(1+Ordem!$K$7),0)</f>
        <v>0</v>
      </c>
      <c r="H19" s="43" t="n">
        <f aca="false">MIN(G19,Ordem!$L$7)</f>
        <v>0</v>
      </c>
      <c r="I19" s="43" t="n">
        <f aca="false">MAX(0,MIN(G19-H19,$B19-(E19)))</f>
        <v>0</v>
      </c>
      <c r="J19" s="43" t="n">
        <f aca="false">MAX(0,G19-H19-I19)</f>
        <v>0</v>
      </c>
      <c r="K19" s="43" t="n">
        <f aca="false">IF(N18&gt;0.005,N18*(1+Ordem!$K$8),0)</f>
        <v>0</v>
      </c>
      <c r="L19" s="43" t="n">
        <f aca="false">MIN(K19,Ordem!$L$8)</f>
        <v>0</v>
      </c>
      <c r="M19" s="43" t="n">
        <f aca="false">MAX(0,MIN(K19-L19,$B19-(E19+I19)))</f>
        <v>0</v>
      </c>
      <c r="N19" s="43" t="n">
        <f aca="false">MAX(0,K19-L19-M19)</f>
        <v>0</v>
      </c>
      <c r="O19" s="43" t="n">
        <f aca="false">IF(R18&gt;0.005,R18*(1+Ordem!$K$9),0)</f>
        <v>0</v>
      </c>
      <c r="P19" s="43" t="n">
        <f aca="false">MIN(O19,Ordem!$L$9)</f>
        <v>0</v>
      </c>
      <c r="Q19" s="43" t="n">
        <f aca="false">MAX(0,MIN(O19-P19,$B19-(E19+I19+M19)))</f>
        <v>0</v>
      </c>
      <c r="R19" s="43" t="n">
        <f aca="false">MAX(0,O19-P19-Q19)</f>
        <v>0</v>
      </c>
      <c r="S19" s="43" t="n">
        <f aca="false">IF(V18&gt;0.005,V18*(1+Ordem!$K$10),0)</f>
        <v>0</v>
      </c>
      <c r="T19" s="43" t="n">
        <f aca="false">MIN(S19,Ordem!$L$10)</f>
        <v>0</v>
      </c>
      <c r="U19" s="43" t="n">
        <f aca="false">MAX(0,MIN(S19-T19,$B19-(E19+I19+M19+Q19)))</f>
        <v>0</v>
      </c>
      <c r="V19" s="43" t="n">
        <f aca="false">MAX(0,S19-T19-U19)</f>
        <v>0</v>
      </c>
      <c r="W19" s="43" t="n">
        <f aca="false">IF(Z18&gt;0.005,Z18*(1+Ordem!$K$11),0)</f>
        <v>0</v>
      </c>
      <c r="X19" s="43" t="n">
        <f aca="false">MIN(W19,Ordem!$L$11)</f>
        <v>0</v>
      </c>
      <c r="Y19" s="43" t="n">
        <f aca="false">MAX(0,MIN(W19-X19,$B19-(E19+I19+M19+Q19+U19)))</f>
        <v>0</v>
      </c>
      <c r="Z19" s="43" t="n">
        <f aca="false">MAX(0,W19-X19-Y19)</f>
        <v>0</v>
      </c>
      <c r="AA19" s="43" t="n">
        <f aca="false">IF(AD18&gt;0.005,AD18*(1+Ordem!$K$12),0)</f>
        <v>0</v>
      </c>
      <c r="AB19" s="43" t="n">
        <f aca="false">MIN(AA19,Ordem!$L$12)</f>
        <v>0</v>
      </c>
      <c r="AC19" s="43" t="n">
        <f aca="false">MAX(0,MIN(AA19-AB19,$B19-(E19+I19+M19+Q19+U19+Y19)))</f>
        <v>0</v>
      </c>
      <c r="AD19" s="43" t="n">
        <f aca="false">MAX(0,AA19-AB19-AC19)</f>
        <v>0</v>
      </c>
      <c r="AE19" s="43" t="n">
        <f aca="false">IF(AH18&gt;0.005,AH18*(1+Ordem!$K$13),0)</f>
        <v>0</v>
      </c>
      <c r="AF19" s="43" t="n">
        <f aca="false">MIN(AE19,Ordem!$L$13)</f>
        <v>0</v>
      </c>
      <c r="AG19" s="43" t="n">
        <f aca="false">MAX(0,MIN(AE19-AF19,$B19-(E19+I19+M19+Q19+U19+Y19+AC19)))</f>
        <v>0</v>
      </c>
      <c r="AH19" s="43" t="n">
        <f aca="false">MAX(0,AE19-AF19-AG19)</f>
        <v>0</v>
      </c>
      <c r="AI19" s="43" t="n">
        <f aca="false">IF(AL18&gt;0.005,AL18*(1+Ordem!$K$14),0)</f>
        <v>0</v>
      </c>
      <c r="AJ19" s="43" t="n">
        <f aca="false">MIN(AI19,Ordem!$L$14)</f>
        <v>0</v>
      </c>
      <c r="AK19" s="43" t="n">
        <f aca="false">MAX(0,MIN(AI19-AJ19,$B19-(E19+I19+M19+Q19+U19+Y19+AC19+AG19)))</f>
        <v>0</v>
      </c>
      <c r="AL19" s="43" t="n">
        <f aca="false">MAX(0,AI19-AJ19-AK19)</f>
        <v>0</v>
      </c>
      <c r="AM19" s="43" t="n">
        <f aca="false">IF(AP18&gt;0.005,AP18*(1+Ordem!$K$15),0)</f>
        <v>0</v>
      </c>
      <c r="AN19" s="43" t="n">
        <f aca="false">MIN(AM19,Ordem!$L$15)</f>
        <v>0</v>
      </c>
      <c r="AO19" s="43" t="n">
        <f aca="false">MAX(0,MIN(AM19-AN19,$B19-(E19+I19+M19+Q19+U19+Y19+AC19+AG19+AK19)))</f>
        <v>0</v>
      </c>
      <c r="AP19" s="43" t="n">
        <f aca="false">MAX(0,AM19-AN19-AO19)</f>
        <v>0</v>
      </c>
      <c r="AQ19" s="43" t="n">
        <f aca="false">F19+J19+N19+R19+V19+Z19+AD19+AH19+AL19+AP19</f>
        <v>0</v>
      </c>
      <c r="AR19" s="43" t="n">
        <f aca="false">D19+E19+H19+I19+L19+M19+P19+Q19+T19+U19+X19+Y19+AB19+AC19+AF19+AG19+AJ19+AK19+AN19+AO19</f>
        <v>0</v>
      </c>
    </row>
    <row r="20" customFormat="false" ht="15" hidden="false" customHeight="false" outlineLevel="0" collapsed="false">
      <c r="A20" s="0" t="n">
        <v>16</v>
      </c>
      <c r="B20" s="43" t="n">
        <f aca="false">MAX(0,Dívidas!$C$20-(D20+H20+L20+P20+T20+X20+AB20+AF20+AJ20+AN20))</f>
        <v>1450</v>
      </c>
      <c r="C20" s="43" t="n">
        <f aca="false">IF(F19&gt;0.005,F19*(1+Ordem!$K$6),0)</f>
        <v>0</v>
      </c>
      <c r="D20" s="43" t="n">
        <f aca="false">MIN(C20,Ordem!$L$6)</f>
        <v>0</v>
      </c>
      <c r="E20" s="43" t="n">
        <f aca="false">MAX(0,MIN(C20-D20,$B20-(0)))</f>
        <v>0</v>
      </c>
      <c r="F20" s="43" t="n">
        <f aca="false">MAX(0,C20-D20-E20)</f>
        <v>0</v>
      </c>
      <c r="G20" s="43" t="n">
        <f aca="false">IF(J19&gt;0.005,J19*(1+Ordem!$K$7),0)</f>
        <v>0</v>
      </c>
      <c r="H20" s="43" t="n">
        <f aca="false">MIN(G20,Ordem!$L$7)</f>
        <v>0</v>
      </c>
      <c r="I20" s="43" t="n">
        <f aca="false">MAX(0,MIN(G20-H20,$B20-(E20)))</f>
        <v>0</v>
      </c>
      <c r="J20" s="43" t="n">
        <f aca="false">MAX(0,G20-H20-I20)</f>
        <v>0</v>
      </c>
      <c r="K20" s="43" t="n">
        <f aca="false">IF(N19&gt;0.005,N19*(1+Ordem!$K$8),0)</f>
        <v>0</v>
      </c>
      <c r="L20" s="43" t="n">
        <f aca="false">MIN(K20,Ordem!$L$8)</f>
        <v>0</v>
      </c>
      <c r="M20" s="43" t="n">
        <f aca="false">MAX(0,MIN(K20-L20,$B20-(E20+I20)))</f>
        <v>0</v>
      </c>
      <c r="N20" s="43" t="n">
        <f aca="false">MAX(0,K20-L20-M20)</f>
        <v>0</v>
      </c>
      <c r="O20" s="43" t="n">
        <f aca="false">IF(R19&gt;0.005,R19*(1+Ordem!$K$9),0)</f>
        <v>0</v>
      </c>
      <c r="P20" s="43" t="n">
        <f aca="false">MIN(O20,Ordem!$L$9)</f>
        <v>0</v>
      </c>
      <c r="Q20" s="43" t="n">
        <f aca="false">MAX(0,MIN(O20-P20,$B20-(E20+I20+M20)))</f>
        <v>0</v>
      </c>
      <c r="R20" s="43" t="n">
        <f aca="false">MAX(0,O20-P20-Q20)</f>
        <v>0</v>
      </c>
      <c r="S20" s="43" t="n">
        <f aca="false">IF(V19&gt;0.005,V19*(1+Ordem!$K$10),0)</f>
        <v>0</v>
      </c>
      <c r="T20" s="43" t="n">
        <f aca="false">MIN(S20,Ordem!$L$10)</f>
        <v>0</v>
      </c>
      <c r="U20" s="43" t="n">
        <f aca="false">MAX(0,MIN(S20-T20,$B20-(E20+I20+M20+Q20)))</f>
        <v>0</v>
      </c>
      <c r="V20" s="43" t="n">
        <f aca="false">MAX(0,S20-T20-U20)</f>
        <v>0</v>
      </c>
      <c r="W20" s="43" t="n">
        <f aca="false">IF(Z19&gt;0.005,Z19*(1+Ordem!$K$11),0)</f>
        <v>0</v>
      </c>
      <c r="X20" s="43" t="n">
        <f aca="false">MIN(W20,Ordem!$L$11)</f>
        <v>0</v>
      </c>
      <c r="Y20" s="43" t="n">
        <f aca="false">MAX(0,MIN(W20-X20,$B20-(E20+I20+M20+Q20+U20)))</f>
        <v>0</v>
      </c>
      <c r="Z20" s="43" t="n">
        <f aca="false">MAX(0,W20-X20-Y20)</f>
        <v>0</v>
      </c>
      <c r="AA20" s="43" t="n">
        <f aca="false">IF(AD19&gt;0.005,AD19*(1+Ordem!$K$12),0)</f>
        <v>0</v>
      </c>
      <c r="AB20" s="43" t="n">
        <f aca="false">MIN(AA20,Ordem!$L$12)</f>
        <v>0</v>
      </c>
      <c r="AC20" s="43" t="n">
        <f aca="false">MAX(0,MIN(AA20-AB20,$B20-(E20+I20+M20+Q20+U20+Y20)))</f>
        <v>0</v>
      </c>
      <c r="AD20" s="43" t="n">
        <f aca="false">MAX(0,AA20-AB20-AC20)</f>
        <v>0</v>
      </c>
      <c r="AE20" s="43" t="n">
        <f aca="false">IF(AH19&gt;0.005,AH19*(1+Ordem!$K$13),0)</f>
        <v>0</v>
      </c>
      <c r="AF20" s="43" t="n">
        <f aca="false">MIN(AE20,Ordem!$L$13)</f>
        <v>0</v>
      </c>
      <c r="AG20" s="43" t="n">
        <f aca="false">MAX(0,MIN(AE20-AF20,$B20-(E20+I20+M20+Q20+U20+Y20+AC20)))</f>
        <v>0</v>
      </c>
      <c r="AH20" s="43" t="n">
        <f aca="false">MAX(0,AE20-AF20-AG20)</f>
        <v>0</v>
      </c>
      <c r="AI20" s="43" t="n">
        <f aca="false">IF(AL19&gt;0.005,AL19*(1+Ordem!$K$14),0)</f>
        <v>0</v>
      </c>
      <c r="AJ20" s="43" t="n">
        <f aca="false">MIN(AI20,Ordem!$L$14)</f>
        <v>0</v>
      </c>
      <c r="AK20" s="43" t="n">
        <f aca="false">MAX(0,MIN(AI20-AJ20,$B20-(E20+I20+M20+Q20+U20+Y20+AC20+AG20)))</f>
        <v>0</v>
      </c>
      <c r="AL20" s="43" t="n">
        <f aca="false">MAX(0,AI20-AJ20-AK20)</f>
        <v>0</v>
      </c>
      <c r="AM20" s="43" t="n">
        <f aca="false">IF(AP19&gt;0.005,AP19*(1+Ordem!$K$15),0)</f>
        <v>0</v>
      </c>
      <c r="AN20" s="43" t="n">
        <f aca="false">MIN(AM20,Ordem!$L$15)</f>
        <v>0</v>
      </c>
      <c r="AO20" s="43" t="n">
        <f aca="false">MAX(0,MIN(AM20-AN20,$B20-(E20+I20+M20+Q20+U20+Y20+AC20+AG20+AK20)))</f>
        <v>0</v>
      </c>
      <c r="AP20" s="43" t="n">
        <f aca="false">MAX(0,AM20-AN20-AO20)</f>
        <v>0</v>
      </c>
      <c r="AQ20" s="43" t="n">
        <f aca="false">F20+J20+N20+R20+V20+Z20+AD20+AH20+AL20+AP20</f>
        <v>0</v>
      </c>
      <c r="AR20" s="43" t="n">
        <f aca="false">D20+E20+H20+I20+L20+M20+P20+Q20+T20+U20+X20+Y20+AB20+AC20+AF20+AG20+AJ20+AK20+AN20+AO20</f>
        <v>0</v>
      </c>
    </row>
    <row r="21" customFormat="false" ht="15" hidden="false" customHeight="false" outlineLevel="0" collapsed="false">
      <c r="A21" s="0" t="n">
        <v>17</v>
      </c>
      <c r="B21" s="43" t="n">
        <f aca="false">MAX(0,Dívidas!$C$20-(D21+H21+L21+P21+T21+X21+AB21+AF21+AJ21+AN21))</f>
        <v>1450</v>
      </c>
      <c r="C21" s="43" t="n">
        <f aca="false">IF(F20&gt;0.005,F20*(1+Ordem!$K$6),0)</f>
        <v>0</v>
      </c>
      <c r="D21" s="43" t="n">
        <f aca="false">MIN(C21,Ordem!$L$6)</f>
        <v>0</v>
      </c>
      <c r="E21" s="43" t="n">
        <f aca="false">MAX(0,MIN(C21-D21,$B21-(0)))</f>
        <v>0</v>
      </c>
      <c r="F21" s="43" t="n">
        <f aca="false">MAX(0,C21-D21-E21)</f>
        <v>0</v>
      </c>
      <c r="G21" s="43" t="n">
        <f aca="false">IF(J20&gt;0.005,J20*(1+Ordem!$K$7),0)</f>
        <v>0</v>
      </c>
      <c r="H21" s="43" t="n">
        <f aca="false">MIN(G21,Ordem!$L$7)</f>
        <v>0</v>
      </c>
      <c r="I21" s="43" t="n">
        <f aca="false">MAX(0,MIN(G21-H21,$B21-(E21)))</f>
        <v>0</v>
      </c>
      <c r="J21" s="43" t="n">
        <f aca="false">MAX(0,G21-H21-I21)</f>
        <v>0</v>
      </c>
      <c r="K21" s="43" t="n">
        <f aca="false">IF(N20&gt;0.005,N20*(1+Ordem!$K$8),0)</f>
        <v>0</v>
      </c>
      <c r="L21" s="43" t="n">
        <f aca="false">MIN(K21,Ordem!$L$8)</f>
        <v>0</v>
      </c>
      <c r="M21" s="43" t="n">
        <f aca="false">MAX(0,MIN(K21-L21,$B21-(E21+I21)))</f>
        <v>0</v>
      </c>
      <c r="N21" s="43" t="n">
        <f aca="false">MAX(0,K21-L21-M21)</f>
        <v>0</v>
      </c>
      <c r="O21" s="43" t="n">
        <f aca="false">IF(R20&gt;0.005,R20*(1+Ordem!$K$9),0)</f>
        <v>0</v>
      </c>
      <c r="P21" s="43" t="n">
        <f aca="false">MIN(O21,Ordem!$L$9)</f>
        <v>0</v>
      </c>
      <c r="Q21" s="43" t="n">
        <f aca="false">MAX(0,MIN(O21-P21,$B21-(E21+I21+M21)))</f>
        <v>0</v>
      </c>
      <c r="R21" s="43" t="n">
        <f aca="false">MAX(0,O21-P21-Q21)</f>
        <v>0</v>
      </c>
      <c r="S21" s="43" t="n">
        <f aca="false">IF(V20&gt;0.005,V20*(1+Ordem!$K$10),0)</f>
        <v>0</v>
      </c>
      <c r="T21" s="43" t="n">
        <f aca="false">MIN(S21,Ordem!$L$10)</f>
        <v>0</v>
      </c>
      <c r="U21" s="43" t="n">
        <f aca="false">MAX(0,MIN(S21-T21,$B21-(E21+I21+M21+Q21)))</f>
        <v>0</v>
      </c>
      <c r="V21" s="43" t="n">
        <f aca="false">MAX(0,S21-T21-U21)</f>
        <v>0</v>
      </c>
      <c r="W21" s="43" t="n">
        <f aca="false">IF(Z20&gt;0.005,Z20*(1+Ordem!$K$11),0)</f>
        <v>0</v>
      </c>
      <c r="X21" s="43" t="n">
        <f aca="false">MIN(W21,Ordem!$L$11)</f>
        <v>0</v>
      </c>
      <c r="Y21" s="43" t="n">
        <f aca="false">MAX(0,MIN(W21-X21,$B21-(E21+I21+M21+Q21+U21)))</f>
        <v>0</v>
      </c>
      <c r="Z21" s="43" t="n">
        <f aca="false">MAX(0,W21-X21-Y21)</f>
        <v>0</v>
      </c>
      <c r="AA21" s="43" t="n">
        <f aca="false">IF(AD20&gt;0.005,AD20*(1+Ordem!$K$12),0)</f>
        <v>0</v>
      </c>
      <c r="AB21" s="43" t="n">
        <f aca="false">MIN(AA21,Ordem!$L$12)</f>
        <v>0</v>
      </c>
      <c r="AC21" s="43" t="n">
        <f aca="false">MAX(0,MIN(AA21-AB21,$B21-(E21+I21+M21+Q21+U21+Y21)))</f>
        <v>0</v>
      </c>
      <c r="AD21" s="43" t="n">
        <f aca="false">MAX(0,AA21-AB21-AC21)</f>
        <v>0</v>
      </c>
      <c r="AE21" s="43" t="n">
        <f aca="false">IF(AH20&gt;0.005,AH20*(1+Ordem!$K$13),0)</f>
        <v>0</v>
      </c>
      <c r="AF21" s="43" t="n">
        <f aca="false">MIN(AE21,Ordem!$L$13)</f>
        <v>0</v>
      </c>
      <c r="AG21" s="43" t="n">
        <f aca="false">MAX(0,MIN(AE21-AF21,$B21-(E21+I21+M21+Q21+U21+Y21+AC21)))</f>
        <v>0</v>
      </c>
      <c r="AH21" s="43" t="n">
        <f aca="false">MAX(0,AE21-AF21-AG21)</f>
        <v>0</v>
      </c>
      <c r="AI21" s="43" t="n">
        <f aca="false">IF(AL20&gt;0.005,AL20*(1+Ordem!$K$14),0)</f>
        <v>0</v>
      </c>
      <c r="AJ21" s="43" t="n">
        <f aca="false">MIN(AI21,Ordem!$L$14)</f>
        <v>0</v>
      </c>
      <c r="AK21" s="43" t="n">
        <f aca="false">MAX(0,MIN(AI21-AJ21,$B21-(E21+I21+M21+Q21+U21+Y21+AC21+AG21)))</f>
        <v>0</v>
      </c>
      <c r="AL21" s="43" t="n">
        <f aca="false">MAX(0,AI21-AJ21-AK21)</f>
        <v>0</v>
      </c>
      <c r="AM21" s="43" t="n">
        <f aca="false">IF(AP20&gt;0.005,AP20*(1+Ordem!$K$15),0)</f>
        <v>0</v>
      </c>
      <c r="AN21" s="43" t="n">
        <f aca="false">MIN(AM21,Ordem!$L$15)</f>
        <v>0</v>
      </c>
      <c r="AO21" s="43" t="n">
        <f aca="false">MAX(0,MIN(AM21-AN21,$B21-(E21+I21+M21+Q21+U21+Y21+AC21+AG21+AK21)))</f>
        <v>0</v>
      </c>
      <c r="AP21" s="43" t="n">
        <f aca="false">MAX(0,AM21-AN21-AO21)</f>
        <v>0</v>
      </c>
      <c r="AQ21" s="43" t="n">
        <f aca="false">F21+J21+N21+R21+V21+Z21+AD21+AH21+AL21+AP21</f>
        <v>0</v>
      </c>
      <c r="AR21" s="43" t="n">
        <f aca="false">D21+E21+H21+I21+L21+M21+P21+Q21+T21+U21+X21+Y21+AB21+AC21+AF21+AG21+AJ21+AK21+AN21+AO21</f>
        <v>0</v>
      </c>
    </row>
    <row r="22" customFormat="false" ht="15" hidden="false" customHeight="false" outlineLevel="0" collapsed="false">
      <c r="A22" s="0" t="n">
        <v>18</v>
      </c>
      <c r="B22" s="43" t="n">
        <f aca="false">MAX(0,Dívidas!$C$20-(D22+H22+L22+P22+T22+X22+AB22+AF22+AJ22+AN22))</f>
        <v>1450</v>
      </c>
      <c r="C22" s="43" t="n">
        <f aca="false">IF(F21&gt;0.005,F21*(1+Ordem!$K$6),0)</f>
        <v>0</v>
      </c>
      <c r="D22" s="43" t="n">
        <f aca="false">MIN(C22,Ordem!$L$6)</f>
        <v>0</v>
      </c>
      <c r="E22" s="43" t="n">
        <f aca="false">MAX(0,MIN(C22-D22,$B22-(0)))</f>
        <v>0</v>
      </c>
      <c r="F22" s="43" t="n">
        <f aca="false">MAX(0,C22-D22-E22)</f>
        <v>0</v>
      </c>
      <c r="G22" s="43" t="n">
        <f aca="false">IF(J21&gt;0.005,J21*(1+Ordem!$K$7),0)</f>
        <v>0</v>
      </c>
      <c r="H22" s="43" t="n">
        <f aca="false">MIN(G22,Ordem!$L$7)</f>
        <v>0</v>
      </c>
      <c r="I22" s="43" t="n">
        <f aca="false">MAX(0,MIN(G22-H22,$B22-(E22)))</f>
        <v>0</v>
      </c>
      <c r="J22" s="43" t="n">
        <f aca="false">MAX(0,G22-H22-I22)</f>
        <v>0</v>
      </c>
      <c r="K22" s="43" t="n">
        <f aca="false">IF(N21&gt;0.005,N21*(1+Ordem!$K$8),0)</f>
        <v>0</v>
      </c>
      <c r="L22" s="43" t="n">
        <f aca="false">MIN(K22,Ordem!$L$8)</f>
        <v>0</v>
      </c>
      <c r="M22" s="43" t="n">
        <f aca="false">MAX(0,MIN(K22-L22,$B22-(E22+I22)))</f>
        <v>0</v>
      </c>
      <c r="N22" s="43" t="n">
        <f aca="false">MAX(0,K22-L22-M22)</f>
        <v>0</v>
      </c>
      <c r="O22" s="43" t="n">
        <f aca="false">IF(R21&gt;0.005,R21*(1+Ordem!$K$9),0)</f>
        <v>0</v>
      </c>
      <c r="P22" s="43" t="n">
        <f aca="false">MIN(O22,Ordem!$L$9)</f>
        <v>0</v>
      </c>
      <c r="Q22" s="43" t="n">
        <f aca="false">MAX(0,MIN(O22-P22,$B22-(E22+I22+M22)))</f>
        <v>0</v>
      </c>
      <c r="R22" s="43" t="n">
        <f aca="false">MAX(0,O22-P22-Q22)</f>
        <v>0</v>
      </c>
      <c r="S22" s="43" t="n">
        <f aca="false">IF(V21&gt;0.005,V21*(1+Ordem!$K$10),0)</f>
        <v>0</v>
      </c>
      <c r="T22" s="43" t="n">
        <f aca="false">MIN(S22,Ordem!$L$10)</f>
        <v>0</v>
      </c>
      <c r="U22" s="43" t="n">
        <f aca="false">MAX(0,MIN(S22-T22,$B22-(E22+I22+M22+Q22)))</f>
        <v>0</v>
      </c>
      <c r="V22" s="43" t="n">
        <f aca="false">MAX(0,S22-T22-U22)</f>
        <v>0</v>
      </c>
      <c r="W22" s="43" t="n">
        <f aca="false">IF(Z21&gt;0.005,Z21*(1+Ordem!$K$11),0)</f>
        <v>0</v>
      </c>
      <c r="X22" s="43" t="n">
        <f aca="false">MIN(W22,Ordem!$L$11)</f>
        <v>0</v>
      </c>
      <c r="Y22" s="43" t="n">
        <f aca="false">MAX(0,MIN(W22-X22,$B22-(E22+I22+M22+Q22+U22)))</f>
        <v>0</v>
      </c>
      <c r="Z22" s="43" t="n">
        <f aca="false">MAX(0,W22-X22-Y22)</f>
        <v>0</v>
      </c>
      <c r="AA22" s="43" t="n">
        <f aca="false">IF(AD21&gt;0.005,AD21*(1+Ordem!$K$12),0)</f>
        <v>0</v>
      </c>
      <c r="AB22" s="43" t="n">
        <f aca="false">MIN(AA22,Ordem!$L$12)</f>
        <v>0</v>
      </c>
      <c r="AC22" s="43" t="n">
        <f aca="false">MAX(0,MIN(AA22-AB22,$B22-(E22+I22+M22+Q22+U22+Y22)))</f>
        <v>0</v>
      </c>
      <c r="AD22" s="43" t="n">
        <f aca="false">MAX(0,AA22-AB22-AC22)</f>
        <v>0</v>
      </c>
      <c r="AE22" s="43" t="n">
        <f aca="false">IF(AH21&gt;0.005,AH21*(1+Ordem!$K$13),0)</f>
        <v>0</v>
      </c>
      <c r="AF22" s="43" t="n">
        <f aca="false">MIN(AE22,Ordem!$L$13)</f>
        <v>0</v>
      </c>
      <c r="AG22" s="43" t="n">
        <f aca="false">MAX(0,MIN(AE22-AF22,$B22-(E22+I22+M22+Q22+U22+Y22+AC22)))</f>
        <v>0</v>
      </c>
      <c r="AH22" s="43" t="n">
        <f aca="false">MAX(0,AE22-AF22-AG22)</f>
        <v>0</v>
      </c>
      <c r="AI22" s="43" t="n">
        <f aca="false">IF(AL21&gt;0.005,AL21*(1+Ordem!$K$14),0)</f>
        <v>0</v>
      </c>
      <c r="AJ22" s="43" t="n">
        <f aca="false">MIN(AI22,Ordem!$L$14)</f>
        <v>0</v>
      </c>
      <c r="AK22" s="43" t="n">
        <f aca="false">MAX(0,MIN(AI22-AJ22,$B22-(E22+I22+M22+Q22+U22+Y22+AC22+AG22)))</f>
        <v>0</v>
      </c>
      <c r="AL22" s="43" t="n">
        <f aca="false">MAX(0,AI22-AJ22-AK22)</f>
        <v>0</v>
      </c>
      <c r="AM22" s="43" t="n">
        <f aca="false">IF(AP21&gt;0.005,AP21*(1+Ordem!$K$15),0)</f>
        <v>0</v>
      </c>
      <c r="AN22" s="43" t="n">
        <f aca="false">MIN(AM22,Ordem!$L$15)</f>
        <v>0</v>
      </c>
      <c r="AO22" s="43" t="n">
        <f aca="false">MAX(0,MIN(AM22-AN22,$B22-(E22+I22+M22+Q22+U22+Y22+AC22+AG22+AK22)))</f>
        <v>0</v>
      </c>
      <c r="AP22" s="43" t="n">
        <f aca="false">MAX(0,AM22-AN22-AO22)</f>
        <v>0</v>
      </c>
      <c r="AQ22" s="43" t="n">
        <f aca="false">F22+J22+N22+R22+V22+Z22+AD22+AH22+AL22+AP22</f>
        <v>0</v>
      </c>
      <c r="AR22" s="43" t="n">
        <f aca="false">D22+E22+H22+I22+L22+M22+P22+Q22+T22+U22+X22+Y22+AB22+AC22+AF22+AG22+AJ22+AK22+AN22+AO22</f>
        <v>0</v>
      </c>
    </row>
    <row r="23" customFormat="false" ht="15" hidden="false" customHeight="false" outlineLevel="0" collapsed="false">
      <c r="A23" s="0" t="n">
        <v>19</v>
      </c>
      <c r="B23" s="43" t="n">
        <f aca="false">MAX(0,Dívidas!$C$20-(D23+H23+L23+P23+T23+X23+AB23+AF23+AJ23+AN23))</f>
        <v>1450</v>
      </c>
      <c r="C23" s="43" t="n">
        <f aca="false">IF(F22&gt;0.005,F22*(1+Ordem!$K$6),0)</f>
        <v>0</v>
      </c>
      <c r="D23" s="43" t="n">
        <f aca="false">MIN(C23,Ordem!$L$6)</f>
        <v>0</v>
      </c>
      <c r="E23" s="43" t="n">
        <f aca="false">MAX(0,MIN(C23-D23,$B23-(0)))</f>
        <v>0</v>
      </c>
      <c r="F23" s="43" t="n">
        <f aca="false">MAX(0,C23-D23-E23)</f>
        <v>0</v>
      </c>
      <c r="G23" s="43" t="n">
        <f aca="false">IF(J22&gt;0.005,J22*(1+Ordem!$K$7),0)</f>
        <v>0</v>
      </c>
      <c r="H23" s="43" t="n">
        <f aca="false">MIN(G23,Ordem!$L$7)</f>
        <v>0</v>
      </c>
      <c r="I23" s="43" t="n">
        <f aca="false">MAX(0,MIN(G23-H23,$B23-(E23)))</f>
        <v>0</v>
      </c>
      <c r="J23" s="43" t="n">
        <f aca="false">MAX(0,G23-H23-I23)</f>
        <v>0</v>
      </c>
      <c r="K23" s="43" t="n">
        <f aca="false">IF(N22&gt;0.005,N22*(1+Ordem!$K$8),0)</f>
        <v>0</v>
      </c>
      <c r="L23" s="43" t="n">
        <f aca="false">MIN(K23,Ordem!$L$8)</f>
        <v>0</v>
      </c>
      <c r="M23" s="43" t="n">
        <f aca="false">MAX(0,MIN(K23-L23,$B23-(E23+I23)))</f>
        <v>0</v>
      </c>
      <c r="N23" s="43" t="n">
        <f aca="false">MAX(0,K23-L23-M23)</f>
        <v>0</v>
      </c>
      <c r="O23" s="43" t="n">
        <f aca="false">IF(R22&gt;0.005,R22*(1+Ordem!$K$9),0)</f>
        <v>0</v>
      </c>
      <c r="P23" s="43" t="n">
        <f aca="false">MIN(O23,Ordem!$L$9)</f>
        <v>0</v>
      </c>
      <c r="Q23" s="43" t="n">
        <f aca="false">MAX(0,MIN(O23-P23,$B23-(E23+I23+M23)))</f>
        <v>0</v>
      </c>
      <c r="R23" s="43" t="n">
        <f aca="false">MAX(0,O23-P23-Q23)</f>
        <v>0</v>
      </c>
      <c r="S23" s="43" t="n">
        <f aca="false">IF(V22&gt;0.005,V22*(1+Ordem!$K$10),0)</f>
        <v>0</v>
      </c>
      <c r="T23" s="43" t="n">
        <f aca="false">MIN(S23,Ordem!$L$10)</f>
        <v>0</v>
      </c>
      <c r="U23" s="43" t="n">
        <f aca="false">MAX(0,MIN(S23-T23,$B23-(E23+I23+M23+Q23)))</f>
        <v>0</v>
      </c>
      <c r="V23" s="43" t="n">
        <f aca="false">MAX(0,S23-T23-U23)</f>
        <v>0</v>
      </c>
      <c r="W23" s="43" t="n">
        <f aca="false">IF(Z22&gt;0.005,Z22*(1+Ordem!$K$11),0)</f>
        <v>0</v>
      </c>
      <c r="X23" s="43" t="n">
        <f aca="false">MIN(W23,Ordem!$L$11)</f>
        <v>0</v>
      </c>
      <c r="Y23" s="43" t="n">
        <f aca="false">MAX(0,MIN(W23-X23,$B23-(E23+I23+M23+Q23+U23)))</f>
        <v>0</v>
      </c>
      <c r="Z23" s="43" t="n">
        <f aca="false">MAX(0,W23-X23-Y23)</f>
        <v>0</v>
      </c>
      <c r="AA23" s="43" t="n">
        <f aca="false">IF(AD22&gt;0.005,AD22*(1+Ordem!$K$12),0)</f>
        <v>0</v>
      </c>
      <c r="AB23" s="43" t="n">
        <f aca="false">MIN(AA23,Ordem!$L$12)</f>
        <v>0</v>
      </c>
      <c r="AC23" s="43" t="n">
        <f aca="false">MAX(0,MIN(AA23-AB23,$B23-(E23+I23+M23+Q23+U23+Y23)))</f>
        <v>0</v>
      </c>
      <c r="AD23" s="43" t="n">
        <f aca="false">MAX(0,AA23-AB23-AC23)</f>
        <v>0</v>
      </c>
      <c r="AE23" s="43" t="n">
        <f aca="false">IF(AH22&gt;0.005,AH22*(1+Ordem!$K$13),0)</f>
        <v>0</v>
      </c>
      <c r="AF23" s="43" t="n">
        <f aca="false">MIN(AE23,Ordem!$L$13)</f>
        <v>0</v>
      </c>
      <c r="AG23" s="43" t="n">
        <f aca="false">MAX(0,MIN(AE23-AF23,$B23-(E23+I23+M23+Q23+U23+Y23+AC23)))</f>
        <v>0</v>
      </c>
      <c r="AH23" s="43" t="n">
        <f aca="false">MAX(0,AE23-AF23-AG23)</f>
        <v>0</v>
      </c>
      <c r="AI23" s="43" t="n">
        <f aca="false">IF(AL22&gt;0.005,AL22*(1+Ordem!$K$14),0)</f>
        <v>0</v>
      </c>
      <c r="AJ23" s="43" t="n">
        <f aca="false">MIN(AI23,Ordem!$L$14)</f>
        <v>0</v>
      </c>
      <c r="AK23" s="43" t="n">
        <f aca="false">MAX(0,MIN(AI23-AJ23,$B23-(E23+I23+M23+Q23+U23+Y23+AC23+AG23)))</f>
        <v>0</v>
      </c>
      <c r="AL23" s="43" t="n">
        <f aca="false">MAX(0,AI23-AJ23-AK23)</f>
        <v>0</v>
      </c>
      <c r="AM23" s="43" t="n">
        <f aca="false">IF(AP22&gt;0.005,AP22*(1+Ordem!$K$15),0)</f>
        <v>0</v>
      </c>
      <c r="AN23" s="43" t="n">
        <f aca="false">MIN(AM23,Ordem!$L$15)</f>
        <v>0</v>
      </c>
      <c r="AO23" s="43" t="n">
        <f aca="false">MAX(0,MIN(AM23-AN23,$B23-(E23+I23+M23+Q23+U23+Y23+AC23+AG23+AK23)))</f>
        <v>0</v>
      </c>
      <c r="AP23" s="43" t="n">
        <f aca="false">MAX(0,AM23-AN23-AO23)</f>
        <v>0</v>
      </c>
      <c r="AQ23" s="43" t="n">
        <f aca="false">F23+J23+N23+R23+V23+Z23+AD23+AH23+AL23+AP23</f>
        <v>0</v>
      </c>
      <c r="AR23" s="43" t="n">
        <f aca="false">D23+E23+H23+I23+L23+M23+P23+Q23+T23+U23+X23+Y23+AB23+AC23+AF23+AG23+AJ23+AK23+AN23+AO23</f>
        <v>0</v>
      </c>
    </row>
    <row r="24" customFormat="false" ht="15" hidden="false" customHeight="false" outlineLevel="0" collapsed="false">
      <c r="A24" s="0" t="n">
        <v>20</v>
      </c>
      <c r="B24" s="43" t="n">
        <f aca="false">MAX(0,Dívidas!$C$20-(D24+H24+L24+P24+T24+X24+AB24+AF24+AJ24+AN24))</f>
        <v>1450</v>
      </c>
      <c r="C24" s="43" t="n">
        <f aca="false">IF(F23&gt;0.005,F23*(1+Ordem!$K$6),0)</f>
        <v>0</v>
      </c>
      <c r="D24" s="43" t="n">
        <f aca="false">MIN(C24,Ordem!$L$6)</f>
        <v>0</v>
      </c>
      <c r="E24" s="43" t="n">
        <f aca="false">MAX(0,MIN(C24-D24,$B24-(0)))</f>
        <v>0</v>
      </c>
      <c r="F24" s="43" t="n">
        <f aca="false">MAX(0,C24-D24-E24)</f>
        <v>0</v>
      </c>
      <c r="G24" s="43" t="n">
        <f aca="false">IF(J23&gt;0.005,J23*(1+Ordem!$K$7),0)</f>
        <v>0</v>
      </c>
      <c r="H24" s="43" t="n">
        <f aca="false">MIN(G24,Ordem!$L$7)</f>
        <v>0</v>
      </c>
      <c r="I24" s="43" t="n">
        <f aca="false">MAX(0,MIN(G24-H24,$B24-(E24)))</f>
        <v>0</v>
      </c>
      <c r="J24" s="43" t="n">
        <f aca="false">MAX(0,G24-H24-I24)</f>
        <v>0</v>
      </c>
      <c r="K24" s="43" t="n">
        <f aca="false">IF(N23&gt;0.005,N23*(1+Ordem!$K$8),0)</f>
        <v>0</v>
      </c>
      <c r="L24" s="43" t="n">
        <f aca="false">MIN(K24,Ordem!$L$8)</f>
        <v>0</v>
      </c>
      <c r="M24" s="43" t="n">
        <f aca="false">MAX(0,MIN(K24-L24,$B24-(E24+I24)))</f>
        <v>0</v>
      </c>
      <c r="N24" s="43" t="n">
        <f aca="false">MAX(0,K24-L24-M24)</f>
        <v>0</v>
      </c>
      <c r="O24" s="43" t="n">
        <f aca="false">IF(R23&gt;0.005,R23*(1+Ordem!$K$9),0)</f>
        <v>0</v>
      </c>
      <c r="P24" s="43" t="n">
        <f aca="false">MIN(O24,Ordem!$L$9)</f>
        <v>0</v>
      </c>
      <c r="Q24" s="43" t="n">
        <f aca="false">MAX(0,MIN(O24-P24,$B24-(E24+I24+M24)))</f>
        <v>0</v>
      </c>
      <c r="R24" s="43" t="n">
        <f aca="false">MAX(0,O24-P24-Q24)</f>
        <v>0</v>
      </c>
      <c r="S24" s="43" t="n">
        <f aca="false">IF(V23&gt;0.005,V23*(1+Ordem!$K$10),0)</f>
        <v>0</v>
      </c>
      <c r="T24" s="43" t="n">
        <f aca="false">MIN(S24,Ordem!$L$10)</f>
        <v>0</v>
      </c>
      <c r="U24" s="43" t="n">
        <f aca="false">MAX(0,MIN(S24-T24,$B24-(E24+I24+M24+Q24)))</f>
        <v>0</v>
      </c>
      <c r="V24" s="43" t="n">
        <f aca="false">MAX(0,S24-T24-U24)</f>
        <v>0</v>
      </c>
      <c r="W24" s="43" t="n">
        <f aca="false">IF(Z23&gt;0.005,Z23*(1+Ordem!$K$11),0)</f>
        <v>0</v>
      </c>
      <c r="X24" s="43" t="n">
        <f aca="false">MIN(W24,Ordem!$L$11)</f>
        <v>0</v>
      </c>
      <c r="Y24" s="43" t="n">
        <f aca="false">MAX(0,MIN(W24-X24,$B24-(E24+I24+M24+Q24+U24)))</f>
        <v>0</v>
      </c>
      <c r="Z24" s="43" t="n">
        <f aca="false">MAX(0,W24-X24-Y24)</f>
        <v>0</v>
      </c>
      <c r="AA24" s="43" t="n">
        <f aca="false">IF(AD23&gt;0.005,AD23*(1+Ordem!$K$12),0)</f>
        <v>0</v>
      </c>
      <c r="AB24" s="43" t="n">
        <f aca="false">MIN(AA24,Ordem!$L$12)</f>
        <v>0</v>
      </c>
      <c r="AC24" s="43" t="n">
        <f aca="false">MAX(0,MIN(AA24-AB24,$B24-(E24+I24+M24+Q24+U24+Y24)))</f>
        <v>0</v>
      </c>
      <c r="AD24" s="43" t="n">
        <f aca="false">MAX(0,AA24-AB24-AC24)</f>
        <v>0</v>
      </c>
      <c r="AE24" s="43" t="n">
        <f aca="false">IF(AH23&gt;0.005,AH23*(1+Ordem!$K$13),0)</f>
        <v>0</v>
      </c>
      <c r="AF24" s="43" t="n">
        <f aca="false">MIN(AE24,Ordem!$L$13)</f>
        <v>0</v>
      </c>
      <c r="AG24" s="43" t="n">
        <f aca="false">MAX(0,MIN(AE24-AF24,$B24-(E24+I24+M24+Q24+U24+Y24+AC24)))</f>
        <v>0</v>
      </c>
      <c r="AH24" s="43" t="n">
        <f aca="false">MAX(0,AE24-AF24-AG24)</f>
        <v>0</v>
      </c>
      <c r="AI24" s="43" t="n">
        <f aca="false">IF(AL23&gt;0.005,AL23*(1+Ordem!$K$14),0)</f>
        <v>0</v>
      </c>
      <c r="AJ24" s="43" t="n">
        <f aca="false">MIN(AI24,Ordem!$L$14)</f>
        <v>0</v>
      </c>
      <c r="AK24" s="43" t="n">
        <f aca="false">MAX(0,MIN(AI24-AJ24,$B24-(E24+I24+M24+Q24+U24+Y24+AC24+AG24)))</f>
        <v>0</v>
      </c>
      <c r="AL24" s="43" t="n">
        <f aca="false">MAX(0,AI24-AJ24-AK24)</f>
        <v>0</v>
      </c>
      <c r="AM24" s="43" t="n">
        <f aca="false">IF(AP23&gt;0.005,AP23*(1+Ordem!$K$15),0)</f>
        <v>0</v>
      </c>
      <c r="AN24" s="43" t="n">
        <f aca="false">MIN(AM24,Ordem!$L$15)</f>
        <v>0</v>
      </c>
      <c r="AO24" s="43" t="n">
        <f aca="false">MAX(0,MIN(AM24-AN24,$B24-(E24+I24+M24+Q24+U24+Y24+AC24+AG24+AK24)))</f>
        <v>0</v>
      </c>
      <c r="AP24" s="43" t="n">
        <f aca="false">MAX(0,AM24-AN24-AO24)</f>
        <v>0</v>
      </c>
      <c r="AQ24" s="43" t="n">
        <f aca="false">F24+J24+N24+R24+V24+Z24+AD24+AH24+AL24+AP24</f>
        <v>0</v>
      </c>
      <c r="AR24" s="43" t="n">
        <f aca="false">D24+E24+H24+I24+L24+M24+P24+Q24+T24+U24+X24+Y24+AB24+AC24+AF24+AG24+AJ24+AK24+AN24+AO24</f>
        <v>0</v>
      </c>
    </row>
    <row r="25" customFormat="false" ht="15" hidden="false" customHeight="false" outlineLevel="0" collapsed="false">
      <c r="A25" s="0" t="n">
        <v>21</v>
      </c>
      <c r="B25" s="43" t="n">
        <f aca="false">MAX(0,Dívidas!$C$20-(D25+H25+L25+P25+T25+X25+AB25+AF25+AJ25+AN25))</f>
        <v>1450</v>
      </c>
      <c r="C25" s="43" t="n">
        <f aca="false">IF(F24&gt;0.005,F24*(1+Ordem!$K$6),0)</f>
        <v>0</v>
      </c>
      <c r="D25" s="43" t="n">
        <f aca="false">MIN(C25,Ordem!$L$6)</f>
        <v>0</v>
      </c>
      <c r="E25" s="43" t="n">
        <f aca="false">MAX(0,MIN(C25-D25,$B25-(0)))</f>
        <v>0</v>
      </c>
      <c r="F25" s="43" t="n">
        <f aca="false">MAX(0,C25-D25-E25)</f>
        <v>0</v>
      </c>
      <c r="G25" s="43" t="n">
        <f aca="false">IF(J24&gt;0.005,J24*(1+Ordem!$K$7),0)</f>
        <v>0</v>
      </c>
      <c r="H25" s="43" t="n">
        <f aca="false">MIN(G25,Ordem!$L$7)</f>
        <v>0</v>
      </c>
      <c r="I25" s="43" t="n">
        <f aca="false">MAX(0,MIN(G25-H25,$B25-(E25)))</f>
        <v>0</v>
      </c>
      <c r="J25" s="43" t="n">
        <f aca="false">MAX(0,G25-H25-I25)</f>
        <v>0</v>
      </c>
      <c r="K25" s="43" t="n">
        <f aca="false">IF(N24&gt;0.005,N24*(1+Ordem!$K$8),0)</f>
        <v>0</v>
      </c>
      <c r="L25" s="43" t="n">
        <f aca="false">MIN(K25,Ordem!$L$8)</f>
        <v>0</v>
      </c>
      <c r="M25" s="43" t="n">
        <f aca="false">MAX(0,MIN(K25-L25,$B25-(E25+I25)))</f>
        <v>0</v>
      </c>
      <c r="N25" s="43" t="n">
        <f aca="false">MAX(0,K25-L25-M25)</f>
        <v>0</v>
      </c>
      <c r="O25" s="43" t="n">
        <f aca="false">IF(R24&gt;0.005,R24*(1+Ordem!$K$9),0)</f>
        <v>0</v>
      </c>
      <c r="P25" s="43" t="n">
        <f aca="false">MIN(O25,Ordem!$L$9)</f>
        <v>0</v>
      </c>
      <c r="Q25" s="43" t="n">
        <f aca="false">MAX(0,MIN(O25-P25,$B25-(E25+I25+M25)))</f>
        <v>0</v>
      </c>
      <c r="R25" s="43" t="n">
        <f aca="false">MAX(0,O25-P25-Q25)</f>
        <v>0</v>
      </c>
      <c r="S25" s="43" t="n">
        <f aca="false">IF(V24&gt;0.005,V24*(1+Ordem!$K$10),0)</f>
        <v>0</v>
      </c>
      <c r="T25" s="43" t="n">
        <f aca="false">MIN(S25,Ordem!$L$10)</f>
        <v>0</v>
      </c>
      <c r="U25" s="43" t="n">
        <f aca="false">MAX(0,MIN(S25-T25,$B25-(E25+I25+M25+Q25)))</f>
        <v>0</v>
      </c>
      <c r="V25" s="43" t="n">
        <f aca="false">MAX(0,S25-T25-U25)</f>
        <v>0</v>
      </c>
      <c r="W25" s="43" t="n">
        <f aca="false">IF(Z24&gt;0.005,Z24*(1+Ordem!$K$11),0)</f>
        <v>0</v>
      </c>
      <c r="X25" s="43" t="n">
        <f aca="false">MIN(W25,Ordem!$L$11)</f>
        <v>0</v>
      </c>
      <c r="Y25" s="43" t="n">
        <f aca="false">MAX(0,MIN(W25-X25,$B25-(E25+I25+M25+Q25+U25)))</f>
        <v>0</v>
      </c>
      <c r="Z25" s="43" t="n">
        <f aca="false">MAX(0,W25-X25-Y25)</f>
        <v>0</v>
      </c>
      <c r="AA25" s="43" t="n">
        <f aca="false">IF(AD24&gt;0.005,AD24*(1+Ordem!$K$12),0)</f>
        <v>0</v>
      </c>
      <c r="AB25" s="43" t="n">
        <f aca="false">MIN(AA25,Ordem!$L$12)</f>
        <v>0</v>
      </c>
      <c r="AC25" s="43" t="n">
        <f aca="false">MAX(0,MIN(AA25-AB25,$B25-(E25+I25+M25+Q25+U25+Y25)))</f>
        <v>0</v>
      </c>
      <c r="AD25" s="43" t="n">
        <f aca="false">MAX(0,AA25-AB25-AC25)</f>
        <v>0</v>
      </c>
      <c r="AE25" s="43" t="n">
        <f aca="false">IF(AH24&gt;0.005,AH24*(1+Ordem!$K$13),0)</f>
        <v>0</v>
      </c>
      <c r="AF25" s="43" t="n">
        <f aca="false">MIN(AE25,Ordem!$L$13)</f>
        <v>0</v>
      </c>
      <c r="AG25" s="43" t="n">
        <f aca="false">MAX(0,MIN(AE25-AF25,$B25-(E25+I25+M25+Q25+U25+Y25+AC25)))</f>
        <v>0</v>
      </c>
      <c r="AH25" s="43" t="n">
        <f aca="false">MAX(0,AE25-AF25-AG25)</f>
        <v>0</v>
      </c>
      <c r="AI25" s="43" t="n">
        <f aca="false">IF(AL24&gt;0.005,AL24*(1+Ordem!$K$14),0)</f>
        <v>0</v>
      </c>
      <c r="AJ25" s="43" t="n">
        <f aca="false">MIN(AI25,Ordem!$L$14)</f>
        <v>0</v>
      </c>
      <c r="AK25" s="43" t="n">
        <f aca="false">MAX(0,MIN(AI25-AJ25,$B25-(E25+I25+M25+Q25+U25+Y25+AC25+AG25)))</f>
        <v>0</v>
      </c>
      <c r="AL25" s="43" t="n">
        <f aca="false">MAX(0,AI25-AJ25-AK25)</f>
        <v>0</v>
      </c>
      <c r="AM25" s="43" t="n">
        <f aca="false">IF(AP24&gt;0.005,AP24*(1+Ordem!$K$15),0)</f>
        <v>0</v>
      </c>
      <c r="AN25" s="43" t="n">
        <f aca="false">MIN(AM25,Ordem!$L$15)</f>
        <v>0</v>
      </c>
      <c r="AO25" s="43" t="n">
        <f aca="false">MAX(0,MIN(AM25-AN25,$B25-(E25+I25+M25+Q25+U25+Y25+AC25+AG25+AK25)))</f>
        <v>0</v>
      </c>
      <c r="AP25" s="43" t="n">
        <f aca="false">MAX(0,AM25-AN25-AO25)</f>
        <v>0</v>
      </c>
      <c r="AQ25" s="43" t="n">
        <f aca="false">F25+J25+N25+R25+V25+Z25+AD25+AH25+AL25+AP25</f>
        <v>0</v>
      </c>
      <c r="AR25" s="43" t="n">
        <f aca="false">D25+E25+H25+I25+L25+M25+P25+Q25+T25+U25+X25+Y25+AB25+AC25+AF25+AG25+AJ25+AK25+AN25+AO25</f>
        <v>0</v>
      </c>
    </row>
    <row r="26" customFormat="false" ht="15" hidden="false" customHeight="false" outlineLevel="0" collapsed="false">
      <c r="A26" s="0" t="n">
        <v>22</v>
      </c>
      <c r="B26" s="43" t="n">
        <f aca="false">MAX(0,Dívidas!$C$20-(D26+H26+L26+P26+T26+X26+AB26+AF26+AJ26+AN26))</f>
        <v>1450</v>
      </c>
      <c r="C26" s="43" t="n">
        <f aca="false">IF(F25&gt;0.005,F25*(1+Ordem!$K$6),0)</f>
        <v>0</v>
      </c>
      <c r="D26" s="43" t="n">
        <f aca="false">MIN(C26,Ordem!$L$6)</f>
        <v>0</v>
      </c>
      <c r="E26" s="43" t="n">
        <f aca="false">MAX(0,MIN(C26-D26,$B26-(0)))</f>
        <v>0</v>
      </c>
      <c r="F26" s="43" t="n">
        <f aca="false">MAX(0,C26-D26-E26)</f>
        <v>0</v>
      </c>
      <c r="G26" s="43" t="n">
        <f aca="false">IF(J25&gt;0.005,J25*(1+Ordem!$K$7),0)</f>
        <v>0</v>
      </c>
      <c r="H26" s="43" t="n">
        <f aca="false">MIN(G26,Ordem!$L$7)</f>
        <v>0</v>
      </c>
      <c r="I26" s="43" t="n">
        <f aca="false">MAX(0,MIN(G26-H26,$B26-(E26)))</f>
        <v>0</v>
      </c>
      <c r="J26" s="43" t="n">
        <f aca="false">MAX(0,G26-H26-I26)</f>
        <v>0</v>
      </c>
      <c r="K26" s="43" t="n">
        <f aca="false">IF(N25&gt;0.005,N25*(1+Ordem!$K$8),0)</f>
        <v>0</v>
      </c>
      <c r="L26" s="43" t="n">
        <f aca="false">MIN(K26,Ordem!$L$8)</f>
        <v>0</v>
      </c>
      <c r="M26" s="43" t="n">
        <f aca="false">MAX(0,MIN(K26-L26,$B26-(E26+I26)))</f>
        <v>0</v>
      </c>
      <c r="N26" s="43" t="n">
        <f aca="false">MAX(0,K26-L26-M26)</f>
        <v>0</v>
      </c>
      <c r="O26" s="43" t="n">
        <f aca="false">IF(R25&gt;0.005,R25*(1+Ordem!$K$9),0)</f>
        <v>0</v>
      </c>
      <c r="P26" s="43" t="n">
        <f aca="false">MIN(O26,Ordem!$L$9)</f>
        <v>0</v>
      </c>
      <c r="Q26" s="43" t="n">
        <f aca="false">MAX(0,MIN(O26-P26,$B26-(E26+I26+M26)))</f>
        <v>0</v>
      </c>
      <c r="R26" s="43" t="n">
        <f aca="false">MAX(0,O26-P26-Q26)</f>
        <v>0</v>
      </c>
      <c r="S26" s="43" t="n">
        <f aca="false">IF(V25&gt;0.005,V25*(1+Ordem!$K$10),0)</f>
        <v>0</v>
      </c>
      <c r="T26" s="43" t="n">
        <f aca="false">MIN(S26,Ordem!$L$10)</f>
        <v>0</v>
      </c>
      <c r="U26" s="43" t="n">
        <f aca="false">MAX(0,MIN(S26-T26,$B26-(E26+I26+M26+Q26)))</f>
        <v>0</v>
      </c>
      <c r="V26" s="43" t="n">
        <f aca="false">MAX(0,S26-T26-U26)</f>
        <v>0</v>
      </c>
      <c r="W26" s="43" t="n">
        <f aca="false">IF(Z25&gt;0.005,Z25*(1+Ordem!$K$11),0)</f>
        <v>0</v>
      </c>
      <c r="X26" s="43" t="n">
        <f aca="false">MIN(W26,Ordem!$L$11)</f>
        <v>0</v>
      </c>
      <c r="Y26" s="43" t="n">
        <f aca="false">MAX(0,MIN(W26-X26,$B26-(E26+I26+M26+Q26+U26)))</f>
        <v>0</v>
      </c>
      <c r="Z26" s="43" t="n">
        <f aca="false">MAX(0,W26-X26-Y26)</f>
        <v>0</v>
      </c>
      <c r="AA26" s="43" t="n">
        <f aca="false">IF(AD25&gt;0.005,AD25*(1+Ordem!$K$12),0)</f>
        <v>0</v>
      </c>
      <c r="AB26" s="43" t="n">
        <f aca="false">MIN(AA26,Ordem!$L$12)</f>
        <v>0</v>
      </c>
      <c r="AC26" s="43" t="n">
        <f aca="false">MAX(0,MIN(AA26-AB26,$B26-(E26+I26+M26+Q26+U26+Y26)))</f>
        <v>0</v>
      </c>
      <c r="AD26" s="43" t="n">
        <f aca="false">MAX(0,AA26-AB26-AC26)</f>
        <v>0</v>
      </c>
      <c r="AE26" s="43" t="n">
        <f aca="false">IF(AH25&gt;0.005,AH25*(1+Ordem!$K$13),0)</f>
        <v>0</v>
      </c>
      <c r="AF26" s="43" t="n">
        <f aca="false">MIN(AE26,Ordem!$L$13)</f>
        <v>0</v>
      </c>
      <c r="AG26" s="43" t="n">
        <f aca="false">MAX(0,MIN(AE26-AF26,$B26-(E26+I26+M26+Q26+U26+Y26+AC26)))</f>
        <v>0</v>
      </c>
      <c r="AH26" s="43" t="n">
        <f aca="false">MAX(0,AE26-AF26-AG26)</f>
        <v>0</v>
      </c>
      <c r="AI26" s="43" t="n">
        <f aca="false">IF(AL25&gt;0.005,AL25*(1+Ordem!$K$14),0)</f>
        <v>0</v>
      </c>
      <c r="AJ26" s="43" t="n">
        <f aca="false">MIN(AI26,Ordem!$L$14)</f>
        <v>0</v>
      </c>
      <c r="AK26" s="43" t="n">
        <f aca="false">MAX(0,MIN(AI26-AJ26,$B26-(E26+I26+M26+Q26+U26+Y26+AC26+AG26)))</f>
        <v>0</v>
      </c>
      <c r="AL26" s="43" t="n">
        <f aca="false">MAX(0,AI26-AJ26-AK26)</f>
        <v>0</v>
      </c>
      <c r="AM26" s="43" t="n">
        <f aca="false">IF(AP25&gt;0.005,AP25*(1+Ordem!$K$15),0)</f>
        <v>0</v>
      </c>
      <c r="AN26" s="43" t="n">
        <f aca="false">MIN(AM26,Ordem!$L$15)</f>
        <v>0</v>
      </c>
      <c r="AO26" s="43" t="n">
        <f aca="false">MAX(0,MIN(AM26-AN26,$B26-(E26+I26+M26+Q26+U26+Y26+AC26+AG26+AK26)))</f>
        <v>0</v>
      </c>
      <c r="AP26" s="43" t="n">
        <f aca="false">MAX(0,AM26-AN26-AO26)</f>
        <v>0</v>
      </c>
      <c r="AQ26" s="43" t="n">
        <f aca="false">F26+J26+N26+R26+V26+Z26+AD26+AH26+AL26+AP26</f>
        <v>0</v>
      </c>
      <c r="AR26" s="43" t="n">
        <f aca="false">D26+E26+H26+I26+L26+M26+P26+Q26+T26+U26+X26+Y26+AB26+AC26+AF26+AG26+AJ26+AK26+AN26+AO26</f>
        <v>0</v>
      </c>
    </row>
    <row r="27" customFormat="false" ht="15" hidden="false" customHeight="false" outlineLevel="0" collapsed="false">
      <c r="A27" s="0" t="n">
        <v>23</v>
      </c>
      <c r="B27" s="43" t="n">
        <f aca="false">MAX(0,Dívidas!$C$20-(D27+H27+L27+P27+T27+X27+AB27+AF27+AJ27+AN27))</f>
        <v>1450</v>
      </c>
      <c r="C27" s="43" t="n">
        <f aca="false">IF(F26&gt;0.005,F26*(1+Ordem!$K$6),0)</f>
        <v>0</v>
      </c>
      <c r="D27" s="43" t="n">
        <f aca="false">MIN(C27,Ordem!$L$6)</f>
        <v>0</v>
      </c>
      <c r="E27" s="43" t="n">
        <f aca="false">MAX(0,MIN(C27-D27,$B27-(0)))</f>
        <v>0</v>
      </c>
      <c r="F27" s="43" t="n">
        <f aca="false">MAX(0,C27-D27-E27)</f>
        <v>0</v>
      </c>
      <c r="G27" s="43" t="n">
        <f aca="false">IF(J26&gt;0.005,J26*(1+Ordem!$K$7),0)</f>
        <v>0</v>
      </c>
      <c r="H27" s="43" t="n">
        <f aca="false">MIN(G27,Ordem!$L$7)</f>
        <v>0</v>
      </c>
      <c r="I27" s="43" t="n">
        <f aca="false">MAX(0,MIN(G27-H27,$B27-(E27)))</f>
        <v>0</v>
      </c>
      <c r="J27" s="43" t="n">
        <f aca="false">MAX(0,G27-H27-I27)</f>
        <v>0</v>
      </c>
      <c r="K27" s="43" t="n">
        <f aca="false">IF(N26&gt;0.005,N26*(1+Ordem!$K$8),0)</f>
        <v>0</v>
      </c>
      <c r="L27" s="43" t="n">
        <f aca="false">MIN(K27,Ordem!$L$8)</f>
        <v>0</v>
      </c>
      <c r="M27" s="43" t="n">
        <f aca="false">MAX(0,MIN(K27-L27,$B27-(E27+I27)))</f>
        <v>0</v>
      </c>
      <c r="N27" s="43" t="n">
        <f aca="false">MAX(0,K27-L27-M27)</f>
        <v>0</v>
      </c>
      <c r="O27" s="43" t="n">
        <f aca="false">IF(R26&gt;0.005,R26*(1+Ordem!$K$9),0)</f>
        <v>0</v>
      </c>
      <c r="P27" s="43" t="n">
        <f aca="false">MIN(O27,Ordem!$L$9)</f>
        <v>0</v>
      </c>
      <c r="Q27" s="43" t="n">
        <f aca="false">MAX(0,MIN(O27-P27,$B27-(E27+I27+M27)))</f>
        <v>0</v>
      </c>
      <c r="R27" s="43" t="n">
        <f aca="false">MAX(0,O27-P27-Q27)</f>
        <v>0</v>
      </c>
      <c r="S27" s="43" t="n">
        <f aca="false">IF(V26&gt;0.005,V26*(1+Ordem!$K$10),0)</f>
        <v>0</v>
      </c>
      <c r="T27" s="43" t="n">
        <f aca="false">MIN(S27,Ordem!$L$10)</f>
        <v>0</v>
      </c>
      <c r="U27" s="43" t="n">
        <f aca="false">MAX(0,MIN(S27-T27,$B27-(E27+I27+M27+Q27)))</f>
        <v>0</v>
      </c>
      <c r="V27" s="43" t="n">
        <f aca="false">MAX(0,S27-T27-U27)</f>
        <v>0</v>
      </c>
      <c r="W27" s="43" t="n">
        <f aca="false">IF(Z26&gt;0.005,Z26*(1+Ordem!$K$11),0)</f>
        <v>0</v>
      </c>
      <c r="X27" s="43" t="n">
        <f aca="false">MIN(W27,Ordem!$L$11)</f>
        <v>0</v>
      </c>
      <c r="Y27" s="43" t="n">
        <f aca="false">MAX(0,MIN(W27-X27,$B27-(E27+I27+M27+Q27+U27)))</f>
        <v>0</v>
      </c>
      <c r="Z27" s="43" t="n">
        <f aca="false">MAX(0,W27-X27-Y27)</f>
        <v>0</v>
      </c>
      <c r="AA27" s="43" t="n">
        <f aca="false">IF(AD26&gt;0.005,AD26*(1+Ordem!$K$12),0)</f>
        <v>0</v>
      </c>
      <c r="AB27" s="43" t="n">
        <f aca="false">MIN(AA27,Ordem!$L$12)</f>
        <v>0</v>
      </c>
      <c r="AC27" s="43" t="n">
        <f aca="false">MAX(0,MIN(AA27-AB27,$B27-(E27+I27+M27+Q27+U27+Y27)))</f>
        <v>0</v>
      </c>
      <c r="AD27" s="43" t="n">
        <f aca="false">MAX(0,AA27-AB27-AC27)</f>
        <v>0</v>
      </c>
      <c r="AE27" s="43" t="n">
        <f aca="false">IF(AH26&gt;0.005,AH26*(1+Ordem!$K$13),0)</f>
        <v>0</v>
      </c>
      <c r="AF27" s="43" t="n">
        <f aca="false">MIN(AE27,Ordem!$L$13)</f>
        <v>0</v>
      </c>
      <c r="AG27" s="43" t="n">
        <f aca="false">MAX(0,MIN(AE27-AF27,$B27-(E27+I27+M27+Q27+U27+Y27+AC27)))</f>
        <v>0</v>
      </c>
      <c r="AH27" s="43" t="n">
        <f aca="false">MAX(0,AE27-AF27-AG27)</f>
        <v>0</v>
      </c>
      <c r="AI27" s="43" t="n">
        <f aca="false">IF(AL26&gt;0.005,AL26*(1+Ordem!$K$14),0)</f>
        <v>0</v>
      </c>
      <c r="AJ27" s="43" t="n">
        <f aca="false">MIN(AI27,Ordem!$L$14)</f>
        <v>0</v>
      </c>
      <c r="AK27" s="43" t="n">
        <f aca="false">MAX(0,MIN(AI27-AJ27,$B27-(E27+I27+M27+Q27+U27+Y27+AC27+AG27)))</f>
        <v>0</v>
      </c>
      <c r="AL27" s="43" t="n">
        <f aca="false">MAX(0,AI27-AJ27-AK27)</f>
        <v>0</v>
      </c>
      <c r="AM27" s="43" t="n">
        <f aca="false">IF(AP26&gt;0.005,AP26*(1+Ordem!$K$15),0)</f>
        <v>0</v>
      </c>
      <c r="AN27" s="43" t="n">
        <f aca="false">MIN(AM27,Ordem!$L$15)</f>
        <v>0</v>
      </c>
      <c r="AO27" s="43" t="n">
        <f aca="false">MAX(0,MIN(AM27-AN27,$B27-(E27+I27+M27+Q27+U27+Y27+AC27+AG27+AK27)))</f>
        <v>0</v>
      </c>
      <c r="AP27" s="43" t="n">
        <f aca="false">MAX(0,AM27-AN27-AO27)</f>
        <v>0</v>
      </c>
      <c r="AQ27" s="43" t="n">
        <f aca="false">F27+J27+N27+R27+V27+Z27+AD27+AH27+AL27+AP27</f>
        <v>0</v>
      </c>
      <c r="AR27" s="43" t="n">
        <f aca="false">D27+E27+H27+I27+L27+M27+P27+Q27+T27+U27+X27+Y27+AB27+AC27+AF27+AG27+AJ27+AK27+AN27+AO27</f>
        <v>0</v>
      </c>
    </row>
    <row r="28" customFormat="false" ht="15" hidden="false" customHeight="false" outlineLevel="0" collapsed="false">
      <c r="A28" s="0" t="n">
        <v>24</v>
      </c>
      <c r="B28" s="43" t="n">
        <f aca="false">MAX(0,Dívidas!$C$20-(D28+H28+L28+P28+T28+X28+AB28+AF28+AJ28+AN28))</f>
        <v>1450</v>
      </c>
      <c r="C28" s="43" t="n">
        <f aca="false">IF(F27&gt;0.005,F27*(1+Ordem!$K$6),0)</f>
        <v>0</v>
      </c>
      <c r="D28" s="43" t="n">
        <f aca="false">MIN(C28,Ordem!$L$6)</f>
        <v>0</v>
      </c>
      <c r="E28" s="43" t="n">
        <f aca="false">MAX(0,MIN(C28-D28,$B28-(0)))</f>
        <v>0</v>
      </c>
      <c r="F28" s="43" t="n">
        <f aca="false">MAX(0,C28-D28-E28)</f>
        <v>0</v>
      </c>
      <c r="G28" s="43" t="n">
        <f aca="false">IF(J27&gt;0.005,J27*(1+Ordem!$K$7),0)</f>
        <v>0</v>
      </c>
      <c r="H28" s="43" t="n">
        <f aca="false">MIN(G28,Ordem!$L$7)</f>
        <v>0</v>
      </c>
      <c r="I28" s="43" t="n">
        <f aca="false">MAX(0,MIN(G28-H28,$B28-(E28)))</f>
        <v>0</v>
      </c>
      <c r="J28" s="43" t="n">
        <f aca="false">MAX(0,G28-H28-I28)</f>
        <v>0</v>
      </c>
      <c r="K28" s="43" t="n">
        <f aca="false">IF(N27&gt;0.005,N27*(1+Ordem!$K$8),0)</f>
        <v>0</v>
      </c>
      <c r="L28" s="43" t="n">
        <f aca="false">MIN(K28,Ordem!$L$8)</f>
        <v>0</v>
      </c>
      <c r="M28" s="43" t="n">
        <f aca="false">MAX(0,MIN(K28-L28,$B28-(E28+I28)))</f>
        <v>0</v>
      </c>
      <c r="N28" s="43" t="n">
        <f aca="false">MAX(0,K28-L28-M28)</f>
        <v>0</v>
      </c>
      <c r="O28" s="43" t="n">
        <f aca="false">IF(R27&gt;0.005,R27*(1+Ordem!$K$9),0)</f>
        <v>0</v>
      </c>
      <c r="P28" s="43" t="n">
        <f aca="false">MIN(O28,Ordem!$L$9)</f>
        <v>0</v>
      </c>
      <c r="Q28" s="43" t="n">
        <f aca="false">MAX(0,MIN(O28-P28,$B28-(E28+I28+M28)))</f>
        <v>0</v>
      </c>
      <c r="R28" s="43" t="n">
        <f aca="false">MAX(0,O28-P28-Q28)</f>
        <v>0</v>
      </c>
      <c r="S28" s="43" t="n">
        <f aca="false">IF(V27&gt;0.005,V27*(1+Ordem!$K$10),0)</f>
        <v>0</v>
      </c>
      <c r="T28" s="43" t="n">
        <f aca="false">MIN(S28,Ordem!$L$10)</f>
        <v>0</v>
      </c>
      <c r="U28" s="43" t="n">
        <f aca="false">MAX(0,MIN(S28-T28,$B28-(E28+I28+M28+Q28)))</f>
        <v>0</v>
      </c>
      <c r="V28" s="43" t="n">
        <f aca="false">MAX(0,S28-T28-U28)</f>
        <v>0</v>
      </c>
      <c r="W28" s="43" t="n">
        <f aca="false">IF(Z27&gt;0.005,Z27*(1+Ordem!$K$11),0)</f>
        <v>0</v>
      </c>
      <c r="X28" s="43" t="n">
        <f aca="false">MIN(W28,Ordem!$L$11)</f>
        <v>0</v>
      </c>
      <c r="Y28" s="43" t="n">
        <f aca="false">MAX(0,MIN(W28-X28,$B28-(E28+I28+M28+Q28+U28)))</f>
        <v>0</v>
      </c>
      <c r="Z28" s="43" t="n">
        <f aca="false">MAX(0,W28-X28-Y28)</f>
        <v>0</v>
      </c>
      <c r="AA28" s="43" t="n">
        <f aca="false">IF(AD27&gt;0.005,AD27*(1+Ordem!$K$12),0)</f>
        <v>0</v>
      </c>
      <c r="AB28" s="43" t="n">
        <f aca="false">MIN(AA28,Ordem!$L$12)</f>
        <v>0</v>
      </c>
      <c r="AC28" s="43" t="n">
        <f aca="false">MAX(0,MIN(AA28-AB28,$B28-(E28+I28+M28+Q28+U28+Y28)))</f>
        <v>0</v>
      </c>
      <c r="AD28" s="43" t="n">
        <f aca="false">MAX(0,AA28-AB28-AC28)</f>
        <v>0</v>
      </c>
      <c r="AE28" s="43" t="n">
        <f aca="false">IF(AH27&gt;0.005,AH27*(1+Ordem!$K$13),0)</f>
        <v>0</v>
      </c>
      <c r="AF28" s="43" t="n">
        <f aca="false">MIN(AE28,Ordem!$L$13)</f>
        <v>0</v>
      </c>
      <c r="AG28" s="43" t="n">
        <f aca="false">MAX(0,MIN(AE28-AF28,$B28-(E28+I28+M28+Q28+U28+Y28+AC28)))</f>
        <v>0</v>
      </c>
      <c r="AH28" s="43" t="n">
        <f aca="false">MAX(0,AE28-AF28-AG28)</f>
        <v>0</v>
      </c>
      <c r="AI28" s="43" t="n">
        <f aca="false">IF(AL27&gt;0.005,AL27*(1+Ordem!$K$14),0)</f>
        <v>0</v>
      </c>
      <c r="AJ28" s="43" t="n">
        <f aca="false">MIN(AI28,Ordem!$L$14)</f>
        <v>0</v>
      </c>
      <c r="AK28" s="43" t="n">
        <f aca="false">MAX(0,MIN(AI28-AJ28,$B28-(E28+I28+M28+Q28+U28+Y28+AC28+AG28)))</f>
        <v>0</v>
      </c>
      <c r="AL28" s="43" t="n">
        <f aca="false">MAX(0,AI28-AJ28-AK28)</f>
        <v>0</v>
      </c>
      <c r="AM28" s="43" t="n">
        <f aca="false">IF(AP27&gt;0.005,AP27*(1+Ordem!$K$15),0)</f>
        <v>0</v>
      </c>
      <c r="AN28" s="43" t="n">
        <f aca="false">MIN(AM28,Ordem!$L$15)</f>
        <v>0</v>
      </c>
      <c r="AO28" s="43" t="n">
        <f aca="false">MAX(0,MIN(AM28-AN28,$B28-(E28+I28+M28+Q28+U28+Y28+AC28+AG28+AK28)))</f>
        <v>0</v>
      </c>
      <c r="AP28" s="43" t="n">
        <f aca="false">MAX(0,AM28-AN28-AO28)</f>
        <v>0</v>
      </c>
      <c r="AQ28" s="43" t="n">
        <f aca="false">F28+J28+N28+R28+V28+Z28+AD28+AH28+AL28+AP28</f>
        <v>0</v>
      </c>
      <c r="AR28" s="43" t="n">
        <f aca="false">D28+E28+H28+I28+L28+M28+P28+Q28+T28+U28+X28+Y28+AB28+AC28+AF28+AG28+AJ28+AK28+AN28+AO28</f>
        <v>0</v>
      </c>
    </row>
    <row r="29" customFormat="false" ht="15" hidden="false" customHeight="false" outlineLevel="0" collapsed="false">
      <c r="A29" s="0" t="n">
        <v>25</v>
      </c>
      <c r="B29" s="43" t="n">
        <f aca="false">MAX(0,Dívidas!$C$20-(D29+H29+L29+P29+T29+X29+AB29+AF29+AJ29+AN29))</f>
        <v>1450</v>
      </c>
      <c r="C29" s="43" t="n">
        <f aca="false">IF(F28&gt;0.005,F28*(1+Ordem!$K$6),0)</f>
        <v>0</v>
      </c>
      <c r="D29" s="43" t="n">
        <f aca="false">MIN(C29,Ordem!$L$6)</f>
        <v>0</v>
      </c>
      <c r="E29" s="43" t="n">
        <f aca="false">MAX(0,MIN(C29-D29,$B29-(0)))</f>
        <v>0</v>
      </c>
      <c r="F29" s="43" t="n">
        <f aca="false">MAX(0,C29-D29-E29)</f>
        <v>0</v>
      </c>
      <c r="G29" s="43" t="n">
        <f aca="false">IF(J28&gt;0.005,J28*(1+Ordem!$K$7),0)</f>
        <v>0</v>
      </c>
      <c r="H29" s="43" t="n">
        <f aca="false">MIN(G29,Ordem!$L$7)</f>
        <v>0</v>
      </c>
      <c r="I29" s="43" t="n">
        <f aca="false">MAX(0,MIN(G29-H29,$B29-(E29)))</f>
        <v>0</v>
      </c>
      <c r="J29" s="43" t="n">
        <f aca="false">MAX(0,G29-H29-I29)</f>
        <v>0</v>
      </c>
      <c r="K29" s="43" t="n">
        <f aca="false">IF(N28&gt;0.005,N28*(1+Ordem!$K$8),0)</f>
        <v>0</v>
      </c>
      <c r="L29" s="43" t="n">
        <f aca="false">MIN(K29,Ordem!$L$8)</f>
        <v>0</v>
      </c>
      <c r="M29" s="43" t="n">
        <f aca="false">MAX(0,MIN(K29-L29,$B29-(E29+I29)))</f>
        <v>0</v>
      </c>
      <c r="N29" s="43" t="n">
        <f aca="false">MAX(0,K29-L29-M29)</f>
        <v>0</v>
      </c>
      <c r="O29" s="43" t="n">
        <f aca="false">IF(R28&gt;0.005,R28*(1+Ordem!$K$9),0)</f>
        <v>0</v>
      </c>
      <c r="P29" s="43" t="n">
        <f aca="false">MIN(O29,Ordem!$L$9)</f>
        <v>0</v>
      </c>
      <c r="Q29" s="43" t="n">
        <f aca="false">MAX(0,MIN(O29-P29,$B29-(E29+I29+M29)))</f>
        <v>0</v>
      </c>
      <c r="R29" s="43" t="n">
        <f aca="false">MAX(0,O29-P29-Q29)</f>
        <v>0</v>
      </c>
      <c r="S29" s="43" t="n">
        <f aca="false">IF(V28&gt;0.005,V28*(1+Ordem!$K$10),0)</f>
        <v>0</v>
      </c>
      <c r="T29" s="43" t="n">
        <f aca="false">MIN(S29,Ordem!$L$10)</f>
        <v>0</v>
      </c>
      <c r="U29" s="43" t="n">
        <f aca="false">MAX(0,MIN(S29-T29,$B29-(E29+I29+M29+Q29)))</f>
        <v>0</v>
      </c>
      <c r="V29" s="43" t="n">
        <f aca="false">MAX(0,S29-T29-U29)</f>
        <v>0</v>
      </c>
      <c r="W29" s="43" t="n">
        <f aca="false">IF(Z28&gt;0.005,Z28*(1+Ordem!$K$11),0)</f>
        <v>0</v>
      </c>
      <c r="X29" s="43" t="n">
        <f aca="false">MIN(W29,Ordem!$L$11)</f>
        <v>0</v>
      </c>
      <c r="Y29" s="43" t="n">
        <f aca="false">MAX(0,MIN(W29-X29,$B29-(E29+I29+M29+Q29+U29)))</f>
        <v>0</v>
      </c>
      <c r="Z29" s="43" t="n">
        <f aca="false">MAX(0,W29-X29-Y29)</f>
        <v>0</v>
      </c>
      <c r="AA29" s="43" t="n">
        <f aca="false">IF(AD28&gt;0.005,AD28*(1+Ordem!$K$12),0)</f>
        <v>0</v>
      </c>
      <c r="AB29" s="43" t="n">
        <f aca="false">MIN(AA29,Ordem!$L$12)</f>
        <v>0</v>
      </c>
      <c r="AC29" s="43" t="n">
        <f aca="false">MAX(0,MIN(AA29-AB29,$B29-(E29+I29+M29+Q29+U29+Y29)))</f>
        <v>0</v>
      </c>
      <c r="AD29" s="43" t="n">
        <f aca="false">MAX(0,AA29-AB29-AC29)</f>
        <v>0</v>
      </c>
      <c r="AE29" s="43" t="n">
        <f aca="false">IF(AH28&gt;0.005,AH28*(1+Ordem!$K$13),0)</f>
        <v>0</v>
      </c>
      <c r="AF29" s="43" t="n">
        <f aca="false">MIN(AE29,Ordem!$L$13)</f>
        <v>0</v>
      </c>
      <c r="AG29" s="43" t="n">
        <f aca="false">MAX(0,MIN(AE29-AF29,$B29-(E29+I29+M29+Q29+U29+Y29+AC29)))</f>
        <v>0</v>
      </c>
      <c r="AH29" s="43" t="n">
        <f aca="false">MAX(0,AE29-AF29-AG29)</f>
        <v>0</v>
      </c>
      <c r="AI29" s="43" t="n">
        <f aca="false">IF(AL28&gt;0.005,AL28*(1+Ordem!$K$14),0)</f>
        <v>0</v>
      </c>
      <c r="AJ29" s="43" t="n">
        <f aca="false">MIN(AI29,Ordem!$L$14)</f>
        <v>0</v>
      </c>
      <c r="AK29" s="43" t="n">
        <f aca="false">MAX(0,MIN(AI29-AJ29,$B29-(E29+I29+M29+Q29+U29+Y29+AC29+AG29)))</f>
        <v>0</v>
      </c>
      <c r="AL29" s="43" t="n">
        <f aca="false">MAX(0,AI29-AJ29-AK29)</f>
        <v>0</v>
      </c>
      <c r="AM29" s="43" t="n">
        <f aca="false">IF(AP28&gt;0.005,AP28*(1+Ordem!$K$15),0)</f>
        <v>0</v>
      </c>
      <c r="AN29" s="43" t="n">
        <f aca="false">MIN(AM29,Ordem!$L$15)</f>
        <v>0</v>
      </c>
      <c r="AO29" s="43" t="n">
        <f aca="false">MAX(0,MIN(AM29-AN29,$B29-(E29+I29+M29+Q29+U29+Y29+AC29+AG29+AK29)))</f>
        <v>0</v>
      </c>
      <c r="AP29" s="43" t="n">
        <f aca="false">MAX(0,AM29-AN29-AO29)</f>
        <v>0</v>
      </c>
      <c r="AQ29" s="43" t="n">
        <f aca="false">F29+J29+N29+R29+V29+Z29+AD29+AH29+AL29+AP29</f>
        <v>0</v>
      </c>
      <c r="AR29" s="43" t="n">
        <f aca="false">D29+E29+H29+I29+L29+M29+P29+Q29+T29+U29+X29+Y29+AB29+AC29+AF29+AG29+AJ29+AK29+AN29+AO29</f>
        <v>0</v>
      </c>
    </row>
    <row r="30" customFormat="false" ht="15" hidden="false" customHeight="false" outlineLevel="0" collapsed="false">
      <c r="A30" s="0" t="n">
        <v>26</v>
      </c>
      <c r="B30" s="43" t="n">
        <f aca="false">MAX(0,Dívidas!$C$20-(D30+H30+L30+P30+T30+X30+AB30+AF30+AJ30+AN30))</f>
        <v>1450</v>
      </c>
      <c r="C30" s="43" t="n">
        <f aca="false">IF(F29&gt;0.005,F29*(1+Ordem!$K$6),0)</f>
        <v>0</v>
      </c>
      <c r="D30" s="43" t="n">
        <f aca="false">MIN(C30,Ordem!$L$6)</f>
        <v>0</v>
      </c>
      <c r="E30" s="43" t="n">
        <f aca="false">MAX(0,MIN(C30-D30,$B30-(0)))</f>
        <v>0</v>
      </c>
      <c r="F30" s="43" t="n">
        <f aca="false">MAX(0,C30-D30-E30)</f>
        <v>0</v>
      </c>
      <c r="G30" s="43" t="n">
        <f aca="false">IF(J29&gt;0.005,J29*(1+Ordem!$K$7),0)</f>
        <v>0</v>
      </c>
      <c r="H30" s="43" t="n">
        <f aca="false">MIN(G30,Ordem!$L$7)</f>
        <v>0</v>
      </c>
      <c r="I30" s="43" t="n">
        <f aca="false">MAX(0,MIN(G30-H30,$B30-(E30)))</f>
        <v>0</v>
      </c>
      <c r="J30" s="43" t="n">
        <f aca="false">MAX(0,G30-H30-I30)</f>
        <v>0</v>
      </c>
      <c r="K30" s="43" t="n">
        <f aca="false">IF(N29&gt;0.005,N29*(1+Ordem!$K$8),0)</f>
        <v>0</v>
      </c>
      <c r="L30" s="43" t="n">
        <f aca="false">MIN(K30,Ordem!$L$8)</f>
        <v>0</v>
      </c>
      <c r="M30" s="43" t="n">
        <f aca="false">MAX(0,MIN(K30-L30,$B30-(E30+I30)))</f>
        <v>0</v>
      </c>
      <c r="N30" s="43" t="n">
        <f aca="false">MAX(0,K30-L30-M30)</f>
        <v>0</v>
      </c>
      <c r="O30" s="43" t="n">
        <f aca="false">IF(R29&gt;0.005,R29*(1+Ordem!$K$9),0)</f>
        <v>0</v>
      </c>
      <c r="P30" s="43" t="n">
        <f aca="false">MIN(O30,Ordem!$L$9)</f>
        <v>0</v>
      </c>
      <c r="Q30" s="43" t="n">
        <f aca="false">MAX(0,MIN(O30-P30,$B30-(E30+I30+M30)))</f>
        <v>0</v>
      </c>
      <c r="R30" s="43" t="n">
        <f aca="false">MAX(0,O30-P30-Q30)</f>
        <v>0</v>
      </c>
      <c r="S30" s="43" t="n">
        <f aca="false">IF(V29&gt;0.005,V29*(1+Ordem!$K$10),0)</f>
        <v>0</v>
      </c>
      <c r="T30" s="43" t="n">
        <f aca="false">MIN(S30,Ordem!$L$10)</f>
        <v>0</v>
      </c>
      <c r="U30" s="43" t="n">
        <f aca="false">MAX(0,MIN(S30-T30,$B30-(E30+I30+M30+Q30)))</f>
        <v>0</v>
      </c>
      <c r="V30" s="43" t="n">
        <f aca="false">MAX(0,S30-T30-U30)</f>
        <v>0</v>
      </c>
      <c r="W30" s="43" t="n">
        <f aca="false">IF(Z29&gt;0.005,Z29*(1+Ordem!$K$11),0)</f>
        <v>0</v>
      </c>
      <c r="X30" s="43" t="n">
        <f aca="false">MIN(W30,Ordem!$L$11)</f>
        <v>0</v>
      </c>
      <c r="Y30" s="43" t="n">
        <f aca="false">MAX(0,MIN(W30-X30,$B30-(E30+I30+M30+Q30+U30)))</f>
        <v>0</v>
      </c>
      <c r="Z30" s="43" t="n">
        <f aca="false">MAX(0,W30-X30-Y30)</f>
        <v>0</v>
      </c>
      <c r="AA30" s="43" t="n">
        <f aca="false">IF(AD29&gt;0.005,AD29*(1+Ordem!$K$12),0)</f>
        <v>0</v>
      </c>
      <c r="AB30" s="43" t="n">
        <f aca="false">MIN(AA30,Ordem!$L$12)</f>
        <v>0</v>
      </c>
      <c r="AC30" s="43" t="n">
        <f aca="false">MAX(0,MIN(AA30-AB30,$B30-(E30+I30+M30+Q30+U30+Y30)))</f>
        <v>0</v>
      </c>
      <c r="AD30" s="43" t="n">
        <f aca="false">MAX(0,AA30-AB30-AC30)</f>
        <v>0</v>
      </c>
      <c r="AE30" s="43" t="n">
        <f aca="false">IF(AH29&gt;0.005,AH29*(1+Ordem!$K$13),0)</f>
        <v>0</v>
      </c>
      <c r="AF30" s="43" t="n">
        <f aca="false">MIN(AE30,Ordem!$L$13)</f>
        <v>0</v>
      </c>
      <c r="AG30" s="43" t="n">
        <f aca="false">MAX(0,MIN(AE30-AF30,$B30-(E30+I30+M30+Q30+U30+Y30+AC30)))</f>
        <v>0</v>
      </c>
      <c r="AH30" s="43" t="n">
        <f aca="false">MAX(0,AE30-AF30-AG30)</f>
        <v>0</v>
      </c>
      <c r="AI30" s="43" t="n">
        <f aca="false">IF(AL29&gt;0.005,AL29*(1+Ordem!$K$14),0)</f>
        <v>0</v>
      </c>
      <c r="AJ30" s="43" t="n">
        <f aca="false">MIN(AI30,Ordem!$L$14)</f>
        <v>0</v>
      </c>
      <c r="AK30" s="43" t="n">
        <f aca="false">MAX(0,MIN(AI30-AJ30,$B30-(E30+I30+M30+Q30+U30+Y30+AC30+AG30)))</f>
        <v>0</v>
      </c>
      <c r="AL30" s="43" t="n">
        <f aca="false">MAX(0,AI30-AJ30-AK30)</f>
        <v>0</v>
      </c>
      <c r="AM30" s="43" t="n">
        <f aca="false">IF(AP29&gt;0.005,AP29*(1+Ordem!$K$15),0)</f>
        <v>0</v>
      </c>
      <c r="AN30" s="43" t="n">
        <f aca="false">MIN(AM30,Ordem!$L$15)</f>
        <v>0</v>
      </c>
      <c r="AO30" s="43" t="n">
        <f aca="false">MAX(0,MIN(AM30-AN30,$B30-(E30+I30+M30+Q30+U30+Y30+AC30+AG30+AK30)))</f>
        <v>0</v>
      </c>
      <c r="AP30" s="43" t="n">
        <f aca="false">MAX(0,AM30-AN30-AO30)</f>
        <v>0</v>
      </c>
      <c r="AQ30" s="43" t="n">
        <f aca="false">F30+J30+N30+R30+V30+Z30+AD30+AH30+AL30+AP30</f>
        <v>0</v>
      </c>
      <c r="AR30" s="43" t="n">
        <f aca="false">D30+E30+H30+I30+L30+M30+P30+Q30+T30+U30+X30+Y30+AB30+AC30+AF30+AG30+AJ30+AK30+AN30+AO30</f>
        <v>0</v>
      </c>
    </row>
    <row r="31" customFormat="false" ht="15" hidden="false" customHeight="false" outlineLevel="0" collapsed="false">
      <c r="A31" s="0" t="n">
        <v>27</v>
      </c>
      <c r="B31" s="43" t="n">
        <f aca="false">MAX(0,Dívidas!$C$20-(D31+H31+L31+P31+T31+X31+AB31+AF31+AJ31+AN31))</f>
        <v>1450</v>
      </c>
      <c r="C31" s="43" t="n">
        <f aca="false">IF(F30&gt;0.005,F30*(1+Ordem!$K$6),0)</f>
        <v>0</v>
      </c>
      <c r="D31" s="43" t="n">
        <f aca="false">MIN(C31,Ordem!$L$6)</f>
        <v>0</v>
      </c>
      <c r="E31" s="43" t="n">
        <f aca="false">MAX(0,MIN(C31-D31,$B31-(0)))</f>
        <v>0</v>
      </c>
      <c r="F31" s="43" t="n">
        <f aca="false">MAX(0,C31-D31-E31)</f>
        <v>0</v>
      </c>
      <c r="G31" s="43" t="n">
        <f aca="false">IF(J30&gt;0.005,J30*(1+Ordem!$K$7),0)</f>
        <v>0</v>
      </c>
      <c r="H31" s="43" t="n">
        <f aca="false">MIN(G31,Ordem!$L$7)</f>
        <v>0</v>
      </c>
      <c r="I31" s="43" t="n">
        <f aca="false">MAX(0,MIN(G31-H31,$B31-(E31)))</f>
        <v>0</v>
      </c>
      <c r="J31" s="43" t="n">
        <f aca="false">MAX(0,G31-H31-I31)</f>
        <v>0</v>
      </c>
      <c r="K31" s="43" t="n">
        <f aca="false">IF(N30&gt;0.005,N30*(1+Ordem!$K$8),0)</f>
        <v>0</v>
      </c>
      <c r="L31" s="43" t="n">
        <f aca="false">MIN(K31,Ordem!$L$8)</f>
        <v>0</v>
      </c>
      <c r="M31" s="43" t="n">
        <f aca="false">MAX(0,MIN(K31-L31,$B31-(E31+I31)))</f>
        <v>0</v>
      </c>
      <c r="N31" s="43" t="n">
        <f aca="false">MAX(0,K31-L31-M31)</f>
        <v>0</v>
      </c>
      <c r="O31" s="43" t="n">
        <f aca="false">IF(R30&gt;0.005,R30*(1+Ordem!$K$9),0)</f>
        <v>0</v>
      </c>
      <c r="P31" s="43" t="n">
        <f aca="false">MIN(O31,Ordem!$L$9)</f>
        <v>0</v>
      </c>
      <c r="Q31" s="43" t="n">
        <f aca="false">MAX(0,MIN(O31-P31,$B31-(E31+I31+M31)))</f>
        <v>0</v>
      </c>
      <c r="R31" s="43" t="n">
        <f aca="false">MAX(0,O31-P31-Q31)</f>
        <v>0</v>
      </c>
      <c r="S31" s="43" t="n">
        <f aca="false">IF(V30&gt;0.005,V30*(1+Ordem!$K$10),0)</f>
        <v>0</v>
      </c>
      <c r="T31" s="43" t="n">
        <f aca="false">MIN(S31,Ordem!$L$10)</f>
        <v>0</v>
      </c>
      <c r="U31" s="43" t="n">
        <f aca="false">MAX(0,MIN(S31-T31,$B31-(E31+I31+M31+Q31)))</f>
        <v>0</v>
      </c>
      <c r="V31" s="43" t="n">
        <f aca="false">MAX(0,S31-T31-U31)</f>
        <v>0</v>
      </c>
      <c r="W31" s="43" t="n">
        <f aca="false">IF(Z30&gt;0.005,Z30*(1+Ordem!$K$11),0)</f>
        <v>0</v>
      </c>
      <c r="X31" s="43" t="n">
        <f aca="false">MIN(W31,Ordem!$L$11)</f>
        <v>0</v>
      </c>
      <c r="Y31" s="43" t="n">
        <f aca="false">MAX(0,MIN(W31-X31,$B31-(E31+I31+M31+Q31+U31)))</f>
        <v>0</v>
      </c>
      <c r="Z31" s="43" t="n">
        <f aca="false">MAX(0,W31-X31-Y31)</f>
        <v>0</v>
      </c>
      <c r="AA31" s="43" t="n">
        <f aca="false">IF(AD30&gt;0.005,AD30*(1+Ordem!$K$12),0)</f>
        <v>0</v>
      </c>
      <c r="AB31" s="43" t="n">
        <f aca="false">MIN(AA31,Ordem!$L$12)</f>
        <v>0</v>
      </c>
      <c r="AC31" s="43" t="n">
        <f aca="false">MAX(0,MIN(AA31-AB31,$B31-(E31+I31+M31+Q31+U31+Y31)))</f>
        <v>0</v>
      </c>
      <c r="AD31" s="43" t="n">
        <f aca="false">MAX(0,AA31-AB31-AC31)</f>
        <v>0</v>
      </c>
      <c r="AE31" s="43" t="n">
        <f aca="false">IF(AH30&gt;0.005,AH30*(1+Ordem!$K$13),0)</f>
        <v>0</v>
      </c>
      <c r="AF31" s="43" t="n">
        <f aca="false">MIN(AE31,Ordem!$L$13)</f>
        <v>0</v>
      </c>
      <c r="AG31" s="43" t="n">
        <f aca="false">MAX(0,MIN(AE31-AF31,$B31-(E31+I31+M31+Q31+U31+Y31+AC31)))</f>
        <v>0</v>
      </c>
      <c r="AH31" s="43" t="n">
        <f aca="false">MAX(0,AE31-AF31-AG31)</f>
        <v>0</v>
      </c>
      <c r="AI31" s="43" t="n">
        <f aca="false">IF(AL30&gt;0.005,AL30*(1+Ordem!$K$14),0)</f>
        <v>0</v>
      </c>
      <c r="AJ31" s="43" t="n">
        <f aca="false">MIN(AI31,Ordem!$L$14)</f>
        <v>0</v>
      </c>
      <c r="AK31" s="43" t="n">
        <f aca="false">MAX(0,MIN(AI31-AJ31,$B31-(E31+I31+M31+Q31+U31+Y31+AC31+AG31)))</f>
        <v>0</v>
      </c>
      <c r="AL31" s="43" t="n">
        <f aca="false">MAX(0,AI31-AJ31-AK31)</f>
        <v>0</v>
      </c>
      <c r="AM31" s="43" t="n">
        <f aca="false">IF(AP30&gt;0.005,AP30*(1+Ordem!$K$15),0)</f>
        <v>0</v>
      </c>
      <c r="AN31" s="43" t="n">
        <f aca="false">MIN(AM31,Ordem!$L$15)</f>
        <v>0</v>
      </c>
      <c r="AO31" s="43" t="n">
        <f aca="false">MAX(0,MIN(AM31-AN31,$B31-(E31+I31+M31+Q31+U31+Y31+AC31+AG31+AK31)))</f>
        <v>0</v>
      </c>
      <c r="AP31" s="43" t="n">
        <f aca="false">MAX(0,AM31-AN31-AO31)</f>
        <v>0</v>
      </c>
      <c r="AQ31" s="43" t="n">
        <f aca="false">F31+J31+N31+R31+V31+Z31+AD31+AH31+AL31+AP31</f>
        <v>0</v>
      </c>
      <c r="AR31" s="43" t="n">
        <f aca="false">D31+E31+H31+I31+L31+M31+P31+Q31+T31+U31+X31+Y31+AB31+AC31+AF31+AG31+AJ31+AK31+AN31+AO31</f>
        <v>0</v>
      </c>
    </row>
    <row r="32" customFormat="false" ht="15" hidden="false" customHeight="false" outlineLevel="0" collapsed="false">
      <c r="A32" s="0" t="n">
        <v>28</v>
      </c>
      <c r="B32" s="43" t="n">
        <f aca="false">MAX(0,Dívidas!$C$20-(D32+H32+L32+P32+T32+X32+AB32+AF32+AJ32+AN32))</f>
        <v>1450</v>
      </c>
      <c r="C32" s="43" t="n">
        <f aca="false">IF(F31&gt;0.005,F31*(1+Ordem!$K$6),0)</f>
        <v>0</v>
      </c>
      <c r="D32" s="43" t="n">
        <f aca="false">MIN(C32,Ordem!$L$6)</f>
        <v>0</v>
      </c>
      <c r="E32" s="43" t="n">
        <f aca="false">MAX(0,MIN(C32-D32,$B32-(0)))</f>
        <v>0</v>
      </c>
      <c r="F32" s="43" t="n">
        <f aca="false">MAX(0,C32-D32-E32)</f>
        <v>0</v>
      </c>
      <c r="G32" s="43" t="n">
        <f aca="false">IF(J31&gt;0.005,J31*(1+Ordem!$K$7),0)</f>
        <v>0</v>
      </c>
      <c r="H32" s="43" t="n">
        <f aca="false">MIN(G32,Ordem!$L$7)</f>
        <v>0</v>
      </c>
      <c r="I32" s="43" t="n">
        <f aca="false">MAX(0,MIN(G32-H32,$B32-(E32)))</f>
        <v>0</v>
      </c>
      <c r="J32" s="43" t="n">
        <f aca="false">MAX(0,G32-H32-I32)</f>
        <v>0</v>
      </c>
      <c r="K32" s="43" t="n">
        <f aca="false">IF(N31&gt;0.005,N31*(1+Ordem!$K$8),0)</f>
        <v>0</v>
      </c>
      <c r="L32" s="43" t="n">
        <f aca="false">MIN(K32,Ordem!$L$8)</f>
        <v>0</v>
      </c>
      <c r="M32" s="43" t="n">
        <f aca="false">MAX(0,MIN(K32-L32,$B32-(E32+I32)))</f>
        <v>0</v>
      </c>
      <c r="N32" s="43" t="n">
        <f aca="false">MAX(0,K32-L32-M32)</f>
        <v>0</v>
      </c>
      <c r="O32" s="43" t="n">
        <f aca="false">IF(R31&gt;0.005,R31*(1+Ordem!$K$9),0)</f>
        <v>0</v>
      </c>
      <c r="P32" s="43" t="n">
        <f aca="false">MIN(O32,Ordem!$L$9)</f>
        <v>0</v>
      </c>
      <c r="Q32" s="43" t="n">
        <f aca="false">MAX(0,MIN(O32-P32,$B32-(E32+I32+M32)))</f>
        <v>0</v>
      </c>
      <c r="R32" s="43" t="n">
        <f aca="false">MAX(0,O32-P32-Q32)</f>
        <v>0</v>
      </c>
      <c r="S32" s="43" t="n">
        <f aca="false">IF(V31&gt;0.005,V31*(1+Ordem!$K$10),0)</f>
        <v>0</v>
      </c>
      <c r="T32" s="43" t="n">
        <f aca="false">MIN(S32,Ordem!$L$10)</f>
        <v>0</v>
      </c>
      <c r="U32" s="43" t="n">
        <f aca="false">MAX(0,MIN(S32-T32,$B32-(E32+I32+M32+Q32)))</f>
        <v>0</v>
      </c>
      <c r="V32" s="43" t="n">
        <f aca="false">MAX(0,S32-T32-U32)</f>
        <v>0</v>
      </c>
      <c r="W32" s="43" t="n">
        <f aca="false">IF(Z31&gt;0.005,Z31*(1+Ordem!$K$11),0)</f>
        <v>0</v>
      </c>
      <c r="X32" s="43" t="n">
        <f aca="false">MIN(W32,Ordem!$L$11)</f>
        <v>0</v>
      </c>
      <c r="Y32" s="43" t="n">
        <f aca="false">MAX(0,MIN(W32-X32,$B32-(E32+I32+M32+Q32+U32)))</f>
        <v>0</v>
      </c>
      <c r="Z32" s="43" t="n">
        <f aca="false">MAX(0,W32-X32-Y32)</f>
        <v>0</v>
      </c>
      <c r="AA32" s="43" t="n">
        <f aca="false">IF(AD31&gt;0.005,AD31*(1+Ordem!$K$12),0)</f>
        <v>0</v>
      </c>
      <c r="AB32" s="43" t="n">
        <f aca="false">MIN(AA32,Ordem!$L$12)</f>
        <v>0</v>
      </c>
      <c r="AC32" s="43" t="n">
        <f aca="false">MAX(0,MIN(AA32-AB32,$B32-(E32+I32+M32+Q32+U32+Y32)))</f>
        <v>0</v>
      </c>
      <c r="AD32" s="43" t="n">
        <f aca="false">MAX(0,AA32-AB32-AC32)</f>
        <v>0</v>
      </c>
      <c r="AE32" s="43" t="n">
        <f aca="false">IF(AH31&gt;0.005,AH31*(1+Ordem!$K$13),0)</f>
        <v>0</v>
      </c>
      <c r="AF32" s="43" t="n">
        <f aca="false">MIN(AE32,Ordem!$L$13)</f>
        <v>0</v>
      </c>
      <c r="AG32" s="43" t="n">
        <f aca="false">MAX(0,MIN(AE32-AF32,$B32-(E32+I32+M32+Q32+U32+Y32+AC32)))</f>
        <v>0</v>
      </c>
      <c r="AH32" s="43" t="n">
        <f aca="false">MAX(0,AE32-AF32-AG32)</f>
        <v>0</v>
      </c>
      <c r="AI32" s="43" t="n">
        <f aca="false">IF(AL31&gt;0.005,AL31*(1+Ordem!$K$14),0)</f>
        <v>0</v>
      </c>
      <c r="AJ32" s="43" t="n">
        <f aca="false">MIN(AI32,Ordem!$L$14)</f>
        <v>0</v>
      </c>
      <c r="AK32" s="43" t="n">
        <f aca="false">MAX(0,MIN(AI32-AJ32,$B32-(E32+I32+M32+Q32+U32+Y32+AC32+AG32)))</f>
        <v>0</v>
      </c>
      <c r="AL32" s="43" t="n">
        <f aca="false">MAX(0,AI32-AJ32-AK32)</f>
        <v>0</v>
      </c>
      <c r="AM32" s="43" t="n">
        <f aca="false">IF(AP31&gt;0.005,AP31*(1+Ordem!$K$15),0)</f>
        <v>0</v>
      </c>
      <c r="AN32" s="43" t="n">
        <f aca="false">MIN(AM32,Ordem!$L$15)</f>
        <v>0</v>
      </c>
      <c r="AO32" s="43" t="n">
        <f aca="false">MAX(0,MIN(AM32-AN32,$B32-(E32+I32+M32+Q32+U32+Y32+AC32+AG32+AK32)))</f>
        <v>0</v>
      </c>
      <c r="AP32" s="43" t="n">
        <f aca="false">MAX(0,AM32-AN32-AO32)</f>
        <v>0</v>
      </c>
      <c r="AQ32" s="43" t="n">
        <f aca="false">F32+J32+N32+R32+V32+Z32+AD32+AH32+AL32+AP32</f>
        <v>0</v>
      </c>
      <c r="AR32" s="43" t="n">
        <f aca="false">D32+E32+H32+I32+L32+M32+P32+Q32+T32+U32+X32+Y32+AB32+AC32+AF32+AG32+AJ32+AK32+AN32+AO32</f>
        <v>0</v>
      </c>
    </row>
    <row r="33" customFormat="false" ht="15" hidden="false" customHeight="false" outlineLevel="0" collapsed="false">
      <c r="A33" s="0" t="n">
        <v>29</v>
      </c>
      <c r="B33" s="43" t="n">
        <f aca="false">MAX(0,Dívidas!$C$20-(D33+H33+L33+P33+T33+X33+AB33+AF33+AJ33+AN33))</f>
        <v>1450</v>
      </c>
      <c r="C33" s="43" t="n">
        <f aca="false">IF(F32&gt;0.005,F32*(1+Ordem!$K$6),0)</f>
        <v>0</v>
      </c>
      <c r="D33" s="43" t="n">
        <f aca="false">MIN(C33,Ordem!$L$6)</f>
        <v>0</v>
      </c>
      <c r="E33" s="43" t="n">
        <f aca="false">MAX(0,MIN(C33-D33,$B33-(0)))</f>
        <v>0</v>
      </c>
      <c r="F33" s="43" t="n">
        <f aca="false">MAX(0,C33-D33-E33)</f>
        <v>0</v>
      </c>
      <c r="G33" s="43" t="n">
        <f aca="false">IF(J32&gt;0.005,J32*(1+Ordem!$K$7),0)</f>
        <v>0</v>
      </c>
      <c r="H33" s="43" t="n">
        <f aca="false">MIN(G33,Ordem!$L$7)</f>
        <v>0</v>
      </c>
      <c r="I33" s="43" t="n">
        <f aca="false">MAX(0,MIN(G33-H33,$B33-(E33)))</f>
        <v>0</v>
      </c>
      <c r="J33" s="43" t="n">
        <f aca="false">MAX(0,G33-H33-I33)</f>
        <v>0</v>
      </c>
      <c r="K33" s="43" t="n">
        <f aca="false">IF(N32&gt;0.005,N32*(1+Ordem!$K$8),0)</f>
        <v>0</v>
      </c>
      <c r="L33" s="43" t="n">
        <f aca="false">MIN(K33,Ordem!$L$8)</f>
        <v>0</v>
      </c>
      <c r="M33" s="43" t="n">
        <f aca="false">MAX(0,MIN(K33-L33,$B33-(E33+I33)))</f>
        <v>0</v>
      </c>
      <c r="N33" s="43" t="n">
        <f aca="false">MAX(0,K33-L33-M33)</f>
        <v>0</v>
      </c>
      <c r="O33" s="43" t="n">
        <f aca="false">IF(R32&gt;0.005,R32*(1+Ordem!$K$9),0)</f>
        <v>0</v>
      </c>
      <c r="P33" s="43" t="n">
        <f aca="false">MIN(O33,Ordem!$L$9)</f>
        <v>0</v>
      </c>
      <c r="Q33" s="43" t="n">
        <f aca="false">MAX(0,MIN(O33-P33,$B33-(E33+I33+M33)))</f>
        <v>0</v>
      </c>
      <c r="R33" s="43" t="n">
        <f aca="false">MAX(0,O33-P33-Q33)</f>
        <v>0</v>
      </c>
      <c r="S33" s="43" t="n">
        <f aca="false">IF(V32&gt;0.005,V32*(1+Ordem!$K$10),0)</f>
        <v>0</v>
      </c>
      <c r="T33" s="43" t="n">
        <f aca="false">MIN(S33,Ordem!$L$10)</f>
        <v>0</v>
      </c>
      <c r="U33" s="43" t="n">
        <f aca="false">MAX(0,MIN(S33-T33,$B33-(E33+I33+M33+Q33)))</f>
        <v>0</v>
      </c>
      <c r="V33" s="43" t="n">
        <f aca="false">MAX(0,S33-T33-U33)</f>
        <v>0</v>
      </c>
      <c r="W33" s="43" t="n">
        <f aca="false">IF(Z32&gt;0.005,Z32*(1+Ordem!$K$11),0)</f>
        <v>0</v>
      </c>
      <c r="X33" s="43" t="n">
        <f aca="false">MIN(W33,Ordem!$L$11)</f>
        <v>0</v>
      </c>
      <c r="Y33" s="43" t="n">
        <f aca="false">MAX(0,MIN(W33-X33,$B33-(E33+I33+M33+Q33+U33)))</f>
        <v>0</v>
      </c>
      <c r="Z33" s="43" t="n">
        <f aca="false">MAX(0,W33-X33-Y33)</f>
        <v>0</v>
      </c>
      <c r="AA33" s="43" t="n">
        <f aca="false">IF(AD32&gt;0.005,AD32*(1+Ordem!$K$12),0)</f>
        <v>0</v>
      </c>
      <c r="AB33" s="43" t="n">
        <f aca="false">MIN(AA33,Ordem!$L$12)</f>
        <v>0</v>
      </c>
      <c r="AC33" s="43" t="n">
        <f aca="false">MAX(0,MIN(AA33-AB33,$B33-(E33+I33+M33+Q33+U33+Y33)))</f>
        <v>0</v>
      </c>
      <c r="AD33" s="43" t="n">
        <f aca="false">MAX(0,AA33-AB33-AC33)</f>
        <v>0</v>
      </c>
      <c r="AE33" s="43" t="n">
        <f aca="false">IF(AH32&gt;0.005,AH32*(1+Ordem!$K$13),0)</f>
        <v>0</v>
      </c>
      <c r="AF33" s="43" t="n">
        <f aca="false">MIN(AE33,Ordem!$L$13)</f>
        <v>0</v>
      </c>
      <c r="AG33" s="43" t="n">
        <f aca="false">MAX(0,MIN(AE33-AF33,$B33-(E33+I33+M33+Q33+U33+Y33+AC33)))</f>
        <v>0</v>
      </c>
      <c r="AH33" s="43" t="n">
        <f aca="false">MAX(0,AE33-AF33-AG33)</f>
        <v>0</v>
      </c>
      <c r="AI33" s="43" t="n">
        <f aca="false">IF(AL32&gt;0.005,AL32*(1+Ordem!$K$14),0)</f>
        <v>0</v>
      </c>
      <c r="AJ33" s="43" t="n">
        <f aca="false">MIN(AI33,Ordem!$L$14)</f>
        <v>0</v>
      </c>
      <c r="AK33" s="43" t="n">
        <f aca="false">MAX(0,MIN(AI33-AJ33,$B33-(E33+I33+M33+Q33+U33+Y33+AC33+AG33)))</f>
        <v>0</v>
      </c>
      <c r="AL33" s="43" t="n">
        <f aca="false">MAX(0,AI33-AJ33-AK33)</f>
        <v>0</v>
      </c>
      <c r="AM33" s="43" t="n">
        <f aca="false">IF(AP32&gt;0.005,AP32*(1+Ordem!$K$15),0)</f>
        <v>0</v>
      </c>
      <c r="AN33" s="43" t="n">
        <f aca="false">MIN(AM33,Ordem!$L$15)</f>
        <v>0</v>
      </c>
      <c r="AO33" s="43" t="n">
        <f aca="false">MAX(0,MIN(AM33-AN33,$B33-(E33+I33+M33+Q33+U33+Y33+AC33+AG33+AK33)))</f>
        <v>0</v>
      </c>
      <c r="AP33" s="43" t="n">
        <f aca="false">MAX(0,AM33-AN33-AO33)</f>
        <v>0</v>
      </c>
      <c r="AQ33" s="43" t="n">
        <f aca="false">F33+J33+N33+R33+V33+Z33+AD33+AH33+AL33+AP33</f>
        <v>0</v>
      </c>
      <c r="AR33" s="43" t="n">
        <f aca="false">D33+E33+H33+I33+L33+M33+P33+Q33+T33+U33+X33+Y33+AB33+AC33+AF33+AG33+AJ33+AK33+AN33+AO33</f>
        <v>0</v>
      </c>
    </row>
    <row r="34" customFormat="false" ht="15" hidden="false" customHeight="false" outlineLevel="0" collapsed="false">
      <c r="A34" s="0" t="n">
        <v>30</v>
      </c>
      <c r="B34" s="43" t="n">
        <f aca="false">MAX(0,Dívidas!$C$20-(D34+H34+L34+P34+T34+X34+AB34+AF34+AJ34+AN34))</f>
        <v>1450</v>
      </c>
      <c r="C34" s="43" t="n">
        <f aca="false">IF(F33&gt;0.005,F33*(1+Ordem!$K$6),0)</f>
        <v>0</v>
      </c>
      <c r="D34" s="43" t="n">
        <f aca="false">MIN(C34,Ordem!$L$6)</f>
        <v>0</v>
      </c>
      <c r="E34" s="43" t="n">
        <f aca="false">MAX(0,MIN(C34-D34,$B34-(0)))</f>
        <v>0</v>
      </c>
      <c r="F34" s="43" t="n">
        <f aca="false">MAX(0,C34-D34-E34)</f>
        <v>0</v>
      </c>
      <c r="G34" s="43" t="n">
        <f aca="false">IF(J33&gt;0.005,J33*(1+Ordem!$K$7),0)</f>
        <v>0</v>
      </c>
      <c r="H34" s="43" t="n">
        <f aca="false">MIN(G34,Ordem!$L$7)</f>
        <v>0</v>
      </c>
      <c r="I34" s="43" t="n">
        <f aca="false">MAX(0,MIN(G34-H34,$B34-(E34)))</f>
        <v>0</v>
      </c>
      <c r="J34" s="43" t="n">
        <f aca="false">MAX(0,G34-H34-I34)</f>
        <v>0</v>
      </c>
      <c r="K34" s="43" t="n">
        <f aca="false">IF(N33&gt;0.005,N33*(1+Ordem!$K$8),0)</f>
        <v>0</v>
      </c>
      <c r="L34" s="43" t="n">
        <f aca="false">MIN(K34,Ordem!$L$8)</f>
        <v>0</v>
      </c>
      <c r="M34" s="43" t="n">
        <f aca="false">MAX(0,MIN(K34-L34,$B34-(E34+I34)))</f>
        <v>0</v>
      </c>
      <c r="N34" s="43" t="n">
        <f aca="false">MAX(0,K34-L34-M34)</f>
        <v>0</v>
      </c>
      <c r="O34" s="43" t="n">
        <f aca="false">IF(R33&gt;0.005,R33*(1+Ordem!$K$9),0)</f>
        <v>0</v>
      </c>
      <c r="P34" s="43" t="n">
        <f aca="false">MIN(O34,Ordem!$L$9)</f>
        <v>0</v>
      </c>
      <c r="Q34" s="43" t="n">
        <f aca="false">MAX(0,MIN(O34-P34,$B34-(E34+I34+M34)))</f>
        <v>0</v>
      </c>
      <c r="R34" s="43" t="n">
        <f aca="false">MAX(0,O34-P34-Q34)</f>
        <v>0</v>
      </c>
      <c r="S34" s="43" t="n">
        <f aca="false">IF(V33&gt;0.005,V33*(1+Ordem!$K$10),0)</f>
        <v>0</v>
      </c>
      <c r="T34" s="43" t="n">
        <f aca="false">MIN(S34,Ordem!$L$10)</f>
        <v>0</v>
      </c>
      <c r="U34" s="43" t="n">
        <f aca="false">MAX(0,MIN(S34-T34,$B34-(E34+I34+M34+Q34)))</f>
        <v>0</v>
      </c>
      <c r="V34" s="43" t="n">
        <f aca="false">MAX(0,S34-T34-U34)</f>
        <v>0</v>
      </c>
      <c r="W34" s="43" t="n">
        <f aca="false">IF(Z33&gt;0.005,Z33*(1+Ordem!$K$11),0)</f>
        <v>0</v>
      </c>
      <c r="X34" s="43" t="n">
        <f aca="false">MIN(W34,Ordem!$L$11)</f>
        <v>0</v>
      </c>
      <c r="Y34" s="43" t="n">
        <f aca="false">MAX(0,MIN(W34-X34,$B34-(E34+I34+M34+Q34+U34)))</f>
        <v>0</v>
      </c>
      <c r="Z34" s="43" t="n">
        <f aca="false">MAX(0,W34-X34-Y34)</f>
        <v>0</v>
      </c>
      <c r="AA34" s="43" t="n">
        <f aca="false">IF(AD33&gt;0.005,AD33*(1+Ordem!$K$12),0)</f>
        <v>0</v>
      </c>
      <c r="AB34" s="43" t="n">
        <f aca="false">MIN(AA34,Ordem!$L$12)</f>
        <v>0</v>
      </c>
      <c r="AC34" s="43" t="n">
        <f aca="false">MAX(0,MIN(AA34-AB34,$B34-(E34+I34+M34+Q34+U34+Y34)))</f>
        <v>0</v>
      </c>
      <c r="AD34" s="43" t="n">
        <f aca="false">MAX(0,AA34-AB34-AC34)</f>
        <v>0</v>
      </c>
      <c r="AE34" s="43" t="n">
        <f aca="false">IF(AH33&gt;0.005,AH33*(1+Ordem!$K$13),0)</f>
        <v>0</v>
      </c>
      <c r="AF34" s="43" t="n">
        <f aca="false">MIN(AE34,Ordem!$L$13)</f>
        <v>0</v>
      </c>
      <c r="AG34" s="43" t="n">
        <f aca="false">MAX(0,MIN(AE34-AF34,$B34-(E34+I34+M34+Q34+U34+Y34+AC34)))</f>
        <v>0</v>
      </c>
      <c r="AH34" s="43" t="n">
        <f aca="false">MAX(0,AE34-AF34-AG34)</f>
        <v>0</v>
      </c>
      <c r="AI34" s="43" t="n">
        <f aca="false">IF(AL33&gt;0.005,AL33*(1+Ordem!$K$14),0)</f>
        <v>0</v>
      </c>
      <c r="AJ34" s="43" t="n">
        <f aca="false">MIN(AI34,Ordem!$L$14)</f>
        <v>0</v>
      </c>
      <c r="AK34" s="43" t="n">
        <f aca="false">MAX(0,MIN(AI34-AJ34,$B34-(E34+I34+M34+Q34+U34+Y34+AC34+AG34)))</f>
        <v>0</v>
      </c>
      <c r="AL34" s="43" t="n">
        <f aca="false">MAX(0,AI34-AJ34-AK34)</f>
        <v>0</v>
      </c>
      <c r="AM34" s="43" t="n">
        <f aca="false">IF(AP33&gt;0.005,AP33*(1+Ordem!$K$15),0)</f>
        <v>0</v>
      </c>
      <c r="AN34" s="43" t="n">
        <f aca="false">MIN(AM34,Ordem!$L$15)</f>
        <v>0</v>
      </c>
      <c r="AO34" s="43" t="n">
        <f aca="false">MAX(0,MIN(AM34-AN34,$B34-(E34+I34+M34+Q34+U34+Y34+AC34+AG34+AK34)))</f>
        <v>0</v>
      </c>
      <c r="AP34" s="43" t="n">
        <f aca="false">MAX(0,AM34-AN34-AO34)</f>
        <v>0</v>
      </c>
      <c r="AQ34" s="43" t="n">
        <f aca="false">F34+J34+N34+R34+V34+Z34+AD34+AH34+AL34+AP34</f>
        <v>0</v>
      </c>
      <c r="AR34" s="43" t="n">
        <f aca="false">D34+E34+H34+I34+L34+M34+P34+Q34+T34+U34+X34+Y34+AB34+AC34+AF34+AG34+AJ34+AK34+AN34+AO34</f>
        <v>0</v>
      </c>
    </row>
    <row r="35" customFormat="false" ht="15" hidden="false" customHeight="false" outlineLevel="0" collapsed="false">
      <c r="A35" s="0" t="n">
        <v>31</v>
      </c>
      <c r="B35" s="43" t="n">
        <f aca="false">MAX(0,Dívidas!$C$20-(D35+H35+L35+P35+T35+X35+AB35+AF35+AJ35+AN35))</f>
        <v>1450</v>
      </c>
      <c r="C35" s="43" t="n">
        <f aca="false">IF(F34&gt;0.005,F34*(1+Ordem!$K$6),0)</f>
        <v>0</v>
      </c>
      <c r="D35" s="43" t="n">
        <f aca="false">MIN(C35,Ordem!$L$6)</f>
        <v>0</v>
      </c>
      <c r="E35" s="43" t="n">
        <f aca="false">MAX(0,MIN(C35-D35,$B35-(0)))</f>
        <v>0</v>
      </c>
      <c r="F35" s="43" t="n">
        <f aca="false">MAX(0,C35-D35-E35)</f>
        <v>0</v>
      </c>
      <c r="G35" s="43" t="n">
        <f aca="false">IF(J34&gt;0.005,J34*(1+Ordem!$K$7),0)</f>
        <v>0</v>
      </c>
      <c r="H35" s="43" t="n">
        <f aca="false">MIN(G35,Ordem!$L$7)</f>
        <v>0</v>
      </c>
      <c r="I35" s="43" t="n">
        <f aca="false">MAX(0,MIN(G35-H35,$B35-(E35)))</f>
        <v>0</v>
      </c>
      <c r="J35" s="43" t="n">
        <f aca="false">MAX(0,G35-H35-I35)</f>
        <v>0</v>
      </c>
      <c r="K35" s="43" t="n">
        <f aca="false">IF(N34&gt;0.005,N34*(1+Ordem!$K$8),0)</f>
        <v>0</v>
      </c>
      <c r="L35" s="43" t="n">
        <f aca="false">MIN(K35,Ordem!$L$8)</f>
        <v>0</v>
      </c>
      <c r="M35" s="43" t="n">
        <f aca="false">MAX(0,MIN(K35-L35,$B35-(E35+I35)))</f>
        <v>0</v>
      </c>
      <c r="N35" s="43" t="n">
        <f aca="false">MAX(0,K35-L35-M35)</f>
        <v>0</v>
      </c>
      <c r="O35" s="43" t="n">
        <f aca="false">IF(R34&gt;0.005,R34*(1+Ordem!$K$9),0)</f>
        <v>0</v>
      </c>
      <c r="P35" s="43" t="n">
        <f aca="false">MIN(O35,Ordem!$L$9)</f>
        <v>0</v>
      </c>
      <c r="Q35" s="43" t="n">
        <f aca="false">MAX(0,MIN(O35-P35,$B35-(E35+I35+M35)))</f>
        <v>0</v>
      </c>
      <c r="R35" s="43" t="n">
        <f aca="false">MAX(0,O35-P35-Q35)</f>
        <v>0</v>
      </c>
      <c r="S35" s="43" t="n">
        <f aca="false">IF(V34&gt;0.005,V34*(1+Ordem!$K$10),0)</f>
        <v>0</v>
      </c>
      <c r="T35" s="43" t="n">
        <f aca="false">MIN(S35,Ordem!$L$10)</f>
        <v>0</v>
      </c>
      <c r="U35" s="43" t="n">
        <f aca="false">MAX(0,MIN(S35-T35,$B35-(E35+I35+M35+Q35)))</f>
        <v>0</v>
      </c>
      <c r="V35" s="43" t="n">
        <f aca="false">MAX(0,S35-T35-U35)</f>
        <v>0</v>
      </c>
      <c r="W35" s="43" t="n">
        <f aca="false">IF(Z34&gt;0.005,Z34*(1+Ordem!$K$11),0)</f>
        <v>0</v>
      </c>
      <c r="X35" s="43" t="n">
        <f aca="false">MIN(W35,Ordem!$L$11)</f>
        <v>0</v>
      </c>
      <c r="Y35" s="43" t="n">
        <f aca="false">MAX(0,MIN(W35-X35,$B35-(E35+I35+M35+Q35+U35)))</f>
        <v>0</v>
      </c>
      <c r="Z35" s="43" t="n">
        <f aca="false">MAX(0,W35-X35-Y35)</f>
        <v>0</v>
      </c>
      <c r="AA35" s="43" t="n">
        <f aca="false">IF(AD34&gt;0.005,AD34*(1+Ordem!$K$12),0)</f>
        <v>0</v>
      </c>
      <c r="AB35" s="43" t="n">
        <f aca="false">MIN(AA35,Ordem!$L$12)</f>
        <v>0</v>
      </c>
      <c r="AC35" s="43" t="n">
        <f aca="false">MAX(0,MIN(AA35-AB35,$B35-(E35+I35+M35+Q35+U35+Y35)))</f>
        <v>0</v>
      </c>
      <c r="AD35" s="43" t="n">
        <f aca="false">MAX(0,AA35-AB35-AC35)</f>
        <v>0</v>
      </c>
      <c r="AE35" s="43" t="n">
        <f aca="false">IF(AH34&gt;0.005,AH34*(1+Ordem!$K$13),0)</f>
        <v>0</v>
      </c>
      <c r="AF35" s="43" t="n">
        <f aca="false">MIN(AE35,Ordem!$L$13)</f>
        <v>0</v>
      </c>
      <c r="AG35" s="43" t="n">
        <f aca="false">MAX(0,MIN(AE35-AF35,$B35-(E35+I35+M35+Q35+U35+Y35+AC35)))</f>
        <v>0</v>
      </c>
      <c r="AH35" s="43" t="n">
        <f aca="false">MAX(0,AE35-AF35-AG35)</f>
        <v>0</v>
      </c>
      <c r="AI35" s="43" t="n">
        <f aca="false">IF(AL34&gt;0.005,AL34*(1+Ordem!$K$14),0)</f>
        <v>0</v>
      </c>
      <c r="AJ35" s="43" t="n">
        <f aca="false">MIN(AI35,Ordem!$L$14)</f>
        <v>0</v>
      </c>
      <c r="AK35" s="43" t="n">
        <f aca="false">MAX(0,MIN(AI35-AJ35,$B35-(E35+I35+M35+Q35+U35+Y35+AC35+AG35)))</f>
        <v>0</v>
      </c>
      <c r="AL35" s="43" t="n">
        <f aca="false">MAX(0,AI35-AJ35-AK35)</f>
        <v>0</v>
      </c>
      <c r="AM35" s="43" t="n">
        <f aca="false">IF(AP34&gt;0.005,AP34*(1+Ordem!$K$15),0)</f>
        <v>0</v>
      </c>
      <c r="AN35" s="43" t="n">
        <f aca="false">MIN(AM35,Ordem!$L$15)</f>
        <v>0</v>
      </c>
      <c r="AO35" s="43" t="n">
        <f aca="false">MAX(0,MIN(AM35-AN35,$B35-(E35+I35+M35+Q35+U35+Y35+AC35+AG35+AK35)))</f>
        <v>0</v>
      </c>
      <c r="AP35" s="43" t="n">
        <f aca="false">MAX(0,AM35-AN35-AO35)</f>
        <v>0</v>
      </c>
      <c r="AQ35" s="43" t="n">
        <f aca="false">F35+J35+N35+R35+V35+Z35+AD35+AH35+AL35+AP35</f>
        <v>0</v>
      </c>
      <c r="AR35" s="43" t="n">
        <f aca="false">D35+E35+H35+I35+L35+M35+P35+Q35+T35+U35+X35+Y35+AB35+AC35+AF35+AG35+AJ35+AK35+AN35+AO35</f>
        <v>0</v>
      </c>
    </row>
    <row r="36" customFormat="false" ht="15" hidden="false" customHeight="false" outlineLevel="0" collapsed="false">
      <c r="A36" s="0" t="n">
        <v>32</v>
      </c>
      <c r="B36" s="43" t="n">
        <f aca="false">MAX(0,Dívidas!$C$20-(D36+H36+L36+P36+T36+X36+AB36+AF36+AJ36+AN36))</f>
        <v>1450</v>
      </c>
      <c r="C36" s="43" t="n">
        <f aca="false">IF(F35&gt;0.005,F35*(1+Ordem!$K$6),0)</f>
        <v>0</v>
      </c>
      <c r="D36" s="43" t="n">
        <f aca="false">MIN(C36,Ordem!$L$6)</f>
        <v>0</v>
      </c>
      <c r="E36" s="43" t="n">
        <f aca="false">MAX(0,MIN(C36-D36,$B36-(0)))</f>
        <v>0</v>
      </c>
      <c r="F36" s="43" t="n">
        <f aca="false">MAX(0,C36-D36-E36)</f>
        <v>0</v>
      </c>
      <c r="G36" s="43" t="n">
        <f aca="false">IF(J35&gt;0.005,J35*(1+Ordem!$K$7),0)</f>
        <v>0</v>
      </c>
      <c r="H36" s="43" t="n">
        <f aca="false">MIN(G36,Ordem!$L$7)</f>
        <v>0</v>
      </c>
      <c r="I36" s="43" t="n">
        <f aca="false">MAX(0,MIN(G36-H36,$B36-(E36)))</f>
        <v>0</v>
      </c>
      <c r="J36" s="43" t="n">
        <f aca="false">MAX(0,G36-H36-I36)</f>
        <v>0</v>
      </c>
      <c r="K36" s="43" t="n">
        <f aca="false">IF(N35&gt;0.005,N35*(1+Ordem!$K$8),0)</f>
        <v>0</v>
      </c>
      <c r="L36" s="43" t="n">
        <f aca="false">MIN(K36,Ordem!$L$8)</f>
        <v>0</v>
      </c>
      <c r="M36" s="43" t="n">
        <f aca="false">MAX(0,MIN(K36-L36,$B36-(E36+I36)))</f>
        <v>0</v>
      </c>
      <c r="N36" s="43" t="n">
        <f aca="false">MAX(0,K36-L36-M36)</f>
        <v>0</v>
      </c>
      <c r="O36" s="43" t="n">
        <f aca="false">IF(R35&gt;0.005,R35*(1+Ordem!$K$9),0)</f>
        <v>0</v>
      </c>
      <c r="P36" s="43" t="n">
        <f aca="false">MIN(O36,Ordem!$L$9)</f>
        <v>0</v>
      </c>
      <c r="Q36" s="43" t="n">
        <f aca="false">MAX(0,MIN(O36-P36,$B36-(E36+I36+M36)))</f>
        <v>0</v>
      </c>
      <c r="R36" s="43" t="n">
        <f aca="false">MAX(0,O36-P36-Q36)</f>
        <v>0</v>
      </c>
      <c r="S36" s="43" t="n">
        <f aca="false">IF(V35&gt;0.005,V35*(1+Ordem!$K$10),0)</f>
        <v>0</v>
      </c>
      <c r="T36" s="43" t="n">
        <f aca="false">MIN(S36,Ordem!$L$10)</f>
        <v>0</v>
      </c>
      <c r="U36" s="43" t="n">
        <f aca="false">MAX(0,MIN(S36-T36,$B36-(E36+I36+M36+Q36)))</f>
        <v>0</v>
      </c>
      <c r="V36" s="43" t="n">
        <f aca="false">MAX(0,S36-T36-U36)</f>
        <v>0</v>
      </c>
      <c r="W36" s="43" t="n">
        <f aca="false">IF(Z35&gt;0.005,Z35*(1+Ordem!$K$11),0)</f>
        <v>0</v>
      </c>
      <c r="X36" s="43" t="n">
        <f aca="false">MIN(W36,Ordem!$L$11)</f>
        <v>0</v>
      </c>
      <c r="Y36" s="43" t="n">
        <f aca="false">MAX(0,MIN(W36-X36,$B36-(E36+I36+M36+Q36+U36)))</f>
        <v>0</v>
      </c>
      <c r="Z36" s="43" t="n">
        <f aca="false">MAX(0,W36-X36-Y36)</f>
        <v>0</v>
      </c>
      <c r="AA36" s="43" t="n">
        <f aca="false">IF(AD35&gt;0.005,AD35*(1+Ordem!$K$12),0)</f>
        <v>0</v>
      </c>
      <c r="AB36" s="43" t="n">
        <f aca="false">MIN(AA36,Ordem!$L$12)</f>
        <v>0</v>
      </c>
      <c r="AC36" s="43" t="n">
        <f aca="false">MAX(0,MIN(AA36-AB36,$B36-(E36+I36+M36+Q36+U36+Y36)))</f>
        <v>0</v>
      </c>
      <c r="AD36" s="43" t="n">
        <f aca="false">MAX(0,AA36-AB36-AC36)</f>
        <v>0</v>
      </c>
      <c r="AE36" s="43" t="n">
        <f aca="false">IF(AH35&gt;0.005,AH35*(1+Ordem!$K$13),0)</f>
        <v>0</v>
      </c>
      <c r="AF36" s="43" t="n">
        <f aca="false">MIN(AE36,Ordem!$L$13)</f>
        <v>0</v>
      </c>
      <c r="AG36" s="43" t="n">
        <f aca="false">MAX(0,MIN(AE36-AF36,$B36-(E36+I36+M36+Q36+U36+Y36+AC36)))</f>
        <v>0</v>
      </c>
      <c r="AH36" s="43" t="n">
        <f aca="false">MAX(0,AE36-AF36-AG36)</f>
        <v>0</v>
      </c>
      <c r="AI36" s="43" t="n">
        <f aca="false">IF(AL35&gt;0.005,AL35*(1+Ordem!$K$14),0)</f>
        <v>0</v>
      </c>
      <c r="AJ36" s="43" t="n">
        <f aca="false">MIN(AI36,Ordem!$L$14)</f>
        <v>0</v>
      </c>
      <c r="AK36" s="43" t="n">
        <f aca="false">MAX(0,MIN(AI36-AJ36,$B36-(E36+I36+M36+Q36+U36+Y36+AC36+AG36)))</f>
        <v>0</v>
      </c>
      <c r="AL36" s="43" t="n">
        <f aca="false">MAX(0,AI36-AJ36-AK36)</f>
        <v>0</v>
      </c>
      <c r="AM36" s="43" t="n">
        <f aca="false">IF(AP35&gt;0.005,AP35*(1+Ordem!$K$15),0)</f>
        <v>0</v>
      </c>
      <c r="AN36" s="43" t="n">
        <f aca="false">MIN(AM36,Ordem!$L$15)</f>
        <v>0</v>
      </c>
      <c r="AO36" s="43" t="n">
        <f aca="false">MAX(0,MIN(AM36-AN36,$B36-(E36+I36+M36+Q36+U36+Y36+AC36+AG36+AK36)))</f>
        <v>0</v>
      </c>
      <c r="AP36" s="43" t="n">
        <f aca="false">MAX(0,AM36-AN36-AO36)</f>
        <v>0</v>
      </c>
      <c r="AQ36" s="43" t="n">
        <f aca="false">F36+J36+N36+R36+V36+Z36+AD36+AH36+AL36+AP36</f>
        <v>0</v>
      </c>
      <c r="AR36" s="43" t="n">
        <f aca="false">D36+E36+H36+I36+L36+M36+P36+Q36+T36+U36+X36+Y36+AB36+AC36+AF36+AG36+AJ36+AK36+AN36+AO36</f>
        <v>0</v>
      </c>
    </row>
    <row r="37" customFormat="false" ht="15" hidden="false" customHeight="false" outlineLevel="0" collapsed="false">
      <c r="A37" s="0" t="n">
        <v>33</v>
      </c>
      <c r="B37" s="43" t="n">
        <f aca="false">MAX(0,Dívidas!$C$20-(D37+H37+L37+P37+T37+X37+AB37+AF37+AJ37+AN37))</f>
        <v>1450</v>
      </c>
      <c r="C37" s="43" t="n">
        <f aca="false">IF(F36&gt;0.005,F36*(1+Ordem!$K$6),0)</f>
        <v>0</v>
      </c>
      <c r="D37" s="43" t="n">
        <f aca="false">MIN(C37,Ordem!$L$6)</f>
        <v>0</v>
      </c>
      <c r="E37" s="43" t="n">
        <f aca="false">MAX(0,MIN(C37-D37,$B37-(0)))</f>
        <v>0</v>
      </c>
      <c r="F37" s="43" t="n">
        <f aca="false">MAX(0,C37-D37-E37)</f>
        <v>0</v>
      </c>
      <c r="G37" s="43" t="n">
        <f aca="false">IF(J36&gt;0.005,J36*(1+Ordem!$K$7),0)</f>
        <v>0</v>
      </c>
      <c r="H37" s="43" t="n">
        <f aca="false">MIN(G37,Ordem!$L$7)</f>
        <v>0</v>
      </c>
      <c r="I37" s="43" t="n">
        <f aca="false">MAX(0,MIN(G37-H37,$B37-(E37)))</f>
        <v>0</v>
      </c>
      <c r="J37" s="43" t="n">
        <f aca="false">MAX(0,G37-H37-I37)</f>
        <v>0</v>
      </c>
      <c r="K37" s="43" t="n">
        <f aca="false">IF(N36&gt;0.005,N36*(1+Ordem!$K$8),0)</f>
        <v>0</v>
      </c>
      <c r="L37" s="43" t="n">
        <f aca="false">MIN(K37,Ordem!$L$8)</f>
        <v>0</v>
      </c>
      <c r="M37" s="43" t="n">
        <f aca="false">MAX(0,MIN(K37-L37,$B37-(E37+I37)))</f>
        <v>0</v>
      </c>
      <c r="N37" s="43" t="n">
        <f aca="false">MAX(0,K37-L37-M37)</f>
        <v>0</v>
      </c>
      <c r="O37" s="43" t="n">
        <f aca="false">IF(R36&gt;0.005,R36*(1+Ordem!$K$9),0)</f>
        <v>0</v>
      </c>
      <c r="P37" s="43" t="n">
        <f aca="false">MIN(O37,Ordem!$L$9)</f>
        <v>0</v>
      </c>
      <c r="Q37" s="43" t="n">
        <f aca="false">MAX(0,MIN(O37-P37,$B37-(E37+I37+M37)))</f>
        <v>0</v>
      </c>
      <c r="R37" s="43" t="n">
        <f aca="false">MAX(0,O37-P37-Q37)</f>
        <v>0</v>
      </c>
      <c r="S37" s="43" t="n">
        <f aca="false">IF(V36&gt;0.005,V36*(1+Ordem!$K$10),0)</f>
        <v>0</v>
      </c>
      <c r="T37" s="43" t="n">
        <f aca="false">MIN(S37,Ordem!$L$10)</f>
        <v>0</v>
      </c>
      <c r="U37" s="43" t="n">
        <f aca="false">MAX(0,MIN(S37-T37,$B37-(E37+I37+M37+Q37)))</f>
        <v>0</v>
      </c>
      <c r="V37" s="43" t="n">
        <f aca="false">MAX(0,S37-T37-U37)</f>
        <v>0</v>
      </c>
      <c r="W37" s="43" t="n">
        <f aca="false">IF(Z36&gt;0.005,Z36*(1+Ordem!$K$11),0)</f>
        <v>0</v>
      </c>
      <c r="X37" s="43" t="n">
        <f aca="false">MIN(W37,Ordem!$L$11)</f>
        <v>0</v>
      </c>
      <c r="Y37" s="43" t="n">
        <f aca="false">MAX(0,MIN(W37-X37,$B37-(E37+I37+M37+Q37+U37)))</f>
        <v>0</v>
      </c>
      <c r="Z37" s="43" t="n">
        <f aca="false">MAX(0,W37-X37-Y37)</f>
        <v>0</v>
      </c>
      <c r="AA37" s="43" t="n">
        <f aca="false">IF(AD36&gt;0.005,AD36*(1+Ordem!$K$12),0)</f>
        <v>0</v>
      </c>
      <c r="AB37" s="43" t="n">
        <f aca="false">MIN(AA37,Ordem!$L$12)</f>
        <v>0</v>
      </c>
      <c r="AC37" s="43" t="n">
        <f aca="false">MAX(0,MIN(AA37-AB37,$B37-(E37+I37+M37+Q37+U37+Y37)))</f>
        <v>0</v>
      </c>
      <c r="AD37" s="43" t="n">
        <f aca="false">MAX(0,AA37-AB37-AC37)</f>
        <v>0</v>
      </c>
      <c r="AE37" s="43" t="n">
        <f aca="false">IF(AH36&gt;0.005,AH36*(1+Ordem!$K$13),0)</f>
        <v>0</v>
      </c>
      <c r="AF37" s="43" t="n">
        <f aca="false">MIN(AE37,Ordem!$L$13)</f>
        <v>0</v>
      </c>
      <c r="AG37" s="43" t="n">
        <f aca="false">MAX(0,MIN(AE37-AF37,$B37-(E37+I37+M37+Q37+U37+Y37+AC37)))</f>
        <v>0</v>
      </c>
      <c r="AH37" s="43" t="n">
        <f aca="false">MAX(0,AE37-AF37-AG37)</f>
        <v>0</v>
      </c>
      <c r="AI37" s="43" t="n">
        <f aca="false">IF(AL36&gt;0.005,AL36*(1+Ordem!$K$14),0)</f>
        <v>0</v>
      </c>
      <c r="AJ37" s="43" t="n">
        <f aca="false">MIN(AI37,Ordem!$L$14)</f>
        <v>0</v>
      </c>
      <c r="AK37" s="43" t="n">
        <f aca="false">MAX(0,MIN(AI37-AJ37,$B37-(E37+I37+M37+Q37+U37+Y37+AC37+AG37)))</f>
        <v>0</v>
      </c>
      <c r="AL37" s="43" t="n">
        <f aca="false">MAX(0,AI37-AJ37-AK37)</f>
        <v>0</v>
      </c>
      <c r="AM37" s="43" t="n">
        <f aca="false">IF(AP36&gt;0.005,AP36*(1+Ordem!$K$15),0)</f>
        <v>0</v>
      </c>
      <c r="AN37" s="43" t="n">
        <f aca="false">MIN(AM37,Ordem!$L$15)</f>
        <v>0</v>
      </c>
      <c r="AO37" s="43" t="n">
        <f aca="false">MAX(0,MIN(AM37-AN37,$B37-(E37+I37+M37+Q37+U37+Y37+AC37+AG37+AK37)))</f>
        <v>0</v>
      </c>
      <c r="AP37" s="43" t="n">
        <f aca="false">MAX(0,AM37-AN37-AO37)</f>
        <v>0</v>
      </c>
      <c r="AQ37" s="43" t="n">
        <f aca="false">F37+J37+N37+R37+V37+Z37+AD37+AH37+AL37+AP37</f>
        <v>0</v>
      </c>
      <c r="AR37" s="43" t="n">
        <f aca="false">D37+E37+H37+I37+L37+M37+P37+Q37+T37+U37+X37+Y37+AB37+AC37+AF37+AG37+AJ37+AK37+AN37+AO37</f>
        <v>0</v>
      </c>
    </row>
    <row r="38" customFormat="false" ht="15" hidden="false" customHeight="false" outlineLevel="0" collapsed="false">
      <c r="A38" s="0" t="n">
        <v>34</v>
      </c>
      <c r="B38" s="43" t="n">
        <f aca="false">MAX(0,Dívidas!$C$20-(D38+H38+L38+P38+T38+X38+AB38+AF38+AJ38+AN38))</f>
        <v>1450</v>
      </c>
      <c r="C38" s="43" t="n">
        <f aca="false">IF(F37&gt;0.005,F37*(1+Ordem!$K$6),0)</f>
        <v>0</v>
      </c>
      <c r="D38" s="43" t="n">
        <f aca="false">MIN(C38,Ordem!$L$6)</f>
        <v>0</v>
      </c>
      <c r="E38" s="43" t="n">
        <f aca="false">MAX(0,MIN(C38-D38,$B38-(0)))</f>
        <v>0</v>
      </c>
      <c r="F38" s="43" t="n">
        <f aca="false">MAX(0,C38-D38-E38)</f>
        <v>0</v>
      </c>
      <c r="G38" s="43" t="n">
        <f aca="false">IF(J37&gt;0.005,J37*(1+Ordem!$K$7),0)</f>
        <v>0</v>
      </c>
      <c r="H38" s="43" t="n">
        <f aca="false">MIN(G38,Ordem!$L$7)</f>
        <v>0</v>
      </c>
      <c r="I38" s="43" t="n">
        <f aca="false">MAX(0,MIN(G38-H38,$B38-(E38)))</f>
        <v>0</v>
      </c>
      <c r="J38" s="43" t="n">
        <f aca="false">MAX(0,G38-H38-I38)</f>
        <v>0</v>
      </c>
      <c r="K38" s="43" t="n">
        <f aca="false">IF(N37&gt;0.005,N37*(1+Ordem!$K$8),0)</f>
        <v>0</v>
      </c>
      <c r="L38" s="43" t="n">
        <f aca="false">MIN(K38,Ordem!$L$8)</f>
        <v>0</v>
      </c>
      <c r="M38" s="43" t="n">
        <f aca="false">MAX(0,MIN(K38-L38,$B38-(E38+I38)))</f>
        <v>0</v>
      </c>
      <c r="N38" s="43" t="n">
        <f aca="false">MAX(0,K38-L38-M38)</f>
        <v>0</v>
      </c>
      <c r="O38" s="43" t="n">
        <f aca="false">IF(R37&gt;0.005,R37*(1+Ordem!$K$9),0)</f>
        <v>0</v>
      </c>
      <c r="P38" s="43" t="n">
        <f aca="false">MIN(O38,Ordem!$L$9)</f>
        <v>0</v>
      </c>
      <c r="Q38" s="43" t="n">
        <f aca="false">MAX(0,MIN(O38-P38,$B38-(E38+I38+M38)))</f>
        <v>0</v>
      </c>
      <c r="R38" s="43" t="n">
        <f aca="false">MAX(0,O38-P38-Q38)</f>
        <v>0</v>
      </c>
      <c r="S38" s="43" t="n">
        <f aca="false">IF(V37&gt;0.005,V37*(1+Ordem!$K$10),0)</f>
        <v>0</v>
      </c>
      <c r="T38" s="43" t="n">
        <f aca="false">MIN(S38,Ordem!$L$10)</f>
        <v>0</v>
      </c>
      <c r="U38" s="43" t="n">
        <f aca="false">MAX(0,MIN(S38-T38,$B38-(E38+I38+M38+Q38)))</f>
        <v>0</v>
      </c>
      <c r="V38" s="43" t="n">
        <f aca="false">MAX(0,S38-T38-U38)</f>
        <v>0</v>
      </c>
      <c r="W38" s="43" t="n">
        <f aca="false">IF(Z37&gt;0.005,Z37*(1+Ordem!$K$11),0)</f>
        <v>0</v>
      </c>
      <c r="X38" s="43" t="n">
        <f aca="false">MIN(W38,Ordem!$L$11)</f>
        <v>0</v>
      </c>
      <c r="Y38" s="43" t="n">
        <f aca="false">MAX(0,MIN(W38-X38,$B38-(E38+I38+M38+Q38+U38)))</f>
        <v>0</v>
      </c>
      <c r="Z38" s="43" t="n">
        <f aca="false">MAX(0,W38-X38-Y38)</f>
        <v>0</v>
      </c>
      <c r="AA38" s="43" t="n">
        <f aca="false">IF(AD37&gt;0.005,AD37*(1+Ordem!$K$12),0)</f>
        <v>0</v>
      </c>
      <c r="AB38" s="43" t="n">
        <f aca="false">MIN(AA38,Ordem!$L$12)</f>
        <v>0</v>
      </c>
      <c r="AC38" s="43" t="n">
        <f aca="false">MAX(0,MIN(AA38-AB38,$B38-(E38+I38+M38+Q38+U38+Y38)))</f>
        <v>0</v>
      </c>
      <c r="AD38" s="43" t="n">
        <f aca="false">MAX(0,AA38-AB38-AC38)</f>
        <v>0</v>
      </c>
      <c r="AE38" s="43" t="n">
        <f aca="false">IF(AH37&gt;0.005,AH37*(1+Ordem!$K$13),0)</f>
        <v>0</v>
      </c>
      <c r="AF38" s="43" t="n">
        <f aca="false">MIN(AE38,Ordem!$L$13)</f>
        <v>0</v>
      </c>
      <c r="AG38" s="43" t="n">
        <f aca="false">MAX(0,MIN(AE38-AF38,$B38-(E38+I38+M38+Q38+U38+Y38+AC38)))</f>
        <v>0</v>
      </c>
      <c r="AH38" s="43" t="n">
        <f aca="false">MAX(0,AE38-AF38-AG38)</f>
        <v>0</v>
      </c>
      <c r="AI38" s="43" t="n">
        <f aca="false">IF(AL37&gt;0.005,AL37*(1+Ordem!$K$14),0)</f>
        <v>0</v>
      </c>
      <c r="AJ38" s="43" t="n">
        <f aca="false">MIN(AI38,Ordem!$L$14)</f>
        <v>0</v>
      </c>
      <c r="AK38" s="43" t="n">
        <f aca="false">MAX(0,MIN(AI38-AJ38,$B38-(E38+I38+M38+Q38+U38+Y38+AC38+AG38)))</f>
        <v>0</v>
      </c>
      <c r="AL38" s="43" t="n">
        <f aca="false">MAX(0,AI38-AJ38-AK38)</f>
        <v>0</v>
      </c>
      <c r="AM38" s="43" t="n">
        <f aca="false">IF(AP37&gt;0.005,AP37*(1+Ordem!$K$15),0)</f>
        <v>0</v>
      </c>
      <c r="AN38" s="43" t="n">
        <f aca="false">MIN(AM38,Ordem!$L$15)</f>
        <v>0</v>
      </c>
      <c r="AO38" s="43" t="n">
        <f aca="false">MAX(0,MIN(AM38-AN38,$B38-(E38+I38+M38+Q38+U38+Y38+AC38+AG38+AK38)))</f>
        <v>0</v>
      </c>
      <c r="AP38" s="43" t="n">
        <f aca="false">MAX(0,AM38-AN38-AO38)</f>
        <v>0</v>
      </c>
      <c r="AQ38" s="43" t="n">
        <f aca="false">F38+J38+N38+R38+V38+Z38+AD38+AH38+AL38+AP38</f>
        <v>0</v>
      </c>
      <c r="AR38" s="43" t="n">
        <f aca="false">D38+E38+H38+I38+L38+M38+P38+Q38+T38+U38+X38+Y38+AB38+AC38+AF38+AG38+AJ38+AK38+AN38+AO38</f>
        <v>0</v>
      </c>
    </row>
    <row r="39" customFormat="false" ht="15" hidden="false" customHeight="false" outlineLevel="0" collapsed="false">
      <c r="A39" s="0" t="n">
        <v>35</v>
      </c>
      <c r="B39" s="43" t="n">
        <f aca="false">MAX(0,Dívidas!$C$20-(D39+H39+L39+P39+T39+X39+AB39+AF39+AJ39+AN39))</f>
        <v>1450</v>
      </c>
      <c r="C39" s="43" t="n">
        <f aca="false">IF(F38&gt;0.005,F38*(1+Ordem!$K$6),0)</f>
        <v>0</v>
      </c>
      <c r="D39" s="43" t="n">
        <f aca="false">MIN(C39,Ordem!$L$6)</f>
        <v>0</v>
      </c>
      <c r="E39" s="43" t="n">
        <f aca="false">MAX(0,MIN(C39-D39,$B39-(0)))</f>
        <v>0</v>
      </c>
      <c r="F39" s="43" t="n">
        <f aca="false">MAX(0,C39-D39-E39)</f>
        <v>0</v>
      </c>
      <c r="G39" s="43" t="n">
        <f aca="false">IF(J38&gt;0.005,J38*(1+Ordem!$K$7),0)</f>
        <v>0</v>
      </c>
      <c r="H39" s="43" t="n">
        <f aca="false">MIN(G39,Ordem!$L$7)</f>
        <v>0</v>
      </c>
      <c r="I39" s="43" t="n">
        <f aca="false">MAX(0,MIN(G39-H39,$B39-(E39)))</f>
        <v>0</v>
      </c>
      <c r="J39" s="43" t="n">
        <f aca="false">MAX(0,G39-H39-I39)</f>
        <v>0</v>
      </c>
      <c r="K39" s="43" t="n">
        <f aca="false">IF(N38&gt;0.005,N38*(1+Ordem!$K$8),0)</f>
        <v>0</v>
      </c>
      <c r="L39" s="43" t="n">
        <f aca="false">MIN(K39,Ordem!$L$8)</f>
        <v>0</v>
      </c>
      <c r="M39" s="43" t="n">
        <f aca="false">MAX(0,MIN(K39-L39,$B39-(E39+I39)))</f>
        <v>0</v>
      </c>
      <c r="N39" s="43" t="n">
        <f aca="false">MAX(0,K39-L39-M39)</f>
        <v>0</v>
      </c>
      <c r="O39" s="43" t="n">
        <f aca="false">IF(R38&gt;0.005,R38*(1+Ordem!$K$9),0)</f>
        <v>0</v>
      </c>
      <c r="P39" s="43" t="n">
        <f aca="false">MIN(O39,Ordem!$L$9)</f>
        <v>0</v>
      </c>
      <c r="Q39" s="43" t="n">
        <f aca="false">MAX(0,MIN(O39-P39,$B39-(E39+I39+M39)))</f>
        <v>0</v>
      </c>
      <c r="R39" s="43" t="n">
        <f aca="false">MAX(0,O39-P39-Q39)</f>
        <v>0</v>
      </c>
      <c r="S39" s="43" t="n">
        <f aca="false">IF(V38&gt;0.005,V38*(1+Ordem!$K$10),0)</f>
        <v>0</v>
      </c>
      <c r="T39" s="43" t="n">
        <f aca="false">MIN(S39,Ordem!$L$10)</f>
        <v>0</v>
      </c>
      <c r="U39" s="43" t="n">
        <f aca="false">MAX(0,MIN(S39-T39,$B39-(E39+I39+M39+Q39)))</f>
        <v>0</v>
      </c>
      <c r="V39" s="43" t="n">
        <f aca="false">MAX(0,S39-T39-U39)</f>
        <v>0</v>
      </c>
      <c r="W39" s="43" t="n">
        <f aca="false">IF(Z38&gt;0.005,Z38*(1+Ordem!$K$11),0)</f>
        <v>0</v>
      </c>
      <c r="X39" s="43" t="n">
        <f aca="false">MIN(W39,Ordem!$L$11)</f>
        <v>0</v>
      </c>
      <c r="Y39" s="43" t="n">
        <f aca="false">MAX(0,MIN(W39-X39,$B39-(E39+I39+M39+Q39+U39)))</f>
        <v>0</v>
      </c>
      <c r="Z39" s="43" t="n">
        <f aca="false">MAX(0,W39-X39-Y39)</f>
        <v>0</v>
      </c>
      <c r="AA39" s="43" t="n">
        <f aca="false">IF(AD38&gt;0.005,AD38*(1+Ordem!$K$12),0)</f>
        <v>0</v>
      </c>
      <c r="AB39" s="43" t="n">
        <f aca="false">MIN(AA39,Ordem!$L$12)</f>
        <v>0</v>
      </c>
      <c r="AC39" s="43" t="n">
        <f aca="false">MAX(0,MIN(AA39-AB39,$B39-(E39+I39+M39+Q39+U39+Y39)))</f>
        <v>0</v>
      </c>
      <c r="AD39" s="43" t="n">
        <f aca="false">MAX(0,AA39-AB39-AC39)</f>
        <v>0</v>
      </c>
      <c r="AE39" s="43" t="n">
        <f aca="false">IF(AH38&gt;0.005,AH38*(1+Ordem!$K$13),0)</f>
        <v>0</v>
      </c>
      <c r="AF39" s="43" t="n">
        <f aca="false">MIN(AE39,Ordem!$L$13)</f>
        <v>0</v>
      </c>
      <c r="AG39" s="43" t="n">
        <f aca="false">MAX(0,MIN(AE39-AF39,$B39-(E39+I39+M39+Q39+U39+Y39+AC39)))</f>
        <v>0</v>
      </c>
      <c r="AH39" s="43" t="n">
        <f aca="false">MAX(0,AE39-AF39-AG39)</f>
        <v>0</v>
      </c>
      <c r="AI39" s="43" t="n">
        <f aca="false">IF(AL38&gt;0.005,AL38*(1+Ordem!$K$14),0)</f>
        <v>0</v>
      </c>
      <c r="AJ39" s="43" t="n">
        <f aca="false">MIN(AI39,Ordem!$L$14)</f>
        <v>0</v>
      </c>
      <c r="AK39" s="43" t="n">
        <f aca="false">MAX(0,MIN(AI39-AJ39,$B39-(E39+I39+M39+Q39+U39+Y39+AC39+AG39)))</f>
        <v>0</v>
      </c>
      <c r="AL39" s="43" t="n">
        <f aca="false">MAX(0,AI39-AJ39-AK39)</f>
        <v>0</v>
      </c>
      <c r="AM39" s="43" t="n">
        <f aca="false">IF(AP38&gt;0.005,AP38*(1+Ordem!$K$15),0)</f>
        <v>0</v>
      </c>
      <c r="AN39" s="43" t="n">
        <f aca="false">MIN(AM39,Ordem!$L$15)</f>
        <v>0</v>
      </c>
      <c r="AO39" s="43" t="n">
        <f aca="false">MAX(0,MIN(AM39-AN39,$B39-(E39+I39+M39+Q39+U39+Y39+AC39+AG39+AK39)))</f>
        <v>0</v>
      </c>
      <c r="AP39" s="43" t="n">
        <f aca="false">MAX(0,AM39-AN39-AO39)</f>
        <v>0</v>
      </c>
      <c r="AQ39" s="43" t="n">
        <f aca="false">F39+J39+N39+R39+V39+Z39+AD39+AH39+AL39+AP39</f>
        <v>0</v>
      </c>
      <c r="AR39" s="43" t="n">
        <f aca="false">D39+E39+H39+I39+L39+M39+P39+Q39+T39+U39+X39+Y39+AB39+AC39+AF39+AG39+AJ39+AK39+AN39+AO39</f>
        <v>0</v>
      </c>
    </row>
    <row r="40" customFormat="false" ht="15" hidden="false" customHeight="false" outlineLevel="0" collapsed="false">
      <c r="A40" s="0" t="n">
        <v>36</v>
      </c>
      <c r="B40" s="43" t="n">
        <f aca="false">MAX(0,Dívidas!$C$20-(D40+H40+L40+P40+T40+X40+AB40+AF40+AJ40+AN40))</f>
        <v>1450</v>
      </c>
      <c r="C40" s="43" t="n">
        <f aca="false">IF(F39&gt;0.005,F39*(1+Ordem!$K$6),0)</f>
        <v>0</v>
      </c>
      <c r="D40" s="43" t="n">
        <f aca="false">MIN(C40,Ordem!$L$6)</f>
        <v>0</v>
      </c>
      <c r="E40" s="43" t="n">
        <f aca="false">MAX(0,MIN(C40-D40,$B40-(0)))</f>
        <v>0</v>
      </c>
      <c r="F40" s="43" t="n">
        <f aca="false">MAX(0,C40-D40-E40)</f>
        <v>0</v>
      </c>
      <c r="G40" s="43" t="n">
        <f aca="false">IF(J39&gt;0.005,J39*(1+Ordem!$K$7),0)</f>
        <v>0</v>
      </c>
      <c r="H40" s="43" t="n">
        <f aca="false">MIN(G40,Ordem!$L$7)</f>
        <v>0</v>
      </c>
      <c r="I40" s="43" t="n">
        <f aca="false">MAX(0,MIN(G40-H40,$B40-(E40)))</f>
        <v>0</v>
      </c>
      <c r="J40" s="43" t="n">
        <f aca="false">MAX(0,G40-H40-I40)</f>
        <v>0</v>
      </c>
      <c r="K40" s="43" t="n">
        <f aca="false">IF(N39&gt;0.005,N39*(1+Ordem!$K$8),0)</f>
        <v>0</v>
      </c>
      <c r="L40" s="43" t="n">
        <f aca="false">MIN(K40,Ordem!$L$8)</f>
        <v>0</v>
      </c>
      <c r="M40" s="43" t="n">
        <f aca="false">MAX(0,MIN(K40-L40,$B40-(E40+I40)))</f>
        <v>0</v>
      </c>
      <c r="N40" s="43" t="n">
        <f aca="false">MAX(0,K40-L40-M40)</f>
        <v>0</v>
      </c>
      <c r="O40" s="43" t="n">
        <f aca="false">IF(R39&gt;0.005,R39*(1+Ordem!$K$9),0)</f>
        <v>0</v>
      </c>
      <c r="P40" s="43" t="n">
        <f aca="false">MIN(O40,Ordem!$L$9)</f>
        <v>0</v>
      </c>
      <c r="Q40" s="43" t="n">
        <f aca="false">MAX(0,MIN(O40-P40,$B40-(E40+I40+M40)))</f>
        <v>0</v>
      </c>
      <c r="R40" s="43" t="n">
        <f aca="false">MAX(0,O40-P40-Q40)</f>
        <v>0</v>
      </c>
      <c r="S40" s="43" t="n">
        <f aca="false">IF(V39&gt;0.005,V39*(1+Ordem!$K$10),0)</f>
        <v>0</v>
      </c>
      <c r="T40" s="43" t="n">
        <f aca="false">MIN(S40,Ordem!$L$10)</f>
        <v>0</v>
      </c>
      <c r="U40" s="43" t="n">
        <f aca="false">MAX(0,MIN(S40-T40,$B40-(E40+I40+M40+Q40)))</f>
        <v>0</v>
      </c>
      <c r="V40" s="43" t="n">
        <f aca="false">MAX(0,S40-T40-U40)</f>
        <v>0</v>
      </c>
      <c r="W40" s="43" t="n">
        <f aca="false">IF(Z39&gt;0.005,Z39*(1+Ordem!$K$11),0)</f>
        <v>0</v>
      </c>
      <c r="X40" s="43" t="n">
        <f aca="false">MIN(W40,Ordem!$L$11)</f>
        <v>0</v>
      </c>
      <c r="Y40" s="43" t="n">
        <f aca="false">MAX(0,MIN(W40-X40,$B40-(E40+I40+M40+Q40+U40)))</f>
        <v>0</v>
      </c>
      <c r="Z40" s="43" t="n">
        <f aca="false">MAX(0,W40-X40-Y40)</f>
        <v>0</v>
      </c>
      <c r="AA40" s="43" t="n">
        <f aca="false">IF(AD39&gt;0.005,AD39*(1+Ordem!$K$12),0)</f>
        <v>0</v>
      </c>
      <c r="AB40" s="43" t="n">
        <f aca="false">MIN(AA40,Ordem!$L$12)</f>
        <v>0</v>
      </c>
      <c r="AC40" s="43" t="n">
        <f aca="false">MAX(0,MIN(AA40-AB40,$B40-(E40+I40+M40+Q40+U40+Y40)))</f>
        <v>0</v>
      </c>
      <c r="AD40" s="43" t="n">
        <f aca="false">MAX(0,AA40-AB40-AC40)</f>
        <v>0</v>
      </c>
      <c r="AE40" s="43" t="n">
        <f aca="false">IF(AH39&gt;0.005,AH39*(1+Ordem!$K$13),0)</f>
        <v>0</v>
      </c>
      <c r="AF40" s="43" t="n">
        <f aca="false">MIN(AE40,Ordem!$L$13)</f>
        <v>0</v>
      </c>
      <c r="AG40" s="43" t="n">
        <f aca="false">MAX(0,MIN(AE40-AF40,$B40-(E40+I40+M40+Q40+U40+Y40+AC40)))</f>
        <v>0</v>
      </c>
      <c r="AH40" s="43" t="n">
        <f aca="false">MAX(0,AE40-AF40-AG40)</f>
        <v>0</v>
      </c>
      <c r="AI40" s="43" t="n">
        <f aca="false">IF(AL39&gt;0.005,AL39*(1+Ordem!$K$14),0)</f>
        <v>0</v>
      </c>
      <c r="AJ40" s="43" t="n">
        <f aca="false">MIN(AI40,Ordem!$L$14)</f>
        <v>0</v>
      </c>
      <c r="AK40" s="43" t="n">
        <f aca="false">MAX(0,MIN(AI40-AJ40,$B40-(E40+I40+M40+Q40+U40+Y40+AC40+AG40)))</f>
        <v>0</v>
      </c>
      <c r="AL40" s="43" t="n">
        <f aca="false">MAX(0,AI40-AJ40-AK40)</f>
        <v>0</v>
      </c>
      <c r="AM40" s="43" t="n">
        <f aca="false">IF(AP39&gt;0.005,AP39*(1+Ordem!$K$15),0)</f>
        <v>0</v>
      </c>
      <c r="AN40" s="43" t="n">
        <f aca="false">MIN(AM40,Ordem!$L$15)</f>
        <v>0</v>
      </c>
      <c r="AO40" s="43" t="n">
        <f aca="false">MAX(0,MIN(AM40-AN40,$B40-(E40+I40+M40+Q40+U40+Y40+AC40+AG40+AK40)))</f>
        <v>0</v>
      </c>
      <c r="AP40" s="43" t="n">
        <f aca="false">MAX(0,AM40-AN40-AO40)</f>
        <v>0</v>
      </c>
      <c r="AQ40" s="43" t="n">
        <f aca="false">F40+J40+N40+R40+V40+Z40+AD40+AH40+AL40+AP40</f>
        <v>0</v>
      </c>
      <c r="AR40" s="43" t="n">
        <f aca="false">D40+E40+H40+I40+L40+M40+P40+Q40+T40+U40+X40+Y40+AB40+AC40+AF40+AG40+AJ40+AK40+AN40+AO40</f>
        <v>0</v>
      </c>
    </row>
    <row r="41" customFormat="false" ht="15" hidden="false" customHeight="false" outlineLevel="0" collapsed="false">
      <c r="A41" s="0" t="n">
        <v>37</v>
      </c>
      <c r="B41" s="43" t="n">
        <f aca="false">MAX(0,Dívidas!$C$20-(D41+H41+L41+P41+T41+X41+AB41+AF41+AJ41+AN41))</f>
        <v>1450</v>
      </c>
      <c r="C41" s="43" t="n">
        <f aca="false">IF(F40&gt;0.005,F40*(1+Ordem!$K$6),0)</f>
        <v>0</v>
      </c>
      <c r="D41" s="43" t="n">
        <f aca="false">MIN(C41,Ordem!$L$6)</f>
        <v>0</v>
      </c>
      <c r="E41" s="43" t="n">
        <f aca="false">MAX(0,MIN(C41-D41,$B41-(0)))</f>
        <v>0</v>
      </c>
      <c r="F41" s="43" t="n">
        <f aca="false">MAX(0,C41-D41-E41)</f>
        <v>0</v>
      </c>
      <c r="G41" s="43" t="n">
        <f aca="false">IF(J40&gt;0.005,J40*(1+Ordem!$K$7),0)</f>
        <v>0</v>
      </c>
      <c r="H41" s="43" t="n">
        <f aca="false">MIN(G41,Ordem!$L$7)</f>
        <v>0</v>
      </c>
      <c r="I41" s="43" t="n">
        <f aca="false">MAX(0,MIN(G41-H41,$B41-(E41)))</f>
        <v>0</v>
      </c>
      <c r="J41" s="43" t="n">
        <f aca="false">MAX(0,G41-H41-I41)</f>
        <v>0</v>
      </c>
      <c r="K41" s="43" t="n">
        <f aca="false">IF(N40&gt;0.005,N40*(1+Ordem!$K$8),0)</f>
        <v>0</v>
      </c>
      <c r="L41" s="43" t="n">
        <f aca="false">MIN(K41,Ordem!$L$8)</f>
        <v>0</v>
      </c>
      <c r="M41" s="43" t="n">
        <f aca="false">MAX(0,MIN(K41-L41,$B41-(E41+I41)))</f>
        <v>0</v>
      </c>
      <c r="N41" s="43" t="n">
        <f aca="false">MAX(0,K41-L41-M41)</f>
        <v>0</v>
      </c>
      <c r="O41" s="43" t="n">
        <f aca="false">IF(R40&gt;0.005,R40*(1+Ordem!$K$9),0)</f>
        <v>0</v>
      </c>
      <c r="P41" s="43" t="n">
        <f aca="false">MIN(O41,Ordem!$L$9)</f>
        <v>0</v>
      </c>
      <c r="Q41" s="43" t="n">
        <f aca="false">MAX(0,MIN(O41-P41,$B41-(E41+I41+M41)))</f>
        <v>0</v>
      </c>
      <c r="R41" s="43" t="n">
        <f aca="false">MAX(0,O41-P41-Q41)</f>
        <v>0</v>
      </c>
      <c r="S41" s="43" t="n">
        <f aca="false">IF(V40&gt;0.005,V40*(1+Ordem!$K$10),0)</f>
        <v>0</v>
      </c>
      <c r="T41" s="43" t="n">
        <f aca="false">MIN(S41,Ordem!$L$10)</f>
        <v>0</v>
      </c>
      <c r="U41" s="43" t="n">
        <f aca="false">MAX(0,MIN(S41-T41,$B41-(E41+I41+M41+Q41)))</f>
        <v>0</v>
      </c>
      <c r="V41" s="43" t="n">
        <f aca="false">MAX(0,S41-T41-U41)</f>
        <v>0</v>
      </c>
      <c r="W41" s="43" t="n">
        <f aca="false">IF(Z40&gt;0.005,Z40*(1+Ordem!$K$11),0)</f>
        <v>0</v>
      </c>
      <c r="X41" s="43" t="n">
        <f aca="false">MIN(W41,Ordem!$L$11)</f>
        <v>0</v>
      </c>
      <c r="Y41" s="43" t="n">
        <f aca="false">MAX(0,MIN(W41-X41,$B41-(E41+I41+M41+Q41+U41)))</f>
        <v>0</v>
      </c>
      <c r="Z41" s="43" t="n">
        <f aca="false">MAX(0,W41-X41-Y41)</f>
        <v>0</v>
      </c>
      <c r="AA41" s="43" t="n">
        <f aca="false">IF(AD40&gt;0.005,AD40*(1+Ordem!$K$12),0)</f>
        <v>0</v>
      </c>
      <c r="AB41" s="43" t="n">
        <f aca="false">MIN(AA41,Ordem!$L$12)</f>
        <v>0</v>
      </c>
      <c r="AC41" s="43" t="n">
        <f aca="false">MAX(0,MIN(AA41-AB41,$B41-(E41+I41+M41+Q41+U41+Y41)))</f>
        <v>0</v>
      </c>
      <c r="AD41" s="43" t="n">
        <f aca="false">MAX(0,AA41-AB41-AC41)</f>
        <v>0</v>
      </c>
      <c r="AE41" s="43" t="n">
        <f aca="false">IF(AH40&gt;0.005,AH40*(1+Ordem!$K$13),0)</f>
        <v>0</v>
      </c>
      <c r="AF41" s="43" t="n">
        <f aca="false">MIN(AE41,Ordem!$L$13)</f>
        <v>0</v>
      </c>
      <c r="AG41" s="43" t="n">
        <f aca="false">MAX(0,MIN(AE41-AF41,$B41-(E41+I41+M41+Q41+U41+Y41+AC41)))</f>
        <v>0</v>
      </c>
      <c r="AH41" s="43" t="n">
        <f aca="false">MAX(0,AE41-AF41-AG41)</f>
        <v>0</v>
      </c>
      <c r="AI41" s="43" t="n">
        <f aca="false">IF(AL40&gt;0.005,AL40*(1+Ordem!$K$14),0)</f>
        <v>0</v>
      </c>
      <c r="AJ41" s="43" t="n">
        <f aca="false">MIN(AI41,Ordem!$L$14)</f>
        <v>0</v>
      </c>
      <c r="AK41" s="43" t="n">
        <f aca="false">MAX(0,MIN(AI41-AJ41,$B41-(E41+I41+M41+Q41+U41+Y41+AC41+AG41)))</f>
        <v>0</v>
      </c>
      <c r="AL41" s="43" t="n">
        <f aca="false">MAX(0,AI41-AJ41-AK41)</f>
        <v>0</v>
      </c>
      <c r="AM41" s="43" t="n">
        <f aca="false">IF(AP40&gt;0.005,AP40*(1+Ordem!$K$15),0)</f>
        <v>0</v>
      </c>
      <c r="AN41" s="43" t="n">
        <f aca="false">MIN(AM41,Ordem!$L$15)</f>
        <v>0</v>
      </c>
      <c r="AO41" s="43" t="n">
        <f aca="false">MAX(0,MIN(AM41-AN41,$B41-(E41+I41+M41+Q41+U41+Y41+AC41+AG41+AK41)))</f>
        <v>0</v>
      </c>
      <c r="AP41" s="43" t="n">
        <f aca="false">MAX(0,AM41-AN41-AO41)</f>
        <v>0</v>
      </c>
      <c r="AQ41" s="43" t="n">
        <f aca="false">F41+J41+N41+R41+V41+Z41+AD41+AH41+AL41+AP41</f>
        <v>0</v>
      </c>
      <c r="AR41" s="43" t="n">
        <f aca="false">D41+E41+H41+I41+L41+M41+P41+Q41+T41+U41+X41+Y41+AB41+AC41+AF41+AG41+AJ41+AK41+AN41+AO41</f>
        <v>0</v>
      </c>
    </row>
    <row r="42" customFormat="false" ht="15" hidden="false" customHeight="false" outlineLevel="0" collapsed="false">
      <c r="A42" s="0" t="n">
        <v>38</v>
      </c>
      <c r="B42" s="43" t="n">
        <f aca="false">MAX(0,Dívidas!$C$20-(D42+H42+L42+P42+T42+X42+AB42+AF42+AJ42+AN42))</f>
        <v>1450</v>
      </c>
      <c r="C42" s="43" t="n">
        <f aca="false">IF(F41&gt;0.005,F41*(1+Ordem!$K$6),0)</f>
        <v>0</v>
      </c>
      <c r="D42" s="43" t="n">
        <f aca="false">MIN(C42,Ordem!$L$6)</f>
        <v>0</v>
      </c>
      <c r="E42" s="43" t="n">
        <f aca="false">MAX(0,MIN(C42-D42,$B42-(0)))</f>
        <v>0</v>
      </c>
      <c r="F42" s="43" t="n">
        <f aca="false">MAX(0,C42-D42-E42)</f>
        <v>0</v>
      </c>
      <c r="G42" s="43" t="n">
        <f aca="false">IF(J41&gt;0.005,J41*(1+Ordem!$K$7),0)</f>
        <v>0</v>
      </c>
      <c r="H42" s="43" t="n">
        <f aca="false">MIN(G42,Ordem!$L$7)</f>
        <v>0</v>
      </c>
      <c r="I42" s="43" t="n">
        <f aca="false">MAX(0,MIN(G42-H42,$B42-(E42)))</f>
        <v>0</v>
      </c>
      <c r="J42" s="43" t="n">
        <f aca="false">MAX(0,G42-H42-I42)</f>
        <v>0</v>
      </c>
      <c r="K42" s="43" t="n">
        <f aca="false">IF(N41&gt;0.005,N41*(1+Ordem!$K$8),0)</f>
        <v>0</v>
      </c>
      <c r="L42" s="43" t="n">
        <f aca="false">MIN(K42,Ordem!$L$8)</f>
        <v>0</v>
      </c>
      <c r="M42" s="43" t="n">
        <f aca="false">MAX(0,MIN(K42-L42,$B42-(E42+I42)))</f>
        <v>0</v>
      </c>
      <c r="N42" s="43" t="n">
        <f aca="false">MAX(0,K42-L42-M42)</f>
        <v>0</v>
      </c>
      <c r="O42" s="43" t="n">
        <f aca="false">IF(R41&gt;0.005,R41*(1+Ordem!$K$9),0)</f>
        <v>0</v>
      </c>
      <c r="P42" s="43" t="n">
        <f aca="false">MIN(O42,Ordem!$L$9)</f>
        <v>0</v>
      </c>
      <c r="Q42" s="43" t="n">
        <f aca="false">MAX(0,MIN(O42-P42,$B42-(E42+I42+M42)))</f>
        <v>0</v>
      </c>
      <c r="R42" s="43" t="n">
        <f aca="false">MAX(0,O42-P42-Q42)</f>
        <v>0</v>
      </c>
      <c r="S42" s="43" t="n">
        <f aca="false">IF(V41&gt;0.005,V41*(1+Ordem!$K$10),0)</f>
        <v>0</v>
      </c>
      <c r="T42" s="43" t="n">
        <f aca="false">MIN(S42,Ordem!$L$10)</f>
        <v>0</v>
      </c>
      <c r="U42" s="43" t="n">
        <f aca="false">MAX(0,MIN(S42-T42,$B42-(E42+I42+M42+Q42)))</f>
        <v>0</v>
      </c>
      <c r="V42" s="43" t="n">
        <f aca="false">MAX(0,S42-T42-U42)</f>
        <v>0</v>
      </c>
      <c r="W42" s="43" t="n">
        <f aca="false">IF(Z41&gt;0.005,Z41*(1+Ordem!$K$11),0)</f>
        <v>0</v>
      </c>
      <c r="X42" s="43" t="n">
        <f aca="false">MIN(W42,Ordem!$L$11)</f>
        <v>0</v>
      </c>
      <c r="Y42" s="43" t="n">
        <f aca="false">MAX(0,MIN(W42-X42,$B42-(E42+I42+M42+Q42+U42)))</f>
        <v>0</v>
      </c>
      <c r="Z42" s="43" t="n">
        <f aca="false">MAX(0,W42-X42-Y42)</f>
        <v>0</v>
      </c>
      <c r="AA42" s="43" t="n">
        <f aca="false">IF(AD41&gt;0.005,AD41*(1+Ordem!$K$12),0)</f>
        <v>0</v>
      </c>
      <c r="AB42" s="43" t="n">
        <f aca="false">MIN(AA42,Ordem!$L$12)</f>
        <v>0</v>
      </c>
      <c r="AC42" s="43" t="n">
        <f aca="false">MAX(0,MIN(AA42-AB42,$B42-(E42+I42+M42+Q42+U42+Y42)))</f>
        <v>0</v>
      </c>
      <c r="AD42" s="43" t="n">
        <f aca="false">MAX(0,AA42-AB42-AC42)</f>
        <v>0</v>
      </c>
      <c r="AE42" s="43" t="n">
        <f aca="false">IF(AH41&gt;0.005,AH41*(1+Ordem!$K$13),0)</f>
        <v>0</v>
      </c>
      <c r="AF42" s="43" t="n">
        <f aca="false">MIN(AE42,Ordem!$L$13)</f>
        <v>0</v>
      </c>
      <c r="AG42" s="43" t="n">
        <f aca="false">MAX(0,MIN(AE42-AF42,$B42-(E42+I42+M42+Q42+U42+Y42+AC42)))</f>
        <v>0</v>
      </c>
      <c r="AH42" s="43" t="n">
        <f aca="false">MAX(0,AE42-AF42-AG42)</f>
        <v>0</v>
      </c>
      <c r="AI42" s="43" t="n">
        <f aca="false">IF(AL41&gt;0.005,AL41*(1+Ordem!$K$14),0)</f>
        <v>0</v>
      </c>
      <c r="AJ42" s="43" t="n">
        <f aca="false">MIN(AI42,Ordem!$L$14)</f>
        <v>0</v>
      </c>
      <c r="AK42" s="43" t="n">
        <f aca="false">MAX(0,MIN(AI42-AJ42,$B42-(E42+I42+M42+Q42+U42+Y42+AC42+AG42)))</f>
        <v>0</v>
      </c>
      <c r="AL42" s="43" t="n">
        <f aca="false">MAX(0,AI42-AJ42-AK42)</f>
        <v>0</v>
      </c>
      <c r="AM42" s="43" t="n">
        <f aca="false">IF(AP41&gt;0.005,AP41*(1+Ordem!$K$15),0)</f>
        <v>0</v>
      </c>
      <c r="AN42" s="43" t="n">
        <f aca="false">MIN(AM42,Ordem!$L$15)</f>
        <v>0</v>
      </c>
      <c r="AO42" s="43" t="n">
        <f aca="false">MAX(0,MIN(AM42-AN42,$B42-(E42+I42+M42+Q42+U42+Y42+AC42+AG42+AK42)))</f>
        <v>0</v>
      </c>
      <c r="AP42" s="43" t="n">
        <f aca="false">MAX(0,AM42-AN42-AO42)</f>
        <v>0</v>
      </c>
      <c r="AQ42" s="43" t="n">
        <f aca="false">F42+J42+N42+R42+V42+Z42+AD42+AH42+AL42+AP42</f>
        <v>0</v>
      </c>
      <c r="AR42" s="43" t="n">
        <f aca="false">D42+E42+H42+I42+L42+M42+P42+Q42+T42+U42+X42+Y42+AB42+AC42+AF42+AG42+AJ42+AK42+AN42+AO42</f>
        <v>0</v>
      </c>
    </row>
    <row r="43" customFormat="false" ht="15" hidden="false" customHeight="false" outlineLevel="0" collapsed="false">
      <c r="A43" s="0" t="n">
        <v>39</v>
      </c>
      <c r="B43" s="43" t="n">
        <f aca="false">MAX(0,Dívidas!$C$20-(D43+H43+L43+P43+T43+X43+AB43+AF43+AJ43+AN43))</f>
        <v>1450</v>
      </c>
      <c r="C43" s="43" t="n">
        <f aca="false">IF(F42&gt;0.005,F42*(1+Ordem!$K$6),0)</f>
        <v>0</v>
      </c>
      <c r="D43" s="43" t="n">
        <f aca="false">MIN(C43,Ordem!$L$6)</f>
        <v>0</v>
      </c>
      <c r="E43" s="43" t="n">
        <f aca="false">MAX(0,MIN(C43-D43,$B43-(0)))</f>
        <v>0</v>
      </c>
      <c r="F43" s="43" t="n">
        <f aca="false">MAX(0,C43-D43-E43)</f>
        <v>0</v>
      </c>
      <c r="G43" s="43" t="n">
        <f aca="false">IF(J42&gt;0.005,J42*(1+Ordem!$K$7),0)</f>
        <v>0</v>
      </c>
      <c r="H43" s="43" t="n">
        <f aca="false">MIN(G43,Ordem!$L$7)</f>
        <v>0</v>
      </c>
      <c r="I43" s="43" t="n">
        <f aca="false">MAX(0,MIN(G43-H43,$B43-(E43)))</f>
        <v>0</v>
      </c>
      <c r="J43" s="43" t="n">
        <f aca="false">MAX(0,G43-H43-I43)</f>
        <v>0</v>
      </c>
      <c r="K43" s="43" t="n">
        <f aca="false">IF(N42&gt;0.005,N42*(1+Ordem!$K$8),0)</f>
        <v>0</v>
      </c>
      <c r="L43" s="43" t="n">
        <f aca="false">MIN(K43,Ordem!$L$8)</f>
        <v>0</v>
      </c>
      <c r="M43" s="43" t="n">
        <f aca="false">MAX(0,MIN(K43-L43,$B43-(E43+I43)))</f>
        <v>0</v>
      </c>
      <c r="N43" s="43" t="n">
        <f aca="false">MAX(0,K43-L43-M43)</f>
        <v>0</v>
      </c>
      <c r="O43" s="43" t="n">
        <f aca="false">IF(R42&gt;0.005,R42*(1+Ordem!$K$9),0)</f>
        <v>0</v>
      </c>
      <c r="P43" s="43" t="n">
        <f aca="false">MIN(O43,Ordem!$L$9)</f>
        <v>0</v>
      </c>
      <c r="Q43" s="43" t="n">
        <f aca="false">MAX(0,MIN(O43-P43,$B43-(E43+I43+M43)))</f>
        <v>0</v>
      </c>
      <c r="R43" s="43" t="n">
        <f aca="false">MAX(0,O43-P43-Q43)</f>
        <v>0</v>
      </c>
      <c r="S43" s="43" t="n">
        <f aca="false">IF(V42&gt;0.005,V42*(1+Ordem!$K$10),0)</f>
        <v>0</v>
      </c>
      <c r="T43" s="43" t="n">
        <f aca="false">MIN(S43,Ordem!$L$10)</f>
        <v>0</v>
      </c>
      <c r="U43" s="43" t="n">
        <f aca="false">MAX(0,MIN(S43-T43,$B43-(E43+I43+M43+Q43)))</f>
        <v>0</v>
      </c>
      <c r="V43" s="43" t="n">
        <f aca="false">MAX(0,S43-T43-U43)</f>
        <v>0</v>
      </c>
      <c r="W43" s="43" t="n">
        <f aca="false">IF(Z42&gt;0.005,Z42*(1+Ordem!$K$11),0)</f>
        <v>0</v>
      </c>
      <c r="X43" s="43" t="n">
        <f aca="false">MIN(W43,Ordem!$L$11)</f>
        <v>0</v>
      </c>
      <c r="Y43" s="43" t="n">
        <f aca="false">MAX(0,MIN(W43-X43,$B43-(E43+I43+M43+Q43+U43)))</f>
        <v>0</v>
      </c>
      <c r="Z43" s="43" t="n">
        <f aca="false">MAX(0,W43-X43-Y43)</f>
        <v>0</v>
      </c>
      <c r="AA43" s="43" t="n">
        <f aca="false">IF(AD42&gt;0.005,AD42*(1+Ordem!$K$12),0)</f>
        <v>0</v>
      </c>
      <c r="AB43" s="43" t="n">
        <f aca="false">MIN(AA43,Ordem!$L$12)</f>
        <v>0</v>
      </c>
      <c r="AC43" s="43" t="n">
        <f aca="false">MAX(0,MIN(AA43-AB43,$B43-(E43+I43+M43+Q43+U43+Y43)))</f>
        <v>0</v>
      </c>
      <c r="AD43" s="43" t="n">
        <f aca="false">MAX(0,AA43-AB43-AC43)</f>
        <v>0</v>
      </c>
      <c r="AE43" s="43" t="n">
        <f aca="false">IF(AH42&gt;0.005,AH42*(1+Ordem!$K$13),0)</f>
        <v>0</v>
      </c>
      <c r="AF43" s="43" t="n">
        <f aca="false">MIN(AE43,Ordem!$L$13)</f>
        <v>0</v>
      </c>
      <c r="AG43" s="43" t="n">
        <f aca="false">MAX(0,MIN(AE43-AF43,$B43-(E43+I43+M43+Q43+U43+Y43+AC43)))</f>
        <v>0</v>
      </c>
      <c r="AH43" s="43" t="n">
        <f aca="false">MAX(0,AE43-AF43-AG43)</f>
        <v>0</v>
      </c>
      <c r="AI43" s="43" t="n">
        <f aca="false">IF(AL42&gt;0.005,AL42*(1+Ordem!$K$14),0)</f>
        <v>0</v>
      </c>
      <c r="AJ43" s="43" t="n">
        <f aca="false">MIN(AI43,Ordem!$L$14)</f>
        <v>0</v>
      </c>
      <c r="AK43" s="43" t="n">
        <f aca="false">MAX(0,MIN(AI43-AJ43,$B43-(E43+I43+M43+Q43+U43+Y43+AC43+AG43)))</f>
        <v>0</v>
      </c>
      <c r="AL43" s="43" t="n">
        <f aca="false">MAX(0,AI43-AJ43-AK43)</f>
        <v>0</v>
      </c>
      <c r="AM43" s="43" t="n">
        <f aca="false">IF(AP42&gt;0.005,AP42*(1+Ordem!$K$15),0)</f>
        <v>0</v>
      </c>
      <c r="AN43" s="43" t="n">
        <f aca="false">MIN(AM43,Ordem!$L$15)</f>
        <v>0</v>
      </c>
      <c r="AO43" s="43" t="n">
        <f aca="false">MAX(0,MIN(AM43-AN43,$B43-(E43+I43+M43+Q43+U43+Y43+AC43+AG43+AK43)))</f>
        <v>0</v>
      </c>
      <c r="AP43" s="43" t="n">
        <f aca="false">MAX(0,AM43-AN43-AO43)</f>
        <v>0</v>
      </c>
      <c r="AQ43" s="43" t="n">
        <f aca="false">F43+J43+N43+R43+V43+Z43+AD43+AH43+AL43+AP43</f>
        <v>0</v>
      </c>
      <c r="AR43" s="43" t="n">
        <f aca="false">D43+E43+H43+I43+L43+M43+P43+Q43+T43+U43+X43+Y43+AB43+AC43+AF43+AG43+AJ43+AK43+AN43+AO43</f>
        <v>0</v>
      </c>
    </row>
    <row r="44" customFormat="false" ht="15" hidden="false" customHeight="false" outlineLevel="0" collapsed="false">
      <c r="A44" s="0" t="n">
        <v>40</v>
      </c>
      <c r="B44" s="43" t="n">
        <f aca="false">MAX(0,Dívidas!$C$20-(D44+H44+L44+P44+T44+X44+AB44+AF44+AJ44+AN44))</f>
        <v>1450</v>
      </c>
      <c r="C44" s="43" t="n">
        <f aca="false">IF(F43&gt;0.005,F43*(1+Ordem!$K$6),0)</f>
        <v>0</v>
      </c>
      <c r="D44" s="43" t="n">
        <f aca="false">MIN(C44,Ordem!$L$6)</f>
        <v>0</v>
      </c>
      <c r="E44" s="43" t="n">
        <f aca="false">MAX(0,MIN(C44-D44,$B44-(0)))</f>
        <v>0</v>
      </c>
      <c r="F44" s="43" t="n">
        <f aca="false">MAX(0,C44-D44-E44)</f>
        <v>0</v>
      </c>
      <c r="G44" s="43" t="n">
        <f aca="false">IF(J43&gt;0.005,J43*(1+Ordem!$K$7),0)</f>
        <v>0</v>
      </c>
      <c r="H44" s="43" t="n">
        <f aca="false">MIN(G44,Ordem!$L$7)</f>
        <v>0</v>
      </c>
      <c r="I44" s="43" t="n">
        <f aca="false">MAX(0,MIN(G44-H44,$B44-(E44)))</f>
        <v>0</v>
      </c>
      <c r="J44" s="43" t="n">
        <f aca="false">MAX(0,G44-H44-I44)</f>
        <v>0</v>
      </c>
      <c r="K44" s="43" t="n">
        <f aca="false">IF(N43&gt;0.005,N43*(1+Ordem!$K$8),0)</f>
        <v>0</v>
      </c>
      <c r="L44" s="43" t="n">
        <f aca="false">MIN(K44,Ordem!$L$8)</f>
        <v>0</v>
      </c>
      <c r="M44" s="43" t="n">
        <f aca="false">MAX(0,MIN(K44-L44,$B44-(E44+I44)))</f>
        <v>0</v>
      </c>
      <c r="N44" s="43" t="n">
        <f aca="false">MAX(0,K44-L44-M44)</f>
        <v>0</v>
      </c>
      <c r="O44" s="43" t="n">
        <f aca="false">IF(R43&gt;0.005,R43*(1+Ordem!$K$9),0)</f>
        <v>0</v>
      </c>
      <c r="P44" s="43" t="n">
        <f aca="false">MIN(O44,Ordem!$L$9)</f>
        <v>0</v>
      </c>
      <c r="Q44" s="43" t="n">
        <f aca="false">MAX(0,MIN(O44-P44,$B44-(E44+I44+M44)))</f>
        <v>0</v>
      </c>
      <c r="R44" s="43" t="n">
        <f aca="false">MAX(0,O44-P44-Q44)</f>
        <v>0</v>
      </c>
      <c r="S44" s="43" t="n">
        <f aca="false">IF(V43&gt;0.005,V43*(1+Ordem!$K$10),0)</f>
        <v>0</v>
      </c>
      <c r="T44" s="43" t="n">
        <f aca="false">MIN(S44,Ordem!$L$10)</f>
        <v>0</v>
      </c>
      <c r="U44" s="43" t="n">
        <f aca="false">MAX(0,MIN(S44-T44,$B44-(E44+I44+M44+Q44)))</f>
        <v>0</v>
      </c>
      <c r="V44" s="43" t="n">
        <f aca="false">MAX(0,S44-T44-U44)</f>
        <v>0</v>
      </c>
      <c r="W44" s="43" t="n">
        <f aca="false">IF(Z43&gt;0.005,Z43*(1+Ordem!$K$11),0)</f>
        <v>0</v>
      </c>
      <c r="X44" s="43" t="n">
        <f aca="false">MIN(W44,Ordem!$L$11)</f>
        <v>0</v>
      </c>
      <c r="Y44" s="43" t="n">
        <f aca="false">MAX(0,MIN(W44-X44,$B44-(E44+I44+M44+Q44+U44)))</f>
        <v>0</v>
      </c>
      <c r="Z44" s="43" t="n">
        <f aca="false">MAX(0,W44-X44-Y44)</f>
        <v>0</v>
      </c>
      <c r="AA44" s="43" t="n">
        <f aca="false">IF(AD43&gt;0.005,AD43*(1+Ordem!$K$12),0)</f>
        <v>0</v>
      </c>
      <c r="AB44" s="43" t="n">
        <f aca="false">MIN(AA44,Ordem!$L$12)</f>
        <v>0</v>
      </c>
      <c r="AC44" s="43" t="n">
        <f aca="false">MAX(0,MIN(AA44-AB44,$B44-(E44+I44+M44+Q44+U44+Y44)))</f>
        <v>0</v>
      </c>
      <c r="AD44" s="43" t="n">
        <f aca="false">MAX(0,AA44-AB44-AC44)</f>
        <v>0</v>
      </c>
      <c r="AE44" s="43" t="n">
        <f aca="false">IF(AH43&gt;0.005,AH43*(1+Ordem!$K$13),0)</f>
        <v>0</v>
      </c>
      <c r="AF44" s="43" t="n">
        <f aca="false">MIN(AE44,Ordem!$L$13)</f>
        <v>0</v>
      </c>
      <c r="AG44" s="43" t="n">
        <f aca="false">MAX(0,MIN(AE44-AF44,$B44-(E44+I44+M44+Q44+U44+Y44+AC44)))</f>
        <v>0</v>
      </c>
      <c r="AH44" s="43" t="n">
        <f aca="false">MAX(0,AE44-AF44-AG44)</f>
        <v>0</v>
      </c>
      <c r="AI44" s="43" t="n">
        <f aca="false">IF(AL43&gt;0.005,AL43*(1+Ordem!$K$14),0)</f>
        <v>0</v>
      </c>
      <c r="AJ44" s="43" t="n">
        <f aca="false">MIN(AI44,Ordem!$L$14)</f>
        <v>0</v>
      </c>
      <c r="AK44" s="43" t="n">
        <f aca="false">MAX(0,MIN(AI44-AJ44,$B44-(E44+I44+M44+Q44+U44+Y44+AC44+AG44)))</f>
        <v>0</v>
      </c>
      <c r="AL44" s="43" t="n">
        <f aca="false">MAX(0,AI44-AJ44-AK44)</f>
        <v>0</v>
      </c>
      <c r="AM44" s="43" t="n">
        <f aca="false">IF(AP43&gt;0.005,AP43*(1+Ordem!$K$15),0)</f>
        <v>0</v>
      </c>
      <c r="AN44" s="43" t="n">
        <f aca="false">MIN(AM44,Ordem!$L$15)</f>
        <v>0</v>
      </c>
      <c r="AO44" s="43" t="n">
        <f aca="false">MAX(0,MIN(AM44-AN44,$B44-(E44+I44+M44+Q44+U44+Y44+AC44+AG44+AK44)))</f>
        <v>0</v>
      </c>
      <c r="AP44" s="43" t="n">
        <f aca="false">MAX(0,AM44-AN44-AO44)</f>
        <v>0</v>
      </c>
      <c r="AQ44" s="43" t="n">
        <f aca="false">F44+J44+N44+R44+V44+Z44+AD44+AH44+AL44+AP44</f>
        <v>0</v>
      </c>
      <c r="AR44" s="43" t="n">
        <f aca="false">D44+E44+H44+I44+L44+M44+P44+Q44+T44+U44+X44+Y44+AB44+AC44+AF44+AG44+AJ44+AK44+AN44+AO44</f>
        <v>0</v>
      </c>
    </row>
    <row r="45" customFormat="false" ht="15" hidden="false" customHeight="false" outlineLevel="0" collapsed="false">
      <c r="A45" s="0" t="n">
        <v>41</v>
      </c>
      <c r="B45" s="43" t="n">
        <f aca="false">MAX(0,Dívidas!$C$20-(D45+H45+L45+P45+T45+X45+AB45+AF45+AJ45+AN45))</f>
        <v>1450</v>
      </c>
      <c r="C45" s="43" t="n">
        <f aca="false">IF(F44&gt;0.005,F44*(1+Ordem!$K$6),0)</f>
        <v>0</v>
      </c>
      <c r="D45" s="43" t="n">
        <f aca="false">MIN(C45,Ordem!$L$6)</f>
        <v>0</v>
      </c>
      <c r="E45" s="43" t="n">
        <f aca="false">MAX(0,MIN(C45-D45,$B45-(0)))</f>
        <v>0</v>
      </c>
      <c r="F45" s="43" t="n">
        <f aca="false">MAX(0,C45-D45-E45)</f>
        <v>0</v>
      </c>
      <c r="G45" s="43" t="n">
        <f aca="false">IF(J44&gt;0.005,J44*(1+Ordem!$K$7),0)</f>
        <v>0</v>
      </c>
      <c r="H45" s="43" t="n">
        <f aca="false">MIN(G45,Ordem!$L$7)</f>
        <v>0</v>
      </c>
      <c r="I45" s="43" t="n">
        <f aca="false">MAX(0,MIN(G45-H45,$B45-(E45)))</f>
        <v>0</v>
      </c>
      <c r="J45" s="43" t="n">
        <f aca="false">MAX(0,G45-H45-I45)</f>
        <v>0</v>
      </c>
      <c r="K45" s="43" t="n">
        <f aca="false">IF(N44&gt;0.005,N44*(1+Ordem!$K$8),0)</f>
        <v>0</v>
      </c>
      <c r="L45" s="43" t="n">
        <f aca="false">MIN(K45,Ordem!$L$8)</f>
        <v>0</v>
      </c>
      <c r="M45" s="43" t="n">
        <f aca="false">MAX(0,MIN(K45-L45,$B45-(E45+I45)))</f>
        <v>0</v>
      </c>
      <c r="N45" s="43" t="n">
        <f aca="false">MAX(0,K45-L45-M45)</f>
        <v>0</v>
      </c>
      <c r="O45" s="43" t="n">
        <f aca="false">IF(R44&gt;0.005,R44*(1+Ordem!$K$9),0)</f>
        <v>0</v>
      </c>
      <c r="P45" s="43" t="n">
        <f aca="false">MIN(O45,Ordem!$L$9)</f>
        <v>0</v>
      </c>
      <c r="Q45" s="43" t="n">
        <f aca="false">MAX(0,MIN(O45-P45,$B45-(E45+I45+M45)))</f>
        <v>0</v>
      </c>
      <c r="R45" s="43" t="n">
        <f aca="false">MAX(0,O45-P45-Q45)</f>
        <v>0</v>
      </c>
      <c r="S45" s="43" t="n">
        <f aca="false">IF(V44&gt;0.005,V44*(1+Ordem!$K$10),0)</f>
        <v>0</v>
      </c>
      <c r="T45" s="43" t="n">
        <f aca="false">MIN(S45,Ordem!$L$10)</f>
        <v>0</v>
      </c>
      <c r="U45" s="43" t="n">
        <f aca="false">MAX(0,MIN(S45-T45,$B45-(E45+I45+M45+Q45)))</f>
        <v>0</v>
      </c>
      <c r="V45" s="43" t="n">
        <f aca="false">MAX(0,S45-T45-U45)</f>
        <v>0</v>
      </c>
      <c r="W45" s="43" t="n">
        <f aca="false">IF(Z44&gt;0.005,Z44*(1+Ordem!$K$11),0)</f>
        <v>0</v>
      </c>
      <c r="X45" s="43" t="n">
        <f aca="false">MIN(W45,Ordem!$L$11)</f>
        <v>0</v>
      </c>
      <c r="Y45" s="43" t="n">
        <f aca="false">MAX(0,MIN(W45-X45,$B45-(E45+I45+M45+Q45+U45)))</f>
        <v>0</v>
      </c>
      <c r="Z45" s="43" t="n">
        <f aca="false">MAX(0,W45-X45-Y45)</f>
        <v>0</v>
      </c>
      <c r="AA45" s="43" t="n">
        <f aca="false">IF(AD44&gt;0.005,AD44*(1+Ordem!$K$12),0)</f>
        <v>0</v>
      </c>
      <c r="AB45" s="43" t="n">
        <f aca="false">MIN(AA45,Ordem!$L$12)</f>
        <v>0</v>
      </c>
      <c r="AC45" s="43" t="n">
        <f aca="false">MAX(0,MIN(AA45-AB45,$B45-(E45+I45+M45+Q45+U45+Y45)))</f>
        <v>0</v>
      </c>
      <c r="AD45" s="43" t="n">
        <f aca="false">MAX(0,AA45-AB45-AC45)</f>
        <v>0</v>
      </c>
      <c r="AE45" s="43" t="n">
        <f aca="false">IF(AH44&gt;0.005,AH44*(1+Ordem!$K$13),0)</f>
        <v>0</v>
      </c>
      <c r="AF45" s="43" t="n">
        <f aca="false">MIN(AE45,Ordem!$L$13)</f>
        <v>0</v>
      </c>
      <c r="AG45" s="43" t="n">
        <f aca="false">MAX(0,MIN(AE45-AF45,$B45-(E45+I45+M45+Q45+U45+Y45+AC45)))</f>
        <v>0</v>
      </c>
      <c r="AH45" s="43" t="n">
        <f aca="false">MAX(0,AE45-AF45-AG45)</f>
        <v>0</v>
      </c>
      <c r="AI45" s="43" t="n">
        <f aca="false">IF(AL44&gt;0.005,AL44*(1+Ordem!$K$14),0)</f>
        <v>0</v>
      </c>
      <c r="AJ45" s="43" t="n">
        <f aca="false">MIN(AI45,Ordem!$L$14)</f>
        <v>0</v>
      </c>
      <c r="AK45" s="43" t="n">
        <f aca="false">MAX(0,MIN(AI45-AJ45,$B45-(E45+I45+M45+Q45+U45+Y45+AC45+AG45)))</f>
        <v>0</v>
      </c>
      <c r="AL45" s="43" t="n">
        <f aca="false">MAX(0,AI45-AJ45-AK45)</f>
        <v>0</v>
      </c>
      <c r="AM45" s="43" t="n">
        <f aca="false">IF(AP44&gt;0.005,AP44*(1+Ordem!$K$15),0)</f>
        <v>0</v>
      </c>
      <c r="AN45" s="43" t="n">
        <f aca="false">MIN(AM45,Ordem!$L$15)</f>
        <v>0</v>
      </c>
      <c r="AO45" s="43" t="n">
        <f aca="false">MAX(0,MIN(AM45-AN45,$B45-(E45+I45+M45+Q45+U45+Y45+AC45+AG45+AK45)))</f>
        <v>0</v>
      </c>
      <c r="AP45" s="43" t="n">
        <f aca="false">MAX(0,AM45-AN45-AO45)</f>
        <v>0</v>
      </c>
      <c r="AQ45" s="43" t="n">
        <f aca="false">F45+J45+N45+R45+V45+Z45+AD45+AH45+AL45+AP45</f>
        <v>0</v>
      </c>
      <c r="AR45" s="43" t="n">
        <f aca="false">D45+E45+H45+I45+L45+M45+P45+Q45+T45+U45+X45+Y45+AB45+AC45+AF45+AG45+AJ45+AK45+AN45+AO45</f>
        <v>0</v>
      </c>
    </row>
    <row r="46" customFormat="false" ht="15" hidden="false" customHeight="false" outlineLevel="0" collapsed="false">
      <c r="A46" s="0" t="n">
        <v>42</v>
      </c>
      <c r="B46" s="43" t="n">
        <f aca="false">MAX(0,Dívidas!$C$20-(D46+H46+L46+P46+T46+X46+AB46+AF46+AJ46+AN46))</f>
        <v>1450</v>
      </c>
      <c r="C46" s="43" t="n">
        <f aca="false">IF(F45&gt;0.005,F45*(1+Ordem!$K$6),0)</f>
        <v>0</v>
      </c>
      <c r="D46" s="43" t="n">
        <f aca="false">MIN(C46,Ordem!$L$6)</f>
        <v>0</v>
      </c>
      <c r="E46" s="43" t="n">
        <f aca="false">MAX(0,MIN(C46-D46,$B46-(0)))</f>
        <v>0</v>
      </c>
      <c r="F46" s="43" t="n">
        <f aca="false">MAX(0,C46-D46-E46)</f>
        <v>0</v>
      </c>
      <c r="G46" s="43" t="n">
        <f aca="false">IF(J45&gt;0.005,J45*(1+Ordem!$K$7),0)</f>
        <v>0</v>
      </c>
      <c r="H46" s="43" t="n">
        <f aca="false">MIN(G46,Ordem!$L$7)</f>
        <v>0</v>
      </c>
      <c r="I46" s="43" t="n">
        <f aca="false">MAX(0,MIN(G46-H46,$B46-(E46)))</f>
        <v>0</v>
      </c>
      <c r="J46" s="43" t="n">
        <f aca="false">MAX(0,G46-H46-I46)</f>
        <v>0</v>
      </c>
      <c r="K46" s="43" t="n">
        <f aca="false">IF(N45&gt;0.005,N45*(1+Ordem!$K$8),0)</f>
        <v>0</v>
      </c>
      <c r="L46" s="43" t="n">
        <f aca="false">MIN(K46,Ordem!$L$8)</f>
        <v>0</v>
      </c>
      <c r="M46" s="43" t="n">
        <f aca="false">MAX(0,MIN(K46-L46,$B46-(E46+I46)))</f>
        <v>0</v>
      </c>
      <c r="N46" s="43" t="n">
        <f aca="false">MAX(0,K46-L46-M46)</f>
        <v>0</v>
      </c>
      <c r="O46" s="43" t="n">
        <f aca="false">IF(R45&gt;0.005,R45*(1+Ordem!$K$9),0)</f>
        <v>0</v>
      </c>
      <c r="P46" s="43" t="n">
        <f aca="false">MIN(O46,Ordem!$L$9)</f>
        <v>0</v>
      </c>
      <c r="Q46" s="43" t="n">
        <f aca="false">MAX(0,MIN(O46-P46,$B46-(E46+I46+M46)))</f>
        <v>0</v>
      </c>
      <c r="R46" s="43" t="n">
        <f aca="false">MAX(0,O46-P46-Q46)</f>
        <v>0</v>
      </c>
      <c r="S46" s="43" t="n">
        <f aca="false">IF(V45&gt;0.005,V45*(1+Ordem!$K$10),0)</f>
        <v>0</v>
      </c>
      <c r="T46" s="43" t="n">
        <f aca="false">MIN(S46,Ordem!$L$10)</f>
        <v>0</v>
      </c>
      <c r="U46" s="43" t="n">
        <f aca="false">MAX(0,MIN(S46-T46,$B46-(E46+I46+M46+Q46)))</f>
        <v>0</v>
      </c>
      <c r="V46" s="43" t="n">
        <f aca="false">MAX(0,S46-T46-U46)</f>
        <v>0</v>
      </c>
      <c r="W46" s="43" t="n">
        <f aca="false">IF(Z45&gt;0.005,Z45*(1+Ordem!$K$11),0)</f>
        <v>0</v>
      </c>
      <c r="X46" s="43" t="n">
        <f aca="false">MIN(W46,Ordem!$L$11)</f>
        <v>0</v>
      </c>
      <c r="Y46" s="43" t="n">
        <f aca="false">MAX(0,MIN(W46-X46,$B46-(E46+I46+M46+Q46+U46)))</f>
        <v>0</v>
      </c>
      <c r="Z46" s="43" t="n">
        <f aca="false">MAX(0,W46-X46-Y46)</f>
        <v>0</v>
      </c>
      <c r="AA46" s="43" t="n">
        <f aca="false">IF(AD45&gt;0.005,AD45*(1+Ordem!$K$12),0)</f>
        <v>0</v>
      </c>
      <c r="AB46" s="43" t="n">
        <f aca="false">MIN(AA46,Ordem!$L$12)</f>
        <v>0</v>
      </c>
      <c r="AC46" s="43" t="n">
        <f aca="false">MAX(0,MIN(AA46-AB46,$B46-(E46+I46+M46+Q46+U46+Y46)))</f>
        <v>0</v>
      </c>
      <c r="AD46" s="43" t="n">
        <f aca="false">MAX(0,AA46-AB46-AC46)</f>
        <v>0</v>
      </c>
      <c r="AE46" s="43" t="n">
        <f aca="false">IF(AH45&gt;0.005,AH45*(1+Ordem!$K$13),0)</f>
        <v>0</v>
      </c>
      <c r="AF46" s="43" t="n">
        <f aca="false">MIN(AE46,Ordem!$L$13)</f>
        <v>0</v>
      </c>
      <c r="AG46" s="43" t="n">
        <f aca="false">MAX(0,MIN(AE46-AF46,$B46-(E46+I46+M46+Q46+U46+Y46+AC46)))</f>
        <v>0</v>
      </c>
      <c r="AH46" s="43" t="n">
        <f aca="false">MAX(0,AE46-AF46-AG46)</f>
        <v>0</v>
      </c>
      <c r="AI46" s="43" t="n">
        <f aca="false">IF(AL45&gt;0.005,AL45*(1+Ordem!$K$14),0)</f>
        <v>0</v>
      </c>
      <c r="AJ46" s="43" t="n">
        <f aca="false">MIN(AI46,Ordem!$L$14)</f>
        <v>0</v>
      </c>
      <c r="AK46" s="43" t="n">
        <f aca="false">MAX(0,MIN(AI46-AJ46,$B46-(E46+I46+M46+Q46+U46+Y46+AC46+AG46)))</f>
        <v>0</v>
      </c>
      <c r="AL46" s="43" t="n">
        <f aca="false">MAX(0,AI46-AJ46-AK46)</f>
        <v>0</v>
      </c>
      <c r="AM46" s="43" t="n">
        <f aca="false">IF(AP45&gt;0.005,AP45*(1+Ordem!$K$15),0)</f>
        <v>0</v>
      </c>
      <c r="AN46" s="43" t="n">
        <f aca="false">MIN(AM46,Ordem!$L$15)</f>
        <v>0</v>
      </c>
      <c r="AO46" s="43" t="n">
        <f aca="false">MAX(0,MIN(AM46-AN46,$B46-(E46+I46+M46+Q46+U46+Y46+AC46+AG46+AK46)))</f>
        <v>0</v>
      </c>
      <c r="AP46" s="43" t="n">
        <f aca="false">MAX(0,AM46-AN46-AO46)</f>
        <v>0</v>
      </c>
      <c r="AQ46" s="43" t="n">
        <f aca="false">F46+J46+N46+R46+V46+Z46+AD46+AH46+AL46+AP46</f>
        <v>0</v>
      </c>
      <c r="AR46" s="43" t="n">
        <f aca="false">D46+E46+H46+I46+L46+M46+P46+Q46+T46+U46+X46+Y46+AB46+AC46+AF46+AG46+AJ46+AK46+AN46+AO46</f>
        <v>0</v>
      </c>
    </row>
    <row r="47" customFormat="false" ht="15" hidden="false" customHeight="false" outlineLevel="0" collapsed="false">
      <c r="A47" s="0" t="n">
        <v>43</v>
      </c>
      <c r="B47" s="43" t="n">
        <f aca="false">MAX(0,Dívidas!$C$20-(D47+H47+L47+P47+T47+X47+AB47+AF47+AJ47+AN47))</f>
        <v>1450</v>
      </c>
      <c r="C47" s="43" t="n">
        <f aca="false">IF(F46&gt;0.005,F46*(1+Ordem!$K$6),0)</f>
        <v>0</v>
      </c>
      <c r="D47" s="43" t="n">
        <f aca="false">MIN(C47,Ordem!$L$6)</f>
        <v>0</v>
      </c>
      <c r="E47" s="43" t="n">
        <f aca="false">MAX(0,MIN(C47-D47,$B47-(0)))</f>
        <v>0</v>
      </c>
      <c r="F47" s="43" t="n">
        <f aca="false">MAX(0,C47-D47-E47)</f>
        <v>0</v>
      </c>
      <c r="G47" s="43" t="n">
        <f aca="false">IF(J46&gt;0.005,J46*(1+Ordem!$K$7),0)</f>
        <v>0</v>
      </c>
      <c r="H47" s="43" t="n">
        <f aca="false">MIN(G47,Ordem!$L$7)</f>
        <v>0</v>
      </c>
      <c r="I47" s="43" t="n">
        <f aca="false">MAX(0,MIN(G47-H47,$B47-(E47)))</f>
        <v>0</v>
      </c>
      <c r="J47" s="43" t="n">
        <f aca="false">MAX(0,G47-H47-I47)</f>
        <v>0</v>
      </c>
      <c r="K47" s="43" t="n">
        <f aca="false">IF(N46&gt;0.005,N46*(1+Ordem!$K$8),0)</f>
        <v>0</v>
      </c>
      <c r="L47" s="43" t="n">
        <f aca="false">MIN(K47,Ordem!$L$8)</f>
        <v>0</v>
      </c>
      <c r="M47" s="43" t="n">
        <f aca="false">MAX(0,MIN(K47-L47,$B47-(E47+I47)))</f>
        <v>0</v>
      </c>
      <c r="N47" s="43" t="n">
        <f aca="false">MAX(0,K47-L47-M47)</f>
        <v>0</v>
      </c>
      <c r="O47" s="43" t="n">
        <f aca="false">IF(R46&gt;0.005,R46*(1+Ordem!$K$9),0)</f>
        <v>0</v>
      </c>
      <c r="P47" s="43" t="n">
        <f aca="false">MIN(O47,Ordem!$L$9)</f>
        <v>0</v>
      </c>
      <c r="Q47" s="43" t="n">
        <f aca="false">MAX(0,MIN(O47-P47,$B47-(E47+I47+M47)))</f>
        <v>0</v>
      </c>
      <c r="R47" s="43" t="n">
        <f aca="false">MAX(0,O47-P47-Q47)</f>
        <v>0</v>
      </c>
      <c r="S47" s="43" t="n">
        <f aca="false">IF(V46&gt;0.005,V46*(1+Ordem!$K$10),0)</f>
        <v>0</v>
      </c>
      <c r="T47" s="43" t="n">
        <f aca="false">MIN(S47,Ordem!$L$10)</f>
        <v>0</v>
      </c>
      <c r="U47" s="43" t="n">
        <f aca="false">MAX(0,MIN(S47-T47,$B47-(E47+I47+M47+Q47)))</f>
        <v>0</v>
      </c>
      <c r="V47" s="43" t="n">
        <f aca="false">MAX(0,S47-T47-U47)</f>
        <v>0</v>
      </c>
      <c r="W47" s="43" t="n">
        <f aca="false">IF(Z46&gt;0.005,Z46*(1+Ordem!$K$11),0)</f>
        <v>0</v>
      </c>
      <c r="X47" s="43" t="n">
        <f aca="false">MIN(W47,Ordem!$L$11)</f>
        <v>0</v>
      </c>
      <c r="Y47" s="43" t="n">
        <f aca="false">MAX(0,MIN(W47-X47,$B47-(E47+I47+M47+Q47+U47)))</f>
        <v>0</v>
      </c>
      <c r="Z47" s="43" t="n">
        <f aca="false">MAX(0,W47-X47-Y47)</f>
        <v>0</v>
      </c>
      <c r="AA47" s="43" t="n">
        <f aca="false">IF(AD46&gt;0.005,AD46*(1+Ordem!$K$12),0)</f>
        <v>0</v>
      </c>
      <c r="AB47" s="43" t="n">
        <f aca="false">MIN(AA47,Ordem!$L$12)</f>
        <v>0</v>
      </c>
      <c r="AC47" s="43" t="n">
        <f aca="false">MAX(0,MIN(AA47-AB47,$B47-(E47+I47+M47+Q47+U47+Y47)))</f>
        <v>0</v>
      </c>
      <c r="AD47" s="43" t="n">
        <f aca="false">MAX(0,AA47-AB47-AC47)</f>
        <v>0</v>
      </c>
      <c r="AE47" s="43" t="n">
        <f aca="false">IF(AH46&gt;0.005,AH46*(1+Ordem!$K$13),0)</f>
        <v>0</v>
      </c>
      <c r="AF47" s="43" t="n">
        <f aca="false">MIN(AE47,Ordem!$L$13)</f>
        <v>0</v>
      </c>
      <c r="AG47" s="43" t="n">
        <f aca="false">MAX(0,MIN(AE47-AF47,$B47-(E47+I47+M47+Q47+U47+Y47+AC47)))</f>
        <v>0</v>
      </c>
      <c r="AH47" s="43" t="n">
        <f aca="false">MAX(0,AE47-AF47-AG47)</f>
        <v>0</v>
      </c>
      <c r="AI47" s="43" t="n">
        <f aca="false">IF(AL46&gt;0.005,AL46*(1+Ordem!$K$14),0)</f>
        <v>0</v>
      </c>
      <c r="AJ47" s="43" t="n">
        <f aca="false">MIN(AI47,Ordem!$L$14)</f>
        <v>0</v>
      </c>
      <c r="AK47" s="43" t="n">
        <f aca="false">MAX(0,MIN(AI47-AJ47,$B47-(E47+I47+M47+Q47+U47+Y47+AC47+AG47)))</f>
        <v>0</v>
      </c>
      <c r="AL47" s="43" t="n">
        <f aca="false">MAX(0,AI47-AJ47-AK47)</f>
        <v>0</v>
      </c>
      <c r="AM47" s="43" t="n">
        <f aca="false">IF(AP46&gt;0.005,AP46*(1+Ordem!$K$15),0)</f>
        <v>0</v>
      </c>
      <c r="AN47" s="43" t="n">
        <f aca="false">MIN(AM47,Ordem!$L$15)</f>
        <v>0</v>
      </c>
      <c r="AO47" s="43" t="n">
        <f aca="false">MAX(0,MIN(AM47-AN47,$B47-(E47+I47+M47+Q47+U47+Y47+AC47+AG47+AK47)))</f>
        <v>0</v>
      </c>
      <c r="AP47" s="43" t="n">
        <f aca="false">MAX(0,AM47-AN47-AO47)</f>
        <v>0</v>
      </c>
      <c r="AQ47" s="43" t="n">
        <f aca="false">F47+J47+N47+R47+V47+Z47+AD47+AH47+AL47+AP47</f>
        <v>0</v>
      </c>
      <c r="AR47" s="43" t="n">
        <f aca="false">D47+E47+H47+I47+L47+M47+P47+Q47+T47+U47+X47+Y47+AB47+AC47+AF47+AG47+AJ47+AK47+AN47+AO47</f>
        <v>0</v>
      </c>
    </row>
    <row r="48" customFormat="false" ht="15" hidden="false" customHeight="false" outlineLevel="0" collapsed="false">
      <c r="A48" s="0" t="n">
        <v>44</v>
      </c>
      <c r="B48" s="43" t="n">
        <f aca="false">MAX(0,Dívidas!$C$20-(D48+H48+L48+P48+T48+X48+AB48+AF48+AJ48+AN48))</f>
        <v>1450</v>
      </c>
      <c r="C48" s="43" t="n">
        <f aca="false">IF(F47&gt;0.005,F47*(1+Ordem!$K$6),0)</f>
        <v>0</v>
      </c>
      <c r="D48" s="43" t="n">
        <f aca="false">MIN(C48,Ordem!$L$6)</f>
        <v>0</v>
      </c>
      <c r="E48" s="43" t="n">
        <f aca="false">MAX(0,MIN(C48-D48,$B48-(0)))</f>
        <v>0</v>
      </c>
      <c r="F48" s="43" t="n">
        <f aca="false">MAX(0,C48-D48-E48)</f>
        <v>0</v>
      </c>
      <c r="G48" s="43" t="n">
        <f aca="false">IF(J47&gt;0.005,J47*(1+Ordem!$K$7),0)</f>
        <v>0</v>
      </c>
      <c r="H48" s="43" t="n">
        <f aca="false">MIN(G48,Ordem!$L$7)</f>
        <v>0</v>
      </c>
      <c r="I48" s="43" t="n">
        <f aca="false">MAX(0,MIN(G48-H48,$B48-(E48)))</f>
        <v>0</v>
      </c>
      <c r="J48" s="43" t="n">
        <f aca="false">MAX(0,G48-H48-I48)</f>
        <v>0</v>
      </c>
      <c r="K48" s="43" t="n">
        <f aca="false">IF(N47&gt;0.005,N47*(1+Ordem!$K$8),0)</f>
        <v>0</v>
      </c>
      <c r="L48" s="43" t="n">
        <f aca="false">MIN(K48,Ordem!$L$8)</f>
        <v>0</v>
      </c>
      <c r="M48" s="43" t="n">
        <f aca="false">MAX(0,MIN(K48-L48,$B48-(E48+I48)))</f>
        <v>0</v>
      </c>
      <c r="N48" s="43" t="n">
        <f aca="false">MAX(0,K48-L48-M48)</f>
        <v>0</v>
      </c>
      <c r="O48" s="43" t="n">
        <f aca="false">IF(R47&gt;0.005,R47*(1+Ordem!$K$9),0)</f>
        <v>0</v>
      </c>
      <c r="P48" s="43" t="n">
        <f aca="false">MIN(O48,Ordem!$L$9)</f>
        <v>0</v>
      </c>
      <c r="Q48" s="43" t="n">
        <f aca="false">MAX(0,MIN(O48-P48,$B48-(E48+I48+M48)))</f>
        <v>0</v>
      </c>
      <c r="R48" s="43" t="n">
        <f aca="false">MAX(0,O48-P48-Q48)</f>
        <v>0</v>
      </c>
      <c r="S48" s="43" t="n">
        <f aca="false">IF(V47&gt;0.005,V47*(1+Ordem!$K$10),0)</f>
        <v>0</v>
      </c>
      <c r="T48" s="43" t="n">
        <f aca="false">MIN(S48,Ordem!$L$10)</f>
        <v>0</v>
      </c>
      <c r="U48" s="43" t="n">
        <f aca="false">MAX(0,MIN(S48-T48,$B48-(E48+I48+M48+Q48)))</f>
        <v>0</v>
      </c>
      <c r="V48" s="43" t="n">
        <f aca="false">MAX(0,S48-T48-U48)</f>
        <v>0</v>
      </c>
      <c r="W48" s="43" t="n">
        <f aca="false">IF(Z47&gt;0.005,Z47*(1+Ordem!$K$11),0)</f>
        <v>0</v>
      </c>
      <c r="X48" s="43" t="n">
        <f aca="false">MIN(W48,Ordem!$L$11)</f>
        <v>0</v>
      </c>
      <c r="Y48" s="43" t="n">
        <f aca="false">MAX(0,MIN(W48-X48,$B48-(E48+I48+M48+Q48+U48)))</f>
        <v>0</v>
      </c>
      <c r="Z48" s="43" t="n">
        <f aca="false">MAX(0,W48-X48-Y48)</f>
        <v>0</v>
      </c>
      <c r="AA48" s="43" t="n">
        <f aca="false">IF(AD47&gt;0.005,AD47*(1+Ordem!$K$12),0)</f>
        <v>0</v>
      </c>
      <c r="AB48" s="43" t="n">
        <f aca="false">MIN(AA48,Ordem!$L$12)</f>
        <v>0</v>
      </c>
      <c r="AC48" s="43" t="n">
        <f aca="false">MAX(0,MIN(AA48-AB48,$B48-(E48+I48+M48+Q48+U48+Y48)))</f>
        <v>0</v>
      </c>
      <c r="AD48" s="43" t="n">
        <f aca="false">MAX(0,AA48-AB48-AC48)</f>
        <v>0</v>
      </c>
      <c r="AE48" s="43" t="n">
        <f aca="false">IF(AH47&gt;0.005,AH47*(1+Ordem!$K$13),0)</f>
        <v>0</v>
      </c>
      <c r="AF48" s="43" t="n">
        <f aca="false">MIN(AE48,Ordem!$L$13)</f>
        <v>0</v>
      </c>
      <c r="AG48" s="43" t="n">
        <f aca="false">MAX(0,MIN(AE48-AF48,$B48-(E48+I48+M48+Q48+U48+Y48+AC48)))</f>
        <v>0</v>
      </c>
      <c r="AH48" s="43" t="n">
        <f aca="false">MAX(0,AE48-AF48-AG48)</f>
        <v>0</v>
      </c>
      <c r="AI48" s="43" t="n">
        <f aca="false">IF(AL47&gt;0.005,AL47*(1+Ordem!$K$14),0)</f>
        <v>0</v>
      </c>
      <c r="AJ48" s="43" t="n">
        <f aca="false">MIN(AI48,Ordem!$L$14)</f>
        <v>0</v>
      </c>
      <c r="AK48" s="43" t="n">
        <f aca="false">MAX(0,MIN(AI48-AJ48,$B48-(E48+I48+M48+Q48+U48+Y48+AC48+AG48)))</f>
        <v>0</v>
      </c>
      <c r="AL48" s="43" t="n">
        <f aca="false">MAX(0,AI48-AJ48-AK48)</f>
        <v>0</v>
      </c>
      <c r="AM48" s="43" t="n">
        <f aca="false">IF(AP47&gt;0.005,AP47*(1+Ordem!$K$15),0)</f>
        <v>0</v>
      </c>
      <c r="AN48" s="43" t="n">
        <f aca="false">MIN(AM48,Ordem!$L$15)</f>
        <v>0</v>
      </c>
      <c r="AO48" s="43" t="n">
        <f aca="false">MAX(0,MIN(AM48-AN48,$B48-(E48+I48+M48+Q48+U48+Y48+AC48+AG48+AK48)))</f>
        <v>0</v>
      </c>
      <c r="AP48" s="43" t="n">
        <f aca="false">MAX(0,AM48-AN48-AO48)</f>
        <v>0</v>
      </c>
      <c r="AQ48" s="43" t="n">
        <f aca="false">F48+J48+N48+R48+V48+Z48+AD48+AH48+AL48+AP48</f>
        <v>0</v>
      </c>
      <c r="AR48" s="43" t="n">
        <f aca="false">D48+E48+H48+I48+L48+M48+P48+Q48+T48+U48+X48+Y48+AB48+AC48+AF48+AG48+AJ48+AK48+AN48+AO48</f>
        <v>0</v>
      </c>
    </row>
    <row r="49" customFormat="false" ht="15" hidden="false" customHeight="false" outlineLevel="0" collapsed="false">
      <c r="A49" s="0" t="n">
        <v>45</v>
      </c>
      <c r="B49" s="43" t="n">
        <f aca="false">MAX(0,Dívidas!$C$20-(D49+H49+L49+P49+T49+X49+AB49+AF49+AJ49+AN49))</f>
        <v>1450</v>
      </c>
      <c r="C49" s="43" t="n">
        <f aca="false">IF(F48&gt;0.005,F48*(1+Ordem!$K$6),0)</f>
        <v>0</v>
      </c>
      <c r="D49" s="43" t="n">
        <f aca="false">MIN(C49,Ordem!$L$6)</f>
        <v>0</v>
      </c>
      <c r="E49" s="43" t="n">
        <f aca="false">MAX(0,MIN(C49-D49,$B49-(0)))</f>
        <v>0</v>
      </c>
      <c r="F49" s="43" t="n">
        <f aca="false">MAX(0,C49-D49-E49)</f>
        <v>0</v>
      </c>
      <c r="G49" s="43" t="n">
        <f aca="false">IF(J48&gt;0.005,J48*(1+Ordem!$K$7),0)</f>
        <v>0</v>
      </c>
      <c r="H49" s="43" t="n">
        <f aca="false">MIN(G49,Ordem!$L$7)</f>
        <v>0</v>
      </c>
      <c r="I49" s="43" t="n">
        <f aca="false">MAX(0,MIN(G49-H49,$B49-(E49)))</f>
        <v>0</v>
      </c>
      <c r="J49" s="43" t="n">
        <f aca="false">MAX(0,G49-H49-I49)</f>
        <v>0</v>
      </c>
      <c r="K49" s="43" t="n">
        <f aca="false">IF(N48&gt;0.005,N48*(1+Ordem!$K$8),0)</f>
        <v>0</v>
      </c>
      <c r="L49" s="43" t="n">
        <f aca="false">MIN(K49,Ordem!$L$8)</f>
        <v>0</v>
      </c>
      <c r="M49" s="43" t="n">
        <f aca="false">MAX(0,MIN(K49-L49,$B49-(E49+I49)))</f>
        <v>0</v>
      </c>
      <c r="N49" s="43" t="n">
        <f aca="false">MAX(0,K49-L49-M49)</f>
        <v>0</v>
      </c>
      <c r="O49" s="43" t="n">
        <f aca="false">IF(R48&gt;0.005,R48*(1+Ordem!$K$9),0)</f>
        <v>0</v>
      </c>
      <c r="P49" s="43" t="n">
        <f aca="false">MIN(O49,Ordem!$L$9)</f>
        <v>0</v>
      </c>
      <c r="Q49" s="43" t="n">
        <f aca="false">MAX(0,MIN(O49-P49,$B49-(E49+I49+M49)))</f>
        <v>0</v>
      </c>
      <c r="R49" s="43" t="n">
        <f aca="false">MAX(0,O49-P49-Q49)</f>
        <v>0</v>
      </c>
      <c r="S49" s="43" t="n">
        <f aca="false">IF(V48&gt;0.005,V48*(1+Ordem!$K$10),0)</f>
        <v>0</v>
      </c>
      <c r="T49" s="43" t="n">
        <f aca="false">MIN(S49,Ordem!$L$10)</f>
        <v>0</v>
      </c>
      <c r="U49" s="43" t="n">
        <f aca="false">MAX(0,MIN(S49-T49,$B49-(E49+I49+M49+Q49)))</f>
        <v>0</v>
      </c>
      <c r="V49" s="43" t="n">
        <f aca="false">MAX(0,S49-T49-U49)</f>
        <v>0</v>
      </c>
      <c r="W49" s="43" t="n">
        <f aca="false">IF(Z48&gt;0.005,Z48*(1+Ordem!$K$11),0)</f>
        <v>0</v>
      </c>
      <c r="X49" s="43" t="n">
        <f aca="false">MIN(W49,Ordem!$L$11)</f>
        <v>0</v>
      </c>
      <c r="Y49" s="43" t="n">
        <f aca="false">MAX(0,MIN(W49-X49,$B49-(E49+I49+M49+Q49+U49)))</f>
        <v>0</v>
      </c>
      <c r="Z49" s="43" t="n">
        <f aca="false">MAX(0,W49-X49-Y49)</f>
        <v>0</v>
      </c>
      <c r="AA49" s="43" t="n">
        <f aca="false">IF(AD48&gt;0.005,AD48*(1+Ordem!$K$12),0)</f>
        <v>0</v>
      </c>
      <c r="AB49" s="43" t="n">
        <f aca="false">MIN(AA49,Ordem!$L$12)</f>
        <v>0</v>
      </c>
      <c r="AC49" s="43" t="n">
        <f aca="false">MAX(0,MIN(AA49-AB49,$B49-(E49+I49+M49+Q49+U49+Y49)))</f>
        <v>0</v>
      </c>
      <c r="AD49" s="43" t="n">
        <f aca="false">MAX(0,AA49-AB49-AC49)</f>
        <v>0</v>
      </c>
      <c r="AE49" s="43" t="n">
        <f aca="false">IF(AH48&gt;0.005,AH48*(1+Ordem!$K$13),0)</f>
        <v>0</v>
      </c>
      <c r="AF49" s="43" t="n">
        <f aca="false">MIN(AE49,Ordem!$L$13)</f>
        <v>0</v>
      </c>
      <c r="AG49" s="43" t="n">
        <f aca="false">MAX(0,MIN(AE49-AF49,$B49-(E49+I49+M49+Q49+U49+Y49+AC49)))</f>
        <v>0</v>
      </c>
      <c r="AH49" s="43" t="n">
        <f aca="false">MAX(0,AE49-AF49-AG49)</f>
        <v>0</v>
      </c>
      <c r="AI49" s="43" t="n">
        <f aca="false">IF(AL48&gt;0.005,AL48*(1+Ordem!$K$14),0)</f>
        <v>0</v>
      </c>
      <c r="AJ49" s="43" t="n">
        <f aca="false">MIN(AI49,Ordem!$L$14)</f>
        <v>0</v>
      </c>
      <c r="AK49" s="43" t="n">
        <f aca="false">MAX(0,MIN(AI49-AJ49,$B49-(E49+I49+M49+Q49+U49+Y49+AC49+AG49)))</f>
        <v>0</v>
      </c>
      <c r="AL49" s="43" t="n">
        <f aca="false">MAX(0,AI49-AJ49-AK49)</f>
        <v>0</v>
      </c>
      <c r="AM49" s="43" t="n">
        <f aca="false">IF(AP48&gt;0.005,AP48*(1+Ordem!$K$15),0)</f>
        <v>0</v>
      </c>
      <c r="AN49" s="43" t="n">
        <f aca="false">MIN(AM49,Ordem!$L$15)</f>
        <v>0</v>
      </c>
      <c r="AO49" s="43" t="n">
        <f aca="false">MAX(0,MIN(AM49-AN49,$B49-(E49+I49+M49+Q49+U49+Y49+AC49+AG49+AK49)))</f>
        <v>0</v>
      </c>
      <c r="AP49" s="43" t="n">
        <f aca="false">MAX(0,AM49-AN49-AO49)</f>
        <v>0</v>
      </c>
      <c r="AQ49" s="43" t="n">
        <f aca="false">F49+J49+N49+R49+V49+Z49+AD49+AH49+AL49+AP49</f>
        <v>0</v>
      </c>
      <c r="AR49" s="43" t="n">
        <f aca="false">D49+E49+H49+I49+L49+M49+P49+Q49+T49+U49+X49+Y49+AB49+AC49+AF49+AG49+AJ49+AK49+AN49+AO49</f>
        <v>0</v>
      </c>
    </row>
    <row r="50" customFormat="false" ht="15" hidden="false" customHeight="false" outlineLevel="0" collapsed="false">
      <c r="A50" s="0" t="n">
        <v>46</v>
      </c>
      <c r="B50" s="43" t="n">
        <f aca="false">MAX(0,Dívidas!$C$20-(D50+H50+L50+P50+T50+X50+AB50+AF50+AJ50+AN50))</f>
        <v>1450</v>
      </c>
      <c r="C50" s="43" t="n">
        <f aca="false">IF(F49&gt;0.005,F49*(1+Ordem!$K$6),0)</f>
        <v>0</v>
      </c>
      <c r="D50" s="43" t="n">
        <f aca="false">MIN(C50,Ordem!$L$6)</f>
        <v>0</v>
      </c>
      <c r="E50" s="43" t="n">
        <f aca="false">MAX(0,MIN(C50-D50,$B50-(0)))</f>
        <v>0</v>
      </c>
      <c r="F50" s="43" t="n">
        <f aca="false">MAX(0,C50-D50-E50)</f>
        <v>0</v>
      </c>
      <c r="G50" s="43" t="n">
        <f aca="false">IF(J49&gt;0.005,J49*(1+Ordem!$K$7),0)</f>
        <v>0</v>
      </c>
      <c r="H50" s="43" t="n">
        <f aca="false">MIN(G50,Ordem!$L$7)</f>
        <v>0</v>
      </c>
      <c r="I50" s="43" t="n">
        <f aca="false">MAX(0,MIN(G50-H50,$B50-(E50)))</f>
        <v>0</v>
      </c>
      <c r="J50" s="43" t="n">
        <f aca="false">MAX(0,G50-H50-I50)</f>
        <v>0</v>
      </c>
      <c r="K50" s="43" t="n">
        <f aca="false">IF(N49&gt;0.005,N49*(1+Ordem!$K$8),0)</f>
        <v>0</v>
      </c>
      <c r="L50" s="43" t="n">
        <f aca="false">MIN(K50,Ordem!$L$8)</f>
        <v>0</v>
      </c>
      <c r="M50" s="43" t="n">
        <f aca="false">MAX(0,MIN(K50-L50,$B50-(E50+I50)))</f>
        <v>0</v>
      </c>
      <c r="N50" s="43" t="n">
        <f aca="false">MAX(0,K50-L50-M50)</f>
        <v>0</v>
      </c>
      <c r="O50" s="43" t="n">
        <f aca="false">IF(R49&gt;0.005,R49*(1+Ordem!$K$9),0)</f>
        <v>0</v>
      </c>
      <c r="P50" s="43" t="n">
        <f aca="false">MIN(O50,Ordem!$L$9)</f>
        <v>0</v>
      </c>
      <c r="Q50" s="43" t="n">
        <f aca="false">MAX(0,MIN(O50-P50,$B50-(E50+I50+M50)))</f>
        <v>0</v>
      </c>
      <c r="R50" s="43" t="n">
        <f aca="false">MAX(0,O50-P50-Q50)</f>
        <v>0</v>
      </c>
      <c r="S50" s="43" t="n">
        <f aca="false">IF(V49&gt;0.005,V49*(1+Ordem!$K$10),0)</f>
        <v>0</v>
      </c>
      <c r="T50" s="43" t="n">
        <f aca="false">MIN(S50,Ordem!$L$10)</f>
        <v>0</v>
      </c>
      <c r="U50" s="43" t="n">
        <f aca="false">MAX(0,MIN(S50-T50,$B50-(E50+I50+M50+Q50)))</f>
        <v>0</v>
      </c>
      <c r="V50" s="43" t="n">
        <f aca="false">MAX(0,S50-T50-U50)</f>
        <v>0</v>
      </c>
      <c r="W50" s="43" t="n">
        <f aca="false">IF(Z49&gt;0.005,Z49*(1+Ordem!$K$11),0)</f>
        <v>0</v>
      </c>
      <c r="X50" s="43" t="n">
        <f aca="false">MIN(W50,Ordem!$L$11)</f>
        <v>0</v>
      </c>
      <c r="Y50" s="43" t="n">
        <f aca="false">MAX(0,MIN(W50-X50,$B50-(E50+I50+M50+Q50+U50)))</f>
        <v>0</v>
      </c>
      <c r="Z50" s="43" t="n">
        <f aca="false">MAX(0,W50-X50-Y50)</f>
        <v>0</v>
      </c>
      <c r="AA50" s="43" t="n">
        <f aca="false">IF(AD49&gt;0.005,AD49*(1+Ordem!$K$12),0)</f>
        <v>0</v>
      </c>
      <c r="AB50" s="43" t="n">
        <f aca="false">MIN(AA50,Ordem!$L$12)</f>
        <v>0</v>
      </c>
      <c r="AC50" s="43" t="n">
        <f aca="false">MAX(0,MIN(AA50-AB50,$B50-(E50+I50+M50+Q50+U50+Y50)))</f>
        <v>0</v>
      </c>
      <c r="AD50" s="43" t="n">
        <f aca="false">MAX(0,AA50-AB50-AC50)</f>
        <v>0</v>
      </c>
      <c r="AE50" s="43" t="n">
        <f aca="false">IF(AH49&gt;0.005,AH49*(1+Ordem!$K$13),0)</f>
        <v>0</v>
      </c>
      <c r="AF50" s="43" t="n">
        <f aca="false">MIN(AE50,Ordem!$L$13)</f>
        <v>0</v>
      </c>
      <c r="AG50" s="43" t="n">
        <f aca="false">MAX(0,MIN(AE50-AF50,$B50-(E50+I50+M50+Q50+U50+Y50+AC50)))</f>
        <v>0</v>
      </c>
      <c r="AH50" s="43" t="n">
        <f aca="false">MAX(0,AE50-AF50-AG50)</f>
        <v>0</v>
      </c>
      <c r="AI50" s="43" t="n">
        <f aca="false">IF(AL49&gt;0.005,AL49*(1+Ordem!$K$14),0)</f>
        <v>0</v>
      </c>
      <c r="AJ50" s="43" t="n">
        <f aca="false">MIN(AI50,Ordem!$L$14)</f>
        <v>0</v>
      </c>
      <c r="AK50" s="43" t="n">
        <f aca="false">MAX(0,MIN(AI50-AJ50,$B50-(E50+I50+M50+Q50+U50+Y50+AC50+AG50)))</f>
        <v>0</v>
      </c>
      <c r="AL50" s="43" t="n">
        <f aca="false">MAX(0,AI50-AJ50-AK50)</f>
        <v>0</v>
      </c>
      <c r="AM50" s="43" t="n">
        <f aca="false">IF(AP49&gt;0.005,AP49*(1+Ordem!$K$15),0)</f>
        <v>0</v>
      </c>
      <c r="AN50" s="43" t="n">
        <f aca="false">MIN(AM50,Ordem!$L$15)</f>
        <v>0</v>
      </c>
      <c r="AO50" s="43" t="n">
        <f aca="false">MAX(0,MIN(AM50-AN50,$B50-(E50+I50+M50+Q50+U50+Y50+AC50+AG50+AK50)))</f>
        <v>0</v>
      </c>
      <c r="AP50" s="43" t="n">
        <f aca="false">MAX(0,AM50-AN50-AO50)</f>
        <v>0</v>
      </c>
      <c r="AQ50" s="43" t="n">
        <f aca="false">F50+J50+N50+R50+V50+Z50+AD50+AH50+AL50+AP50</f>
        <v>0</v>
      </c>
      <c r="AR50" s="43" t="n">
        <f aca="false">D50+E50+H50+I50+L50+M50+P50+Q50+T50+U50+X50+Y50+AB50+AC50+AF50+AG50+AJ50+AK50+AN50+AO50</f>
        <v>0</v>
      </c>
    </row>
    <row r="51" customFormat="false" ht="15" hidden="false" customHeight="false" outlineLevel="0" collapsed="false">
      <c r="A51" s="0" t="n">
        <v>47</v>
      </c>
      <c r="B51" s="43" t="n">
        <f aca="false">MAX(0,Dívidas!$C$20-(D51+H51+L51+P51+T51+X51+AB51+AF51+AJ51+AN51))</f>
        <v>1450</v>
      </c>
      <c r="C51" s="43" t="n">
        <f aca="false">IF(F50&gt;0.005,F50*(1+Ordem!$K$6),0)</f>
        <v>0</v>
      </c>
      <c r="D51" s="43" t="n">
        <f aca="false">MIN(C51,Ordem!$L$6)</f>
        <v>0</v>
      </c>
      <c r="E51" s="43" t="n">
        <f aca="false">MAX(0,MIN(C51-D51,$B51-(0)))</f>
        <v>0</v>
      </c>
      <c r="F51" s="43" t="n">
        <f aca="false">MAX(0,C51-D51-E51)</f>
        <v>0</v>
      </c>
      <c r="G51" s="43" t="n">
        <f aca="false">IF(J50&gt;0.005,J50*(1+Ordem!$K$7),0)</f>
        <v>0</v>
      </c>
      <c r="H51" s="43" t="n">
        <f aca="false">MIN(G51,Ordem!$L$7)</f>
        <v>0</v>
      </c>
      <c r="I51" s="43" t="n">
        <f aca="false">MAX(0,MIN(G51-H51,$B51-(E51)))</f>
        <v>0</v>
      </c>
      <c r="J51" s="43" t="n">
        <f aca="false">MAX(0,G51-H51-I51)</f>
        <v>0</v>
      </c>
      <c r="K51" s="43" t="n">
        <f aca="false">IF(N50&gt;0.005,N50*(1+Ordem!$K$8),0)</f>
        <v>0</v>
      </c>
      <c r="L51" s="43" t="n">
        <f aca="false">MIN(K51,Ordem!$L$8)</f>
        <v>0</v>
      </c>
      <c r="M51" s="43" t="n">
        <f aca="false">MAX(0,MIN(K51-L51,$B51-(E51+I51)))</f>
        <v>0</v>
      </c>
      <c r="N51" s="43" t="n">
        <f aca="false">MAX(0,K51-L51-M51)</f>
        <v>0</v>
      </c>
      <c r="O51" s="43" t="n">
        <f aca="false">IF(R50&gt;0.005,R50*(1+Ordem!$K$9),0)</f>
        <v>0</v>
      </c>
      <c r="P51" s="43" t="n">
        <f aca="false">MIN(O51,Ordem!$L$9)</f>
        <v>0</v>
      </c>
      <c r="Q51" s="43" t="n">
        <f aca="false">MAX(0,MIN(O51-P51,$B51-(E51+I51+M51)))</f>
        <v>0</v>
      </c>
      <c r="R51" s="43" t="n">
        <f aca="false">MAX(0,O51-P51-Q51)</f>
        <v>0</v>
      </c>
      <c r="S51" s="43" t="n">
        <f aca="false">IF(V50&gt;0.005,V50*(1+Ordem!$K$10),0)</f>
        <v>0</v>
      </c>
      <c r="T51" s="43" t="n">
        <f aca="false">MIN(S51,Ordem!$L$10)</f>
        <v>0</v>
      </c>
      <c r="U51" s="43" t="n">
        <f aca="false">MAX(0,MIN(S51-T51,$B51-(E51+I51+M51+Q51)))</f>
        <v>0</v>
      </c>
      <c r="V51" s="43" t="n">
        <f aca="false">MAX(0,S51-T51-U51)</f>
        <v>0</v>
      </c>
      <c r="W51" s="43" t="n">
        <f aca="false">IF(Z50&gt;0.005,Z50*(1+Ordem!$K$11),0)</f>
        <v>0</v>
      </c>
      <c r="X51" s="43" t="n">
        <f aca="false">MIN(W51,Ordem!$L$11)</f>
        <v>0</v>
      </c>
      <c r="Y51" s="43" t="n">
        <f aca="false">MAX(0,MIN(W51-X51,$B51-(E51+I51+M51+Q51+U51)))</f>
        <v>0</v>
      </c>
      <c r="Z51" s="43" t="n">
        <f aca="false">MAX(0,W51-X51-Y51)</f>
        <v>0</v>
      </c>
      <c r="AA51" s="43" t="n">
        <f aca="false">IF(AD50&gt;0.005,AD50*(1+Ordem!$K$12),0)</f>
        <v>0</v>
      </c>
      <c r="AB51" s="43" t="n">
        <f aca="false">MIN(AA51,Ordem!$L$12)</f>
        <v>0</v>
      </c>
      <c r="AC51" s="43" t="n">
        <f aca="false">MAX(0,MIN(AA51-AB51,$B51-(E51+I51+M51+Q51+U51+Y51)))</f>
        <v>0</v>
      </c>
      <c r="AD51" s="43" t="n">
        <f aca="false">MAX(0,AA51-AB51-AC51)</f>
        <v>0</v>
      </c>
      <c r="AE51" s="43" t="n">
        <f aca="false">IF(AH50&gt;0.005,AH50*(1+Ordem!$K$13),0)</f>
        <v>0</v>
      </c>
      <c r="AF51" s="43" t="n">
        <f aca="false">MIN(AE51,Ordem!$L$13)</f>
        <v>0</v>
      </c>
      <c r="AG51" s="43" t="n">
        <f aca="false">MAX(0,MIN(AE51-AF51,$B51-(E51+I51+M51+Q51+U51+Y51+AC51)))</f>
        <v>0</v>
      </c>
      <c r="AH51" s="43" t="n">
        <f aca="false">MAX(0,AE51-AF51-AG51)</f>
        <v>0</v>
      </c>
      <c r="AI51" s="43" t="n">
        <f aca="false">IF(AL50&gt;0.005,AL50*(1+Ordem!$K$14),0)</f>
        <v>0</v>
      </c>
      <c r="AJ51" s="43" t="n">
        <f aca="false">MIN(AI51,Ordem!$L$14)</f>
        <v>0</v>
      </c>
      <c r="AK51" s="43" t="n">
        <f aca="false">MAX(0,MIN(AI51-AJ51,$B51-(E51+I51+M51+Q51+U51+Y51+AC51+AG51)))</f>
        <v>0</v>
      </c>
      <c r="AL51" s="43" t="n">
        <f aca="false">MAX(0,AI51-AJ51-AK51)</f>
        <v>0</v>
      </c>
      <c r="AM51" s="43" t="n">
        <f aca="false">IF(AP50&gt;0.005,AP50*(1+Ordem!$K$15),0)</f>
        <v>0</v>
      </c>
      <c r="AN51" s="43" t="n">
        <f aca="false">MIN(AM51,Ordem!$L$15)</f>
        <v>0</v>
      </c>
      <c r="AO51" s="43" t="n">
        <f aca="false">MAX(0,MIN(AM51-AN51,$B51-(E51+I51+M51+Q51+U51+Y51+AC51+AG51+AK51)))</f>
        <v>0</v>
      </c>
      <c r="AP51" s="43" t="n">
        <f aca="false">MAX(0,AM51-AN51-AO51)</f>
        <v>0</v>
      </c>
      <c r="AQ51" s="43" t="n">
        <f aca="false">F51+J51+N51+R51+V51+Z51+AD51+AH51+AL51+AP51</f>
        <v>0</v>
      </c>
      <c r="AR51" s="43" t="n">
        <f aca="false">D51+E51+H51+I51+L51+M51+P51+Q51+T51+U51+X51+Y51+AB51+AC51+AF51+AG51+AJ51+AK51+AN51+AO51</f>
        <v>0</v>
      </c>
    </row>
    <row r="52" customFormat="false" ht="15" hidden="false" customHeight="false" outlineLevel="0" collapsed="false">
      <c r="A52" s="0" t="n">
        <v>48</v>
      </c>
      <c r="B52" s="43" t="n">
        <f aca="false">MAX(0,Dívidas!$C$20-(D52+H52+L52+P52+T52+X52+AB52+AF52+AJ52+AN52))</f>
        <v>1450</v>
      </c>
      <c r="C52" s="43" t="n">
        <f aca="false">IF(F51&gt;0.005,F51*(1+Ordem!$K$6),0)</f>
        <v>0</v>
      </c>
      <c r="D52" s="43" t="n">
        <f aca="false">MIN(C52,Ordem!$L$6)</f>
        <v>0</v>
      </c>
      <c r="E52" s="43" t="n">
        <f aca="false">MAX(0,MIN(C52-D52,$B52-(0)))</f>
        <v>0</v>
      </c>
      <c r="F52" s="43" t="n">
        <f aca="false">MAX(0,C52-D52-E52)</f>
        <v>0</v>
      </c>
      <c r="G52" s="43" t="n">
        <f aca="false">IF(J51&gt;0.005,J51*(1+Ordem!$K$7),0)</f>
        <v>0</v>
      </c>
      <c r="H52" s="43" t="n">
        <f aca="false">MIN(G52,Ordem!$L$7)</f>
        <v>0</v>
      </c>
      <c r="I52" s="43" t="n">
        <f aca="false">MAX(0,MIN(G52-H52,$B52-(E52)))</f>
        <v>0</v>
      </c>
      <c r="J52" s="43" t="n">
        <f aca="false">MAX(0,G52-H52-I52)</f>
        <v>0</v>
      </c>
      <c r="K52" s="43" t="n">
        <f aca="false">IF(N51&gt;0.005,N51*(1+Ordem!$K$8),0)</f>
        <v>0</v>
      </c>
      <c r="L52" s="43" t="n">
        <f aca="false">MIN(K52,Ordem!$L$8)</f>
        <v>0</v>
      </c>
      <c r="M52" s="43" t="n">
        <f aca="false">MAX(0,MIN(K52-L52,$B52-(E52+I52)))</f>
        <v>0</v>
      </c>
      <c r="N52" s="43" t="n">
        <f aca="false">MAX(0,K52-L52-M52)</f>
        <v>0</v>
      </c>
      <c r="O52" s="43" t="n">
        <f aca="false">IF(R51&gt;0.005,R51*(1+Ordem!$K$9),0)</f>
        <v>0</v>
      </c>
      <c r="P52" s="43" t="n">
        <f aca="false">MIN(O52,Ordem!$L$9)</f>
        <v>0</v>
      </c>
      <c r="Q52" s="43" t="n">
        <f aca="false">MAX(0,MIN(O52-P52,$B52-(E52+I52+M52)))</f>
        <v>0</v>
      </c>
      <c r="R52" s="43" t="n">
        <f aca="false">MAX(0,O52-P52-Q52)</f>
        <v>0</v>
      </c>
      <c r="S52" s="43" t="n">
        <f aca="false">IF(V51&gt;0.005,V51*(1+Ordem!$K$10),0)</f>
        <v>0</v>
      </c>
      <c r="T52" s="43" t="n">
        <f aca="false">MIN(S52,Ordem!$L$10)</f>
        <v>0</v>
      </c>
      <c r="U52" s="43" t="n">
        <f aca="false">MAX(0,MIN(S52-T52,$B52-(E52+I52+M52+Q52)))</f>
        <v>0</v>
      </c>
      <c r="V52" s="43" t="n">
        <f aca="false">MAX(0,S52-T52-U52)</f>
        <v>0</v>
      </c>
      <c r="W52" s="43" t="n">
        <f aca="false">IF(Z51&gt;0.005,Z51*(1+Ordem!$K$11),0)</f>
        <v>0</v>
      </c>
      <c r="X52" s="43" t="n">
        <f aca="false">MIN(W52,Ordem!$L$11)</f>
        <v>0</v>
      </c>
      <c r="Y52" s="43" t="n">
        <f aca="false">MAX(0,MIN(W52-X52,$B52-(E52+I52+M52+Q52+U52)))</f>
        <v>0</v>
      </c>
      <c r="Z52" s="43" t="n">
        <f aca="false">MAX(0,W52-X52-Y52)</f>
        <v>0</v>
      </c>
      <c r="AA52" s="43" t="n">
        <f aca="false">IF(AD51&gt;0.005,AD51*(1+Ordem!$K$12),0)</f>
        <v>0</v>
      </c>
      <c r="AB52" s="43" t="n">
        <f aca="false">MIN(AA52,Ordem!$L$12)</f>
        <v>0</v>
      </c>
      <c r="AC52" s="43" t="n">
        <f aca="false">MAX(0,MIN(AA52-AB52,$B52-(E52+I52+M52+Q52+U52+Y52)))</f>
        <v>0</v>
      </c>
      <c r="AD52" s="43" t="n">
        <f aca="false">MAX(0,AA52-AB52-AC52)</f>
        <v>0</v>
      </c>
      <c r="AE52" s="43" t="n">
        <f aca="false">IF(AH51&gt;0.005,AH51*(1+Ordem!$K$13),0)</f>
        <v>0</v>
      </c>
      <c r="AF52" s="43" t="n">
        <f aca="false">MIN(AE52,Ordem!$L$13)</f>
        <v>0</v>
      </c>
      <c r="AG52" s="43" t="n">
        <f aca="false">MAX(0,MIN(AE52-AF52,$B52-(E52+I52+M52+Q52+U52+Y52+AC52)))</f>
        <v>0</v>
      </c>
      <c r="AH52" s="43" t="n">
        <f aca="false">MAX(0,AE52-AF52-AG52)</f>
        <v>0</v>
      </c>
      <c r="AI52" s="43" t="n">
        <f aca="false">IF(AL51&gt;0.005,AL51*(1+Ordem!$K$14),0)</f>
        <v>0</v>
      </c>
      <c r="AJ52" s="43" t="n">
        <f aca="false">MIN(AI52,Ordem!$L$14)</f>
        <v>0</v>
      </c>
      <c r="AK52" s="43" t="n">
        <f aca="false">MAX(0,MIN(AI52-AJ52,$B52-(E52+I52+M52+Q52+U52+Y52+AC52+AG52)))</f>
        <v>0</v>
      </c>
      <c r="AL52" s="43" t="n">
        <f aca="false">MAX(0,AI52-AJ52-AK52)</f>
        <v>0</v>
      </c>
      <c r="AM52" s="43" t="n">
        <f aca="false">IF(AP51&gt;0.005,AP51*(1+Ordem!$K$15),0)</f>
        <v>0</v>
      </c>
      <c r="AN52" s="43" t="n">
        <f aca="false">MIN(AM52,Ordem!$L$15)</f>
        <v>0</v>
      </c>
      <c r="AO52" s="43" t="n">
        <f aca="false">MAX(0,MIN(AM52-AN52,$B52-(E52+I52+M52+Q52+U52+Y52+AC52+AG52+AK52)))</f>
        <v>0</v>
      </c>
      <c r="AP52" s="43" t="n">
        <f aca="false">MAX(0,AM52-AN52-AO52)</f>
        <v>0</v>
      </c>
      <c r="AQ52" s="43" t="n">
        <f aca="false">F52+J52+N52+R52+V52+Z52+AD52+AH52+AL52+AP52</f>
        <v>0</v>
      </c>
      <c r="AR52" s="43" t="n">
        <f aca="false">D52+E52+H52+I52+L52+M52+P52+Q52+T52+U52+X52+Y52+AB52+AC52+AF52+AG52+AJ52+AK52+AN52+AO52</f>
        <v>0</v>
      </c>
    </row>
    <row r="53" customFormat="false" ht="15" hidden="false" customHeight="false" outlineLevel="0" collapsed="false">
      <c r="A53" s="0" t="n">
        <v>49</v>
      </c>
      <c r="B53" s="43" t="n">
        <f aca="false">MAX(0,Dívidas!$C$20-(D53+H53+L53+P53+T53+X53+AB53+AF53+AJ53+AN53))</f>
        <v>1450</v>
      </c>
      <c r="C53" s="43" t="n">
        <f aca="false">IF(F52&gt;0.005,F52*(1+Ordem!$K$6),0)</f>
        <v>0</v>
      </c>
      <c r="D53" s="43" t="n">
        <f aca="false">MIN(C53,Ordem!$L$6)</f>
        <v>0</v>
      </c>
      <c r="E53" s="43" t="n">
        <f aca="false">MAX(0,MIN(C53-D53,$B53-(0)))</f>
        <v>0</v>
      </c>
      <c r="F53" s="43" t="n">
        <f aca="false">MAX(0,C53-D53-E53)</f>
        <v>0</v>
      </c>
      <c r="G53" s="43" t="n">
        <f aca="false">IF(J52&gt;0.005,J52*(1+Ordem!$K$7),0)</f>
        <v>0</v>
      </c>
      <c r="H53" s="43" t="n">
        <f aca="false">MIN(G53,Ordem!$L$7)</f>
        <v>0</v>
      </c>
      <c r="I53" s="43" t="n">
        <f aca="false">MAX(0,MIN(G53-H53,$B53-(E53)))</f>
        <v>0</v>
      </c>
      <c r="J53" s="43" t="n">
        <f aca="false">MAX(0,G53-H53-I53)</f>
        <v>0</v>
      </c>
      <c r="K53" s="43" t="n">
        <f aca="false">IF(N52&gt;0.005,N52*(1+Ordem!$K$8),0)</f>
        <v>0</v>
      </c>
      <c r="L53" s="43" t="n">
        <f aca="false">MIN(K53,Ordem!$L$8)</f>
        <v>0</v>
      </c>
      <c r="M53" s="43" t="n">
        <f aca="false">MAX(0,MIN(K53-L53,$B53-(E53+I53)))</f>
        <v>0</v>
      </c>
      <c r="N53" s="43" t="n">
        <f aca="false">MAX(0,K53-L53-M53)</f>
        <v>0</v>
      </c>
      <c r="O53" s="43" t="n">
        <f aca="false">IF(R52&gt;0.005,R52*(1+Ordem!$K$9),0)</f>
        <v>0</v>
      </c>
      <c r="P53" s="43" t="n">
        <f aca="false">MIN(O53,Ordem!$L$9)</f>
        <v>0</v>
      </c>
      <c r="Q53" s="43" t="n">
        <f aca="false">MAX(0,MIN(O53-P53,$B53-(E53+I53+M53)))</f>
        <v>0</v>
      </c>
      <c r="R53" s="43" t="n">
        <f aca="false">MAX(0,O53-P53-Q53)</f>
        <v>0</v>
      </c>
      <c r="S53" s="43" t="n">
        <f aca="false">IF(V52&gt;0.005,V52*(1+Ordem!$K$10),0)</f>
        <v>0</v>
      </c>
      <c r="T53" s="43" t="n">
        <f aca="false">MIN(S53,Ordem!$L$10)</f>
        <v>0</v>
      </c>
      <c r="U53" s="43" t="n">
        <f aca="false">MAX(0,MIN(S53-T53,$B53-(E53+I53+M53+Q53)))</f>
        <v>0</v>
      </c>
      <c r="V53" s="43" t="n">
        <f aca="false">MAX(0,S53-T53-U53)</f>
        <v>0</v>
      </c>
      <c r="W53" s="43" t="n">
        <f aca="false">IF(Z52&gt;0.005,Z52*(1+Ordem!$K$11),0)</f>
        <v>0</v>
      </c>
      <c r="X53" s="43" t="n">
        <f aca="false">MIN(W53,Ordem!$L$11)</f>
        <v>0</v>
      </c>
      <c r="Y53" s="43" t="n">
        <f aca="false">MAX(0,MIN(W53-X53,$B53-(E53+I53+M53+Q53+U53)))</f>
        <v>0</v>
      </c>
      <c r="Z53" s="43" t="n">
        <f aca="false">MAX(0,W53-X53-Y53)</f>
        <v>0</v>
      </c>
      <c r="AA53" s="43" t="n">
        <f aca="false">IF(AD52&gt;0.005,AD52*(1+Ordem!$K$12),0)</f>
        <v>0</v>
      </c>
      <c r="AB53" s="43" t="n">
        <f aca="false">MIN(AA53,Ordem!$L$12)</f>
        <v>0</v>
      </c>
      <c r="AC53" s="43" t="n">
        <f aca="false">MAX(0,MIN(AA53-AB53,$B53-(E53+I53+M53+Q53+U53+Y53)))</f>
        <v>0</v>
      </c>
      <c r="AD53" s="43" t="n">
        <f aca="false">MAX(0,AA53-AB53-AC53)</f>
        <v>0</v>
      </c>
      <c r="AE53" s="43" t="n">
        <f aca="false">IF(AH52&gt;0.005,AH52*(1+Ordem!$K$13),0)</f>
        <v>0</v>
      </c>
      <c r="AF53" s="43" t="n">
        <f aca="false">MIN(AE53,Ordem!$L$13)</f>
        <v>0</v>
      </c>
      <c r="AG53" s="43" t="n">
        <f aca="false">MAX(0,MIN(AE53-AF53,$B53-(E53+I53+M53+Q53+U53+Y53+AC53)))</f>
        <v>0</v>
      </c>
      <c r="AH53" s="43" t="n">
        <f aca="false">MAX(0,AE53-AF53-AG53)</f>
        <v>0</v>
      </c>
      <c r="AI53" s="43" t="n">
        <f aca="false">IF(AL52&gt;0.005,AL52*(1+Ordem!$K$14),0)</f>
        <v>0</v>
      </c>
      <c r="AJ53" s="43" t="n">
        <f aca="false">MIN(AI53,Ordem!$L$14)</f>
        <v>0</v>
      </c>
      <c r="AK53" s="43" t="n">
        <f aca="false">MAX(0,MIN(AI53-AJ53,$B53-(E53+I53+M53+Q53+U53+Y53+AC53+AG53)))</f>
        <v>0</v>
      </c>
      <c r="AL53" s="43" t="n">
        <f aca="false">MAX(0,AI53-AJ53-AK53)</f>
        <v>0</v>
      </c>
      <c r="AM53" s="43" t="n">
        <f aca="false">IF(AP52&gt;0.005,AP52*(1+Ordem!$K$15),0)</f>
        <v>0</v>
      </c>
      <c r="AN53" s="43" t="n">
        <f aca="false">MIN(AM53,Ordem!$L$15)</f>
        <v>0</v>
      </c>
      <c r="AO53" s="43" t="n">
        <f aca="false">MAX(0,MIN(AM53-AN53,$B53-(E53+I53+M53+Q53+U53+Y53+AC53+AG53+AK53)))</f>
        <v>0</v>
      </c>
      <c r="AP53" s="43" t="n">
        <f aca="false">MAX(0,AM53-AN53-AO53)</f>
        <v>0</v>
      </c>
      <c r="AQ53" s="43" t="n">
        <f aca="false">F53+J53+N53+R53+V53+Z53+AD53+AH53+AL53+AP53</f>
        <v>0</v>
      </c>
      <c r="AR53" s="43" t="n">
        <f aca="false">D53+E53+H53+I53+L53+M53+P53+Q53+T53+U53+X53+Y53+AB53+AC53+AF53+AG53+AJ53+AK53+AN53+AO53</f>
        <v>0</v>
      </c>
    </row>
    <row r="54" customFormat="false" ht="15" hidden="false" customHeight="false" outlineLevel="0" collapsed="false">
      <c r="A54" s="0" t="n">
        <v>50</v>
      </c>
      <c r="B54" s="43" t="n">
        <f aca="false">MAX(0,Dívidas!$C$20-(D54+H54+L54+P54+T54+X54+AB54+AF54+AJ54+AN54))</f>
        <v>1450</v>
      </c>
      <c r="C54" s="43" t="n">
        <f aca="false">IF(F53&gt;0.005,F53*(1+Ordem!$K$6),0)</f>
        <v>0</v>
      </c>
      <c r="D54" s="43" t="n">
        <f aca="false">MIN(C54,Ordem!$L$6)</f>
        <v>0</v>
      </c>
      <c r="E54" s="43" t="n">
        <f aca="false">MAX(0,MIN(C54-D54,$B54-(0)))</f>
        <v>0</v>
      </c>
      <c r="F54" s="43" t="n">
        <f aca="false">MAX(0,C54-D54-E54)</f>
        <v>0</v>
      </c>
      <c r="G54" s="43" t="n">
        <f aca="false">IF(J53&gt;0.005,J53*(1+Ordem!$K$7),0)</f>
        <v>0</v>
      </c>
      <c r="H54" s="43" t="n">
        <f aca="false">MIN(G54,Ordem!$L$7)</f>
        <v>0</v>
      </c>
      <c r="I54" s="43" t="n">
        <f aca="false">MAX(0,MIN(G54-H54,$B54-(E54)))</f>
        <v>0</v>
      </c>
      <c r="J54" s="43" t="n">
        <f aca="false">MAX(0,G54-H54-I54)</f>
        <v>0</v>
      </c>
      <c r="K54" s="43" t="n">
        <f aca="false">IF(N53&gt;0.005,N53*(1+Ordem!$K$8),0)</f>
        <v>0</v>
      </c>
      <c r="L54" s="43" t="n">
        <f aca="false">MIN(K54,Ordem!$L$8)</f>
        <v>0</v>
      </c>
      <c r="M54" s="43" t="n">
        <f aca="false">MAX(0,MIN(K54-L54,$B54-(E54+I54)))</f>
        <v>0</v>
      </c>
      <c r="N54" s="43" t="n">
        <f aca="false">MAX(0,K54-L54-M54)</f>
        <v>0</v>
      </c>
      <c r="O54" s="43" t="n">
        <f aca="false">IF(R53&gt;0.005,R53*(1+Ordem!$K$9),0)</f>
        <v>0</v>
      </c>
      <c r="P54" s="43" t="n">
        <f aca="false">MIN(O54,Ordem!$L$9)</f>
        <v>0</v>
      </c>
      <c r="Q54" s="43" t="n">
        <f aca="false">MAX(0,MIN(O54-P54,$B54-(E54+I54+M54)))</f>
        <v>0</v>
      </c>
      <c r="R54" s="43" t="n">
        <f aca="false">MAX(0,O54-P54-Q54)</f>
        <v>0</v>
      </c>
      <c r="S54" s="43" t="n">
        <f aca="false">IF(V53&gt;0.005,V53*(1+Ordem!$K$10),0)</f>
        <v>0</v>
      </c>
      <c r="T54" s="43" t="n">
        <f aca="false">MIN(S54,Ordem!$L$10)</f>
        <v>0</v>
      </c>
      <c r="U54" s="43" t="n">
        <f aca="false">MAX(0,MIN(S54-T54,$B54-(E54+I54+M54+Q54)))</f>
        <v>0</v>
      </c>
      <c r="V54" s="43" t="n">
        <f aca="false">MAX(0,S54-T54-U54)</f>
        <v>0</v>
      </c>
      <c r="W54" s="43" t="n">
        <f aca="false">IF(Z53&gt;0.005,Z53*(1+Ordem!$K$11),0)</f>
        <v>0</v>
      </c>
      <c r="X54" s="43" t="n">
        <f aca="false">MIN(W54,Ordem!$L$11)</f>
        <v>0</v>
      </c>
      <c r="Y54" s="43" t="n">
        <f aca="false">MAX(0,MIN(W54-X54,$B54-(E54+I54+M54+Q54+U54)))</f>
        <v>0</v>
      </c>
      <c r="Z54" s="43" t="n">
        <f aca="false">MAX(0,W54-X54-Y54)</f>
        <v>0</v>
      </c>
      <c r="AA54" s="43" t="n">
        <f aca="false">IF(AD53&gt;0.005,AD53*(1+Ordem!$K$12),0)</f>
        <v>0</v>
      </c>
      <c r="AB54" s="43" t="n">
        <f aca="false">MIN(AA54,Ordem!$L$12)</f>
        <v>0</v>
      </c>
      <c r="AC54" s="43" t="n">
        <f aca="false">MAX(0,MIN(AA54-AB54,$B54-(E54+I54+M54+Q54+U54+Y54)))</f>
        <v>0</v>
      </c>
      <c r="AD54" s="43" t="n">
        <f aca="false">MAX(0,AA54-AB54-AC54)</f>
        <v>0</v>
      </c>
      <c r="AE54" s="43" t="n">
        <f aca="false">IF(AH53&gt;0.005,AH53*(1+Ordem!$K$13),0)</f>
        <v>0</v>
      </c>
      <c r="AF54" s="43" t="n">
        <f aca="false">MIN(AE54,Ordem!$L$13)</f>
        <v>0</v>
      </c>
      <c r="AG54" s="43" t="n">
        <f aca="false">MAX(0,MIN(AE54-AF54,$B54-(E54+I54+M54+Q54+U54+Y54+AC54)))</f>
        <v>0</v>
      </c>
      <c r="AH54" s="43" t="n">
        <f aca="false">MAX(0,AE54-AF54-AG54)</f>
        <v>0</v>
      </c>
      <c r="AI54" s="43" t="n">
        <f aca="false">IF(AL53&gt;0.005,AL53*(1+Ordem!$K$14),0)</f>
        <v>0</v>
      </c>
      <c r="AJ54" s="43" t="n">
        <f aca="false">MIN(AI54,Ordem!$L$14)</f>
        <v>0</v>
      </c>
      <c r="AK54" s="43" t="n">
        <f aca="false">MAX(0,MIN(AI54-AJ54,$B54-(E54+I54+M54+Q54+U54+Y54+AC54+AG54)))</f>
        <v>0</v>
      </c>
      <c r="AL54" s="43" t="n">
        <f aca="false">MAX(0,AI54-AJ54-AK54)</f>
        <v>0</v>
      </c>
      <c r="AM54" s="43" t="n">
        <f aca="false">IF(AP53&gt;0.005,AP53*(1+Ordem!$K$15),0)</f>
        <v>0</v>
      </c>
      <c r="AN54" s="43" t="n">
        <f aca="false">MIN(AM54,Ordem!$L$15)</f>
        <v>0</v>
      </c>
      <c r="AO54" s="43" t="n">
        <f aca="false">MAX(0,MIN(AM54-AN54,$B54-(E54+I54+M54+Q54+U54+Y54+AC54+AG54+AK54)))</f>
        <v>0</v>
      </c>
      <c r="AP54" s="43" t="n">
        <f aca="false">MAX(0,AM54-AN54-AO54)</f>
        <v>0</v>
      </c>
      <c r="AQ54" s="43" t="n">
        <f aca="false">F54+J54+N54+R54+V54+Z54+AD54+AH54+AL54+AP54</f>
        <v>0</v>
      </c>
      <c r="AR54" s="43" t="n">
        <f aca="false">D54+E54+H54+I54+L54+M54+P54+Q54+T54+U54+X54+Y54+AB54+AC54+AF54+AG54+AJ54+AK54+AN54+AO54</f>
        <v>0</v>
      </c>
    </row>
    <row r="55" customFormat="false" ht="15" hidden="false" customHeight="false" outlineLevel="0" collapsed="false">
      <c r="A55" s="0" t="n">
        <v>51</v>
      </c>
      <c r="B55" s="43" t="n">
        <f aca="false">MAX(0,Dívidas!$C$20-(D55+H55+L55+P55+T55+X55+AB55+AF55+AJ55+AN55))</f>
        <v>1450</v>
      </c>
      <c r="C55" s="43" t="n">
        <f aca="false">IF(F54&gt;0.005,F54*(1+Ordem!$K$6),0)</f>
        <v>0</v>
      </c>
      <c r="D55" s="43" t="n">
        <f aca="false">MIN(C55,Ordem!$L$6)</f>
        <v>0</v>
      </c>
      <c r="E55" s="43" t="n">
        <f aca="false">MAX(0,MIN(C55-D55,$B55-(0)))</f>
        <v>0</v>
      </c>
      <c r="F55" s="43" t="n">
        <f aca="false">MAX(0,C55-D55-E55)</f>
        <v>0</v>
      </c>
      <c r="G55" s="43" t="n">
        <f aca="false">IF(J54&gt;0.005,J54*(1+Ordem!$K$7),0)</f>
        <v>0</v>
      </c>
      <c r="H55" s="43" t="n">
        <f aca="false">MIN(G55,Ordem!$L$7)</f>
        <v>0</v>
      </c>
      <c r="I55" s="43" t="n">
        <f aca="false">MAX(0,MIN(G55-H55,$B55-(E55)))</f>
        <v>0</v>
      </c>
      <c r="J55" s="43" t="n">
        <f aca="false">MAX(0,G55-H55-I55)</f>
        <v>0</v>
      </c>
      <c r="K55" s="43" t="n">
        <f aca="false">IF(N54&gt;0.005,N54*(1+Ordem!$K$8),0)</f>
        <v>0</v>
      </c>
      <c r="L55" s="43" t="n">
        <f aca="false">MIN(K55,Ordem!$L$8)</f>
        <v>0</v>
      </c>
      <c r="M55" s="43" t="n">
        <f aca="false">MAX(0,MIN(K55-L55,$B55-(E55+I55)))</f>
        <v>0</v>
      </c>
      <c r="N55" s="43" t="n">
        <f aca="false">MAX(0,K55-L55-M55)</f>
        <v>0</v>
      </c>
      <c r="O55" s="43" t="n">
        <f aca="false">IF(R54&gt;0.005,R54*(1+Ordem!$K$9),0)</f>
        <v>0</v>
      </c>
      <c r="P55" s="43" t="n">
        <f aca="false">MIN(O55,Ordem!$L$9)</f>
        <v>0</v>
      </c>
      <c r="Q55" s="43" t="n">
        <f aca="false">MAX(0,MIN(O55-P55,$B55-(E55+I55+M55)))</f>
        <v>0</v>
      </c>
      <c r="R55" s="43" t="n">
        <f aca="false">MAX(0,O55-P55-Q55)</f>
        <v>0</v>
      </c>
      <c r="S55" s="43" t="n">
        <f aca="false">IF(V54&gt;0.005,V54*(1+Ordem!$K$10),0)</f>
        <v>0</v>
      </c>
      <c r="T55" s="43" t="n">
        <f aca="false">MIN(S55,Ordem!$L$10)</f>
        <v>0</v>
      </c>
      <c r="U55" s="43" t="n">
        <f aca="false">MAX(0,MIN(S55-T55,$B55-(E55+I55+M55+Q55)))</f>
        <v>0</v>
      </c>
      <c r="V55" s="43" t="n">
        <f aca="false">MAX(0,S55-T55-U55)</f>
        <v>0</v>
      </c>
      <c r="W55" s="43" t="n">
        <f aca="false">IF(Z54&gt;0.005,Z54*(1+Ordem!$K$11),0)</f>
        <v>0</v>
      </c>
      <c r="X55" s="43" t="n">
        <f aca="false">MIN(W55,Ordem!$L$11)</f>
        <v>0</v>
      </c>
      <c r="Y55" s="43" t="n">
        <f aca="false">MAX(0,MIN(W55-X55,$B55-(E55+I55+M55+Q55+U55)))</f>
        <v>0</v>
      </c>
      <c r="Z55" s="43" t="n">
        <f aca="false">MAX(0,W55-X55-Y55)</f>
        <v>0</v>
      </c>
      <c r="AA55" s="43" t="n">
        <f aca="false">IF(AD54&gt;0.005,AD54*(1+Ordem!$K$12),0)</f>
        <v>0</v>
      </c>
      <c r="AB55" s="43" t="n">
        <f aca="false">MIN(AA55,Ordem!$L$12)</f>
        <v>0</v>
      </c>
      <c r="AC55" s="43" t="n">
        <f aca="false">MAX(0,MIN(AA55-AB55,$B55-(E55+I55+M55+Q55+U55+Y55)))</f>
        <v>0</v>
      </c>
      <c r="AD55" s="43" t="n">
        <f aca="false">MAX(0,AA55-AB55-AC55)</f>
        <v>0</v>
      </c>
      <c r="AE55" s="43" t="n">
        <f aca="false">IF(AH54&gt;0.005,AH54*(1+Ordem!$K$13),0)</f>
        <v>0</v>
      </c>
      <c r="AF55" s="43" t="n">
        <f aca="false">MIN(AE55,Ordem!$L$13)</f>
        <v>0</v>
      </c>
      <c r="AG55" s="43" t="n">
        <f aca="false">MAX(0,MIN(AE55-AF55,$B55-(E55+I55+M55+Q55+U55+Y55+AC55)))</f>
        <v>0</v>
      </c>
      <c r="AH55" s="43" t="n">
        <f aca="false">MAX(0,AE55-AF55-AG55)</f>
        <v>0</v>
      </c>
      <c r="AI55" s="43" t="n">
        <f aca="false">IF(AL54&gt;0.005,AL54*(1+Ordem!$K$14),0)</f>
        <v>0</v>
      </c>
      <c r="AJ55" s="43" t="n">
        <f aca="false">MIN(AI55,Ordem!$L$14)</f>
        <v>0</v>
      </c>
      <c r="AK55" s="43" t="n">
        <f aca="false">MAX(0,MIN(AI55-AJ55,$B55-(E55+I55+M55+Q55+U55+Y55+AC55+AG55)))</f>
        <v>0</v>
      </c>
      <c r="AL55" s="43" t="n">
        <f aca="false">MAX(0,AI55-AJ55-AK55)</f>
        <v>0</v>
      </c>
      <c r="AM55" s="43" t="n">
        <f aca="false">IF(AP54&gt;0.005,AP54*(1+Ordem!$K$15),0)</f>
        <v>0</v>
      </c>
      <c r="AN55" s="43" t="n">
        <f aca="false">MIN(AM55,Ordem!$L$15)</f>
        <v>0</v>
      </c>
      <c r="AO55" s="43" t="n">
        <f aca="false">MAX(0,MIN(AM55-AN55,$B55-(E55+I55+M55+Q55+U55+Y55+AC55+AG55+AK55)))</f>
        <v>0</v>
      </c>
      <c r="AP55" s="43" t="n">
        <f aca="false">MAX(0,AM55-AN55-AO55)</f>
        <v>0</v>
      </c>
      <c r="AQ55" s="43" t="n">
        <f aca="false">F55+J55+N55+R55+V55+Z55+AD55+AH55+AL55+AP55</f>
        <v>0</v>
      </c>
      <c r="AR55" s="43" t="n">
        <f aca="false">D55+E55+H55+I55+L55+M55+P55+Q55+T55+U55+X55+Y55+AB55+AC55+AF55+AG55+AJ55+AK55+AN55+AO55</f>
        <v>0</v>
      </c>
    </row>
    <row r="56" customFormat="false" ht="15" hidden="false" customHeight="false" outlineLevel="0" collapsed="false">
      <c r="A56" s="0" t="n">
        <v>52</v>
      </c>
      <c r="B56" s="43" t="n">
        <f aca="false">MAX(0,Dívidas!$C$20-(D56+H56+L56+P56+T56+X56+AB56+AF56+AJ56+AN56))</f>
        <v>1450</v>
      </c>
      <c r="C56" s="43" t="n">
        <f aca="false">IF(F55&gt;0.005,F55*(1+Ordem!$K$6),0)</f>
        <v>0</v>
      </c>
      <c r="D56" s="43" t="n">
        <f aca="false">MIN(C56,Ordem!$L$6)</f>
        <v>0</v>
      </c>
      <c r="E56" s="43" t="n">
        <f aca="false">MAX(0,MIN(C56-D56,$B56-(0)))</f>
        <v>0</v>
      </c>
      <c r="F56" s="43" t="n">
        <f aca="false">MAX(0,C56-D56-E56)</f>
        <v>0</v>
      </c>
      <c r="G56" s="43" t="n">
        <f aca="false">IF(J55&gt;0.005,J55*(1+Ordem!$K$7),0)</f>
        <v>0</v>
      </c>
      <c r="H56" s="43" t="n">
        <f aca="false">MIN(G56,Ordem!$L$7)</f>
        <v>0</v>
      </c>
      <c r="I56" s="43" t="n">
        <f aca="false">MAX(0,MIN(G56-H56,$B56-(E56)))</f>
        <v>0</v>
      </c>
      <c r="J56" s="43" t="n">
        <f aca="false">MAX(0,G56-H56-I56)</f>
        <v>0</v>
      </c>
      <c r="K56" s="43" t="n">
        <f aca="false">IF(N55&gt;0.005,N55*(1+Ordem!$K$8),0)</f>
        <v>0</v>
      </c>
      <c r="L56" s="43" t="n">
        <f aca="false">MIN(K56,Ordem!$L$8)</f>
        <v>0</v>
      </c>
      <c r="M56" s="43" t="n">
        <f aca="false">MAX(0,MIN(K56-L56,$B56-(E56+I56)))</f>
        <v>0</v>
      </c>
      <c r="N56" s="43" t="n">
        <f aca="false">MAX(0,K56-L56-M56)</f>
        <v>0</v>
      </c>
      <c r="O56" s="43" t="n">
        <f aca="false">IF(R55&gt;0.005,R55*(1+Ordem!$K$9),0)</f>
        <v>0</v>
      </c>
      <c r="P56" s="43" t="n">
        <f aca="false">MIN(O56,Ordem!$L$9)</f>
        <v>0</v>
      </c>
      <c r="Q56" s="43" t="n">
        <f aca="false">MAX(0,MIN(O56-P56,$B56-(E56+I56+M56)))</f>
        <v>0</v>
      </c>
      <c r="R56" s="43" t="n">
        <f aca="false">MAX(0,O56-P56-Q56)</f>
        <v>0</v>
      </c>
      <c r="S56" s="43" t="n">
        <f aca="false">IF(V55&gt;0.005,V55*(1+Ordem!$K$10),0)</f>
        <v>0</v>
      </c>
      <c r="T56" s="43" t="n">
        <f aca="false">MIN(S56,Ordem!$L$10)</f>
        <v>0</v>
      </c>
      <c r="U56" s="43" t="n">
        <f aca="false">MAX(0,MIN(S56-T56,$B56-(E56+I56+M56+Q56)))</f>
        <v>0</v>
      </c>
      <c r="V56" s="43" t="n">
        <f aca="false">MAX(0,S56-T56-U56)</f>
        <v>0</v>
      </c>
      <c r="W56" s="43" t="n">
        <f aca="false">IF(Z55&gt;0.005,Z55*(1+Ordem!$K$11),0)</f>
        <v>0</v>
      </c>
      <c r="X56" s="43" t="n">
        <f aca="false">MIN(W56,Ordem!$L$11)</f>
        <v>0</v>
      </c>
      <c r="Y56" s="43" t="n">
        <f aca="false">MAX(0,MIN(W56-X56,$B56-(E56+I56+M56+Q56+U56)))</f>
        <v>0</v>
      </c>
      <c r="Z56" s="43" t="n">
        <f aca="false">MAX(0,W56-X56-Y56)</f>
        <v>0</v>
      </c>
      <c r="AA56" s="43" t="n">
        <f aca="false">IF(AD55&gt;0.005,AD55*(1+Ordem!$K$12),0)</f>
        <v>0</v>
      </c>
      <c r="AB56" s="43" t="n">
        <f aca="false">MIN(AA56,Ordem!$L$12)</f>
        <v>0</v>
      </c>
      <c r="AC56" s="43" t="n">
        <f aca="false">MAX(0,MIN(AA56-AB56,$B56-(E56+I56+M56+Q56+U56+Y56)))</f>
        <v>0</v>
      </c>
      <c r="AD56" s="43" t="n">
        <f aca="false">MAX(0,AA56-AB56-AC56)</f>
        <v>0</v>
      </c>
      <c r="AE56" s="43" t="n">
        <f aca="false">IF(AH55&gt;0.005,AH55*(1+Ordem!$K$13),0)</f>
        <v>0</v>
      </c>
      <c r="AF56" s="43" t="n">
        <f aca="false">MIN(AE56,Ordem!$L$13)</f>
        <v>0</v>
      </c>
      <c r="AG56" s="43" t="n">
        <f aca="false">MAX(0,MIN(AE56-AF56,$B56-(E56+I56+M56+Q56+U56+Y56+AC56)))</f>
        <v>0</v>
      </c>
      <c r="AH56" s="43" t="n">
        <f aca="false">MAX(0,AE56-AF56-AG56)</f>
        <v>0</v>
      </c>
      <c r="AI56" s="43" t="n">
        <f aca="false">IF(AL55&gt;0.005,AL55*(1+Ordem!$K$14),0)</f>
        <v>0</v>
      </c>
      <c r="AJ56" s="43" t="n">
        <f aca="false">MIN(AI56,Ordem!$L$14)</f>
        <v>0</v>
      </c>
      <c r="AK56" s="43" t="n">
        <f aca="false">MAX(0,MIN(AI56-AJ56,$B56-(E56+I56+M56+Q56+U56+Y56+AC56+AG56)))</f>
        <v>0</v>
      </c>
      <c r="AL56" s="43" t="n">
        <f aca="false">MAX(0,AI56-AJ56-AK56)</f>
        <v>0</v>
      </c>
      <c r="AM56" s="43" t="n">
        <f aca="false">IF(AP55&gt;0.005,AP55*(1+Ordem!$K$15),0)</f>
        <v>0</v>
      </c>
      <c r="AN56" s="43" t="n">
        <f aca="false">MIN(AM56,Ordem!$L$15)</f>
        <v>0</v>
      </c>
      <c r="AO56" s="43" t="n">
        <f aca="false">MAX(0,MIN(AM56-AN56,$B56-(E56+I56+M56+Q56+U56+Y56+AC56+AG56+AK56)))</f>
        <v>0</v>
      </c>
      <c r="AP56" s="43" t="n">
        <f aca="false">MAX(0,AM56-AN56-AO56)</f>
        <v>0</v>
      </c>
      <c r="AQ56" s="43" t="n">
        <f aca="false">F56+J56+N56+R56+V56+Z56+AD56+AH56+AL56+AP56</f>
        <v>0</v>
      </c>
      <c r="AR56" s="43" t="n">
        <f aca="false">D56+E56+H56+I56+L56+M56+P56+Q56+T56+U56+X56+Y56+AB56+AC56+AF56+AG56+AJ56+AK56+AN56+AO56</f>
        <v>0</v>
      </c>
    </row>
    <row r="57" customFormat="false" ht="15" hidden="false" customHeight="false" outlineLevel="0" collapsed="false">
      <c r="A57" s="0" t="n">
        <v>53</v>
      </c>
      <c r="B57" s="43" t="n">
        <f aca="false">MAX(0,Dívidas!$C$20-(D57+H57+L57+P57+T57+X57+AB57+AF57+AJ57+AN57))</f>
        <v>1450</v>
      </c>
      <c r="C57" s="43" t="n">
        <f aca="false">IF(F56&gt;0.005,F56*(1+Ordem!$K$6),0)</f>
        <v>0</v>
      </c>
      <c r="D57" s="43" t="n">
        <f aca="false">MIN(C57,Ordem!$L$6)</f>
        <v>0</v>
      </c>
      <c r="E57" s="43" t="n">
        <f aca="false">MAX(0,MIN(C57-D57,$B57-(0)))</f>
        <v>0</v>
      </c>
      <c r="F57" s="43" t="n">
        <f aca="false">MAX(0,C57-D57-E57)</f>
        <v>0</v>
      </c>
      <c r="G57" s="43" t="n">
        <f aca="false">IF(J56&gt;0.005,J56*(1+Ordem!$K$7),0)</f>
        <v>0</v>
      </c>
      <c r="H57" s="43" t="n">
        <f aca="false">MIN(G57,Ordem!$L$7)</f>
        <v>0</v>
      </c>
      <c r="I57" s="43" t="n">
        <f aca="false">MAX(0,MIN(G57-H57,$B57-(E57)))</f>
        <v>0</v>
      </c>
      <c r="J57" s="43" t="n">
        <f aca="false">MAX(0,G57-H57-I57)</f>
        <v>0</v>
      </c>
      <c r="K57" s="43" t="n">
        <f aca="false">IF(N56&gt;0.005,N56*(1+Ordem!$K$8),0)</f>
        <v>0</v>
      </c>
      <c r="L57" s="43" t="n">
        <f aca="false">MIN(K57,Ordem!$L$8)</f>
        <v>0</v>
      </c>
      <c r="M57" s="43" t="n">
        <f aca="false">MAX(0,MIN(K57-L57,$B57-(E57+I57)))</f>
        <v>0</v>
      </c>
      <c r="N57" s="43" t="n">
        <f aca="false">MAX(0,K57-L57-M57)</f>
        <v>0</v>
      </c>
      <c r="O57" s="43" t="n">
        <f aca="false">IF(R56&gt;0.005,R56*(1+Ordem!$K$9),0)</f>
        <v>0</v>
      </c>
      <c r="P57" s="43" t="n">
        <f aca="false">MIN(O57,Ordem!$L$9)</f>
        <v>0</v>
      </c>
      <c r="Q57" s="43" t="n">
        <f aca="false">MAX(0,MIN(O57-P57,$B57-(E57+I57+M57)))</f>
        <v>0</v>
      </c>
      <c r="R57" s="43" t="n">
        <f aca="false">MAX(0,O57-P57-Q57)</f>
        <v>0</v>
      </c>
      <c r="S57" s="43" t="n">
        <f aca="false">IF(V56&gt;0.005,V56*(1+Ordem!$K$10),0)</f>
        <v>0</v>
      </c>
      <c r="T57" s="43" t="n">
        <f aca="false">MIN(S57,Ordem!$L$10)</f>
        <v>0</v>
      </c>
      <c r="U57" s="43" t="n">
        <f aca="false">MAX(0,MIN(S57-T57,$B57-(E57+I57+M57+Q57)))</f>
        <v>0</v>
      </c>
      <c r="V57" s="43" t="n">
        <f aca="false">MAX(0,S57-T57-U57)</f>
        <v>0</v>
      </c>
      <c r="W57" s="43" t="n">
        <f aca="false">IF(Z56&gt;0.005,Z56*(1+Ordem!$K$11),0)</f>
        <v>0</v>
      </c>
      <c r="X57" s="43" t="n">
        <f aca="false">MIN(W57,Ordem!$L$11)</f>
        <v>0</v>
      </c>
      <c r="Y57" s="43" t="n">
        <f aca="false">MAX(0,MIN(W57-X57,$B57-(E57+I57+M57+Q57+U57)))</f>
        <v>0</v>
      </c>
      <c r="Z57" s="43" t="n">
        <f aca="false">MAX(0,W57-X57-Y57)</f>
        <v>0</v>
      </c>
      <c r="AA57" s="43" t="n">
        <f aca="false">IF(AD56&gt;0.005,AD56*(1+Ordem!$K$12),0)</f>
        <v>0</v>
      </c>
      <c r="AB57" s="43" t="n">
        <f aca="false">MIN(AA57,Ordem!$L$12)</f>
        <v>0</v>
      </c>
      <c r="AC57" s="43" t="n">
        <f aca="false">MAX(0,MIN(AA57-AB57,$B57-(E57+I57+M57+Q57+U57+Y57)))</f>
        <v>0</v>
      </c>
      <c r="AD57" s="43" t="n">
        <f aca="false">MAX(0,AA57-AB57-AC57)</f>
        <v>0</v>
      </c>
      <c r="AE57" s="43" t="n">
        <f aca="false">IF(AH56&gt;0.005,AH56*(1+Ordem!$K$13),0)</f>
        <v>0</v>
      </c>
      <c r="AF57" s="43" t="n">
        <f aca="false">MIN(AE57,Ordem!$L$13)</f>
        <v>0</v>
      </c>
      <c r="AG57" s="43" t="n">
        <f aca="false">MAX(0,MIN(AE57-AF57,$B57-(E57+I57+M57+Q57+U57+Y57+AC57)))</f>
        <v>0</v>
      </c>
      <c r="AH57" s="43" t="n">
        <f aca="false">MAX(0,AE57-AF57-AG57)</f>
        <v>0</v>
      </c>
      <c r="AI57" s="43" t="n">
        <f aca="false">IF(AL56&gt;0.005,AL56*(1+Ordem!$K$14),0)</f>
        <v>0</v>
      </c>
      <c r="AJ57" s="43" t="n">
        <f aca="false">MIN(AI57,Ordem!$L$14)</f>
        <v>0</v>
      </c>
      <c r="AK57" s="43" t="n">
        <f aca="false">MAX(0,MIN(AI57-AJ57,$B57-(E57+I57+M57+Q57+U57+Y57+AC57+AG57)))</f>
        <v>0</v>
      </c>
      <c r="AL57" s="43" t="n">
        <f aca="false">MAX(0,AI57-AJ57-AK57)</f>
        <v>0</v>
      </c>
      <c r="AM57" s="43" t="n">
        <f aca="false">IF(AP56&gt;0.005,AP56*(1+Ordem!$K$15),0)</f>
        <v>0</v>
      </c>
      <c r="AN57" s="43" t="n">
        <f aca="false">MIN(AM57,Ordem!$L$15)</f>
        <v>0</v>
      </c>
      <c r="AO57" s="43" t="n">
        <f aca="false">MAX(0,MIN(AM57-AN57,$B57-(E57+I57+M57+Q57+U57+Y57+AC57+AG57+AK57)))</f>
        <v>0</v>
      </c>
      <c r="AP57" s="43" t="n">
        <f aca="false">MAX(0,AM57-AN57-AO57)</f>
        <v>0</v>
      </c>
      <c r="AQ57" s="43" t="n">
        <f aca="false">F57+J57+N57+R57+V57+Z57+AD57+AH57+AL57+AP57</f>
        <v>0</v>
      </c>
      <c r="AR57" s="43" t="n">
        <f aca="false">D57+E57+H57+I57+L57+M57+P57+Q57+T57+U57+X57+Y57+AB57+AC57+AF57+AG57+AJ57+AK57+AN57+AO57</f>
        <v>0</v>
      </c>
    </row>
    <row r="58" customFormat="false" ht="15" hidden="false" customHeight="false" outlineLevel="0" collapsed="false">
      <c r="A58" s="0" t="n">
        <v>54</v>
      </c>
      <c r="B58" s="43" t="n">
        <f aca="false">MAX(0,Dívidas!$C$20-(D58+H58+L58+P58+T58+X58+AB58+AF58+AJ58+AN58))</f>
        <v>1450</v>
      </c>
      <c r="C58" s="43" t="n">
        <f aca="false">IF(F57&gt;0.005,F57*(1+Ordem!$K$6),0)</f>
        <v>0</v>
      </c>
      <c r="D58" s="43" t="n">
        <f aca="false">MIN(C58,Ordem!$L$6)</f>
        <v>0</v>
      </c>
      <c r="E58" s="43" t="n">
        <f aca="false">MAX(0,MIN(C58-D58,$B58-(0)))</f>
        <v>0</v>
      </c>
      <c r="F58" s="43" t="n">
        <f aca="false">MAX(0,C58-D58-E58)</f>
        <v>0</v>
      </c>
      <c r="G58" s="43" t="n">
        <f aca="false">IF(J57&gt;0.005,J57*(1+Ordem!$K$7),0)</f>
        <v>0</v>
      </c>
      <c r="H58" s="43" t="n">
        <f aca="false">MIN(G58,Ordem!$L$7)</f>
        <v>0</v>
      </c>
      <c r="I58" s="43" t="n">
        <f aca="false">MAX(0,MIN(G58-H58,$B58-(E58)))</f>
        <v>0</v>
      </c>
      <c r="J58" s="43" t="n">
        <f aca="false">MAX(0,G58-H58-I58)</f>
        <v>0</v>
      </c>
      <c r="K58" s="43" t="n">
        <f aca="false">IF(N57&gt;0.005,N57*(1+Ordem!$K$8),0)</f>
        <v>0</v>
      </c>
      <c r="L58" s="43" t="n">
        <f aca="false">MIN(K58,Ordem!$L$8)</f>
        <v>0</v>
      </c>
      <c r="M58" s="43" t="n">
        <f aca="false">MAX(0,MIN(K58-L58,$B58-(E58+I58)))</f>
        <v>0</v>
      </c>
      <c r="N58" s="43" t="n">
        <f aca="false">MAX(0,K58-L58-M58)</f>
        <v>0</v>
      </c>
      <c r="O58" s="43" t="n">
        <f aca="false">IF(R57&gt;0.005,R57*(1+Ordem!$K$9),0)</f>
        <v>0</v>
      </c>
      <c r="P58" s="43" t="n">
        <f aca="false">MIN(O58,Ordem!$L$9)</f>
        <v>0</v>
      </c>
      <c r="Q58" s="43" t="n">
        <f aca="false">MAX(0,MIN(O58-P58,$B58-(E58+I58+M58)))</f>
        <v>0</v>
      </c>
      <c r="R58" s="43" t="n">
        <f aca="false">MAX(0,O58-P58-Q58)</f>
        <v>0</v>
      </c>
      <c r="S58" s="43" t="n">
        <f aca="false">IF(V57&gt;0.005,V57*(1+Ordem!$K$10),0)</f>
        <v>0</v>
      </c>
      <c r="T58" s="43" t="n">
        <f aca="false">MIN(S58,Ordem!$L$10)</f>
        <v>0</v>
      </c>
      <c r="U58" s="43" t="n">
        <f aca="false">MAX(0,MIN(S58-T58,$B58-(E58+I58+M58+Q58)))</f>
        <v>0</v>
      </c>
      <c r="V58" s="43" t="n">
        <f aca="false">MAX(0,S58-T58-U58)</f>
        <v>0</v>
      </c>
      <c r="W58" s="43" t="n">
        <f aca="false">IF(Z57&gt;0.005,Z57*(1+Ordem!$K$11),0)</f>
        <v>0</v>
      </c>
      <c r="X58" s="43" t="n">
        <f aca="false">MIN(W58,Ordem!$L$11)</f>
        <v>0</v>
      </c>
      <c r="Y58" s="43" t="n">
        <f aca="false">MAX(0,MIN(W58-X58,$B58-(E58+I58+M58+Q58+U58)))</f>
        <v>0</v>
      </c>
      <c r="Z58" s="43" t="n">
        <f aca="false">MAX(0,W58-X58-Y58)</f>
        <v>0</v>
      </c>
      <c r="AA58" s="43" t="n">
        <f aca="false">IF(AD57&gt;0.005,AD57*(1+Ordem!$K$12),0)</f>
        <v>0</v>
      </c>
      <c r="AB58" s="43" t="n">
        <f aca="false">MIN(AA58,Ordem!$L$12)</f>
        <v>0</v>
      </c>
      <c r="AC58" s="43" t="n">
        <f aca="false">MAX(0,MIN(AA58-AB58,$B58-(E58+I58+M58+Q58+U58+Y58)))</f>
        <v>0</v>
      </c>
      <c r="AD58" s="43" t="n">
        <f aca="false">MAX(0,AA58-AB58-AC58)</f>
        <v>0</v>
      </c>
      <c r="AE58" s="43" t="n">
        <f aca="false">IF(AH57&gt;0.005,AH57*(1+Ordem!$K$13),0)</f>
        <v>0</v>
      </c>
      <c r="AF58" s="43" t="n">
        <f aca="false">MIN(AE58,Ordem!$L$13)</f>
        <v>0</v>
      </c>
      <c r="AG58" s="43" t="n">
        <f aca="false">MAX(0,MIN(AE58-AF58,$B58-(E58+I58+M58+Q58+U58+Y58+AC58)))</f>
        <v>0</v>
      </c>
      <c r="AH58" s="43" t="n">
        <f aca="false">MAX(0,AE58-AF58-AG58)</f>
        <v>0</v>
      </c>
      <c r="AI58" s="43" t="n">
        <f aca="false">IF(AL57&gt;0.005,AL57*(1+Ordem!$K$14),0)</f>
        <v>0</v>
      </c>
      <c r="AJ58" s="43" t="n">
        <f aca="false">MIN(AI58,Ordem!$L$14)</f>
        <v>0</v>
      </c>
      <c r="AK58" s="43" t="n">
        <f aca="false">MAX(0,MIN(AI58-AJ58,$B58-(E58+I58+M58+Q58+U58+Y58+AC58+AG58)))</f>
        <v>0</v>
      </c>
      <c r="AL58" s="43" t="n">
        <f aca="false">MAX(0,AI58-AJ58-AK58)</f>
        <v>0</v>
      </c>
      <c r="AM58" s="43" t="n">
        <f aca="false">IF(AP57&gt;0.005,AP57*(1+Ordem!$K$15),0)</f>
        <v>0</v>
      </c>
      <c r="AN58" s="43" t="n">
        <f aca="false">MIN(AM58,Ordem!$L$15)</f>
        <v>0</v>
      </c>
      <c r="AO58" s="43" t="n">
        <f aca="false">MAX(0,MIN(AM58-AN58,$B58-(E58+I58+M58+Q58+U58+Y58+AC58+AG58+AK58)))</f>
        <v>0</v>
      </c>
      <c r="AP58" s="43" t="n">
        <f aca="false">MAX(0,AM58-AN58-AO58)</f>
        <v>0</v>
      </c>
      <c r="AQ58" s="43" t="n">
        <f aca="false">F58+J58+N58+R58+V58+Z58+AD58+AH58+AL58+AP58</f>
        <v>0</v>
      </c>
      <c r="AR58" s="43" t="n">
        <f aca="false">D58+E58+H58+I58+L58+M58+P58+Q58+T58+U58+X58+Y58+AB58+AC58+AF58+AG58+AJ58+AK58+AN58+AO58</f>
        <v>0</v>
      </c>
    </row>
    <row r="59" customFormat="false" ht="15" hidden="false" customHeight="false" outlineLevel="0" collapsed="false">
      <c r="A59" s="0" t="n">
        <v>55</v>
      </c>
      <c r="B59" s="43" t="n">
        <f aca="false">MAX(0,Dívidas!$C$20-(D59+H59+L59+P59+T59+X59+AB59+AF59+AJ59+AN59))</f>
        <v>1450</v>
      </c>
      <c r="C59" s="43" t="n">
        <f aca="false">IF(F58&gt;0.005,F58*(1+Ordem!$K$6),0)</f>
        <v>0</v>
      </c>
      <c r="D59" s="43" t="n">
        <f aca="false">MIN(C59,Ordem!$L$6)</f>
        <v>0</v>
      </c>
      <c r="E59" s="43" t="n">
        <f aca="false">MAX(0,MIN(C59-D59,$B59-(0)))</f>
        <v>0</v>
      </c>
      <c r="F59" s="43" t="n">
        <f aca="false">MAX(0,C59-D59-E59)</f>
        <v>0</v>
      </c>
      <c r="G59" s="43" t="n">
        <f aca="false">IF(J58&gt;0.005,J58*(1+Ordem!$K$7),0)</f>
        <v>0</v>
      </c>
      <c r="H59" s="43" t="n">
        <f aca="false">MIN(G59,Ordem!$L$7)</f>
        <v>0</v>
      </c>
      <c r="I59" s="43" t="n">
        <f aca="false">MAX(0,MIN(G59-H59,$B59-(E59)))</f>
        <v>0</v>
      </c>
      <c r="J59" s="43" t="n">
        <f aca="false">MAX(0,G59-H59-I59)</f>
        <v>0</v>
      </c>
      <c r="K59" s="43" t="n">
        <f aca="false">IF(N58&gt;0.005,N58*(1+Ordem!$K$8),0)</f>
        <v>0</v>
      </c>
      <c r="L59" s="43" t="n">
        <f aca="false">MIN(K59,Ordem!$L$8)</f>
        <v>0</v>
      </c>
      <c r="M59" s="43" t="n">
        <f aca="false">MAX(0,MIN(K59-L59,$B59-(E59+I59)))</f>
        <v>0</v>
      </c>
      <c r="N59" s="43" t="n">
        <f aca="false">MAX(0,K59-L59-M59)</f>
        <v>0</v>
      </c>
      <c r="O59" s="43" t="n">
        <f aca="false">IF(R58&gt;0.005,R58*(1+Ordem!$K$9),0)</f>
        <v>0</v>
      </c>
      <c r="P59" s="43" t="n">
        <f aca="false">MIN(O59,Ordem!$L$9)</f>
        <v>0</v>
      </c>
      <c r="Q59" s="43" t="n">
        <f aca="false">MAX(0,MIN(O59-P59,$B59-(E59+I59+M59)))</f>
        <v>0</v>
      </c>
      <c r="R59" s="43" t="n">
        <f aca="false">MAX(0,O59-P59-Q59)</f>
        <v>0</v>
      </c>
      <c r="S59" s="43" t="n">
        <f aca="false">IF(V58&gt;0.005,V58*(1+Ordem!$K$10),0)</f>
        <v>0</v>
      </c>
      <c r="T59" s="43" t="n">
        <f aca="false">MIN(S59,Ordem!$L$10)</f>
        <v>0</v>
      </c>
      <c r="U59" s="43" t="n">
        <f aca="false">MAX(0,MIN(S59-T59,$B59-(E59+I59+M59+Q59)))</f>
        <v>0</v>
      </c>
      <c r="V59" s="43" t="n">
        <f aca="false">MAX(0,S59-T59-U59)</f>
        <v>0</v>
      </c>
      <c r="W59" s="43" t="n">
        <f aca="false">IF(Z58&gt;0.005,Z58*(1+Ordem!$K$11),0)</f>
        <v>0</v>
      </c>
      <c r="X59" s="43" t="n">
        <f aca="false">MIN(W59,Ordem!$L$11)</f>
        <v>0</v>
      </c>
      <c r="Y59" s="43" t="n">
        <f aca="false">MAX(0,MIN(W59-X59,$B59-(E59+I59+M59+Q59+U59)))</f>
        <v>0</v>
      </c>
      <c r="Z59" s="43" t="n">
        <f aca="false">MAX(0,W59-X59-Y59)</f>
        <v>0</v>
      </c>
      <c r="AA59" s="43" t="n">
        <f aca="false">IF(AD58&gt;0.005,AD58*(1+Ordem!$K$12),0)</f>
        <v>0</v>
      </c>
      <c r="AB59" s="43" t="n">
        <f aca="false">MIN(AA59,Ordem!$L$12)</f>
        <v>0</v>
      </c>
      <c r="AC59" s="43" t="n">
        <f aca="false">MAX(0,MIN(AA59-AB59,$B59-(E59+I59+M59+Q59+U59+Y59)))</f>
        <v>0</v>
      </c>
      <c r="AD59" s="43" t="n">
        <f aca="false">MAX(0,AA59-AB59-AC59)</f>
        <v>0</v>
      </c>
      <c r="AE59" s="43" t="n">
        <f aca="false">IF(AH58&gt;0.005,AH58*(1+Ordem!$K$13),0)</f>
        <v>0</v>
      </c>
      <c r="AF59" s="43" t="n">
        <f aca="false">MIN(AE59,Ordem!$L$13)</f>
        <v>0</v>
      </c>
      <c r="AG59" s="43" t="n">
        <f aca="false">MAX(0,MIN(AE59-AF59,$B59-(E59+I59+M59+Q59+U59+Y59+AC59)))</f>
        <v>0</v>
      </c>
      <c r="AH59" s="43" t="n">
        <f aca="false">MAX(0,AE59-AF59-AG59)</f>
        <v>0</v>
      </c>
      <c r="AI59" s="43" t="n">
        <f aca="false">IF(AL58&gt;0.005,AL58*(1+Ordem!$K$14),0)</f>
        <v>0</v>
      </c>
      <c r="AJ59" s="43" t="n">
        <f aca="false">MIN(AI59,Ordem!$L$14)</f>
        <v>0</v>
      </c>
      <c r="AK59" s="43" t="n">
        <f aca="false">MAX(0,MIN(AI59-AJ59,$B59-(E59+I59+M59+Q59+U59+Y59+AC59+AG59)))</f>
        <v>0</v>
      </c>
      <c r="AL59" s="43" t="n">
        <f aca="false">MAX(0,AI59-AJ59-AK59)</f>
        <v>0</v>
      </c>
      <c r="AM59" s="43" t="n">
        <f aca="false">IF(AP58&gt;0.005,AP58*(1+Ordem!$K$15),0)</f>
        <v>0</v>
      </c>
      <c r="AN59" s="43" t="n">
        <f aca="false">MIN(AM59,Ordem!$L$15)</f>
        <v>0</v>
      </c>
      <c r="AO59" s="43" t="n">
        <f aca="false">MAX(0,MIN(AM59-AN59,$B59-(E59+I59+M59+Q59+U59+Y59+AC59+AG59+AK59)))</f>
        <v>0</v>
      </c>
      <c r="AP59" s="43" t="n">
        <f aca="false">MAX(0,AM59-AN59-AO59)</f>
        <v>0</v>
      </c>
      <c r="AQ59" s="43" t="n">
        <f aca="false">F59+J59+N59+R59+V59+Z59+AD59+AH59+AL59+AP59</f>
        <v>0</v>
      </c>
      <c r="AR59" s="43" t="n">
        <f aca="false">D59+E59+H59+I59+L59+M59+P59+Q59+T59+U59+X59+Y59+AB59+AC59+AF59+AG59+AJ59+AK59+AN59+AO59</f>
        <v>0</v>
      </c>
    </row>
    <row r="60" customFormat="false" ht="15" hidden="false" customHeight="false" outlineLevel="0" collapsed="false">
      <c r="A60" s="0" t="n">
        <v>56</v>
      </c>
      <c r="B60" s="43" t="n">
        <f aca="false">MAX(0,Dívidas!$C$20-(D60+H60+L60+P60+T60+X60+AB60+AF60+AJ60+AN60))</f>
        <v>1450</v>
      </c>
      <c r="C60" s="43" t="n">
        <f aca="false">IF(F59&gt;0.005,F59*(1+Ordem!$K$6),0)</f>
        <v>0</v>
      </c>
      <c r="D60" s="43" t="n">
        <f aca="false">MIN(C60,Ordem!$L$6)</f>
        <v>0</v>
      </c>
      <c r="E60" s="43" t="n">
        <f aca="false">MAX(0,MIN(C60-D60,$B60-(0)))</f>
        <v>0</v>
      </c>
      <c r="F60" s="43" t="n">
        <f aca="false">MAX(0,C60-D60-E60)</f>
        <v>0</v>
      </c>
      <c r="G60" s="43" t="n">
        <f aca="false">IF(J59&gt;0.005,J59*(1+Ordem!$K$7),0)</f>
        <v>0</v>
      </c>
      <c r="H60" s="43" t="n">
        <f aca="false">MIN(G60,Ordem!$L$7)</f>
        <v>0</v>
      </c>
      <c r="I60" s="43" t="n">
        <f aca="false">MAX(0,MIN(G60-H60,$B60-(E60)))</f>
        <v>0</v>
      </c>
      <c r="J60" s="43" t="n">
        <f aca="false">MAX(0,G60-H60-I60)</f>
        <v>0</v>
      </c>
      <c r="K60" s="43" t="n">
        <f aca="false">IF(N59&gt;0.005,N59*(1+Ordem!$K$8),0)</f>
        <v>0</v>
      </c>
      <c r="L60" s="43" t="n">
        <f aca="false">MIN(K60,Ordem!$L$8)</f>
        <v>0</v>
      </c>
      <c r="M60" s="43" t="n">
        <f aca="false">MAX(0,MIN(K60-L60,$B60-(E60+I60)))</f>
        <v>0</v>
      </c>
      <c r="N60" s="43" t="n">
        <f aca="false">MAX(0,K60-L60-M60)</f>
        <v>0</v>
      </c>
      <c r="O60" s="43" t="n">
        <f aca="false">IF(R59&gt;0.005,R59*(1+Ordem!$K$9),0)</f>
        <v>0</v>
      </c>
      <c r="P60" s="43" t="n">
        <f aca="false">MIN(O60,Ordem!$L$9)</f>
        <v>0</v>
      </c>
      <c r="Q60" s="43" t="n">
        <f aca="false">MAX(0,MIN(O60-P60,$B60-(E60+I60+M60)))</f>
        <v>0</v>
      </c>
      <c r="R60" s="43" t="n">
        <f aca="false">MAX(0,O60-P60-Q60)</f>
        <v>0</v>
      </c>
      <c r="S60" s="43" t="n">
        <f aca="false">IF(V59&gt;0.005,V59*(1+Ordem!$K$10),0)</f>
        <v>0</v>
      </c>
      <c r="T60" s="43" t="n">
        <f aca="false">MIN(S60,Ordem!$L$10)</f>
        <v>0</v>
      </c>
      <c r="U60" s="43" t="n">
        <f aca="false">MAX(0,MIN(S60-T60,$B60-(E60+I60+M60+Q60)))</f>
        <v>0</v>
      </c>
      <c r="V60" s="43" t="n">
        <f aca="false">MAX(0,S60-T60-U60)</f>
        <v>0</v>
      </c>
      <c r="W60" s="43" t="n">
        <f aca="false">IF(Z59&gt;0.005,Z59*(1+Ordem!$K$11),0)</f>
        <v>0</v>
      </c>
      <c r="X60" s="43" t="n">
        <f aca="false">MIN(W60,Ordem!$L$11)</f>
        <v>0</v>
      </c>
      <c r="Y60" s="43" t="n">
        <f aca="false">MAX(0,MIN(W60-X60,$B60-(E60+I60+M60+Q60+U60)))</f>
        <v>0</v>
      </c>
      <c r="Z60" s="43" t="n">
        <f aca="false">MAX(0,W60-X60-Y60)</f>
        <v>0</v>
      </c>
      <c r="AA60" s="43" t="n">
        <f aca="false">IF(AD59&gt;0.005,AD59*(1+Ordem!$K$12),0)</f>
        <v>0</v>
      </c>
      <c r="AB60" s="43" t="n">
        <f aca="false">MIN(AA60,Ordem!$L$12)</f>
        <v>0</v>
      </c>
      <c r="AC60" s="43" t="n">
        <f aca="false">MAX(0,MIN(AA60-AB60,$B60-(E60+I60+M60+Q60+U60+Y60)))</f>
        <v>0</v>
      </c>
      <c r="AD60" s="43" t="n">
        <f aca="false">MAX(0,AA60-AB60-AC60)</f>
        <v>0</v>
      </c>
      <c r="AE60" s="43" t="n">
        <f aca="false">IF(AH59&gt;0.005,AH59*(1+Ordem!$K$13),0)</f>
        <v>0</v>
      </c>
      <c r="AF60" s="43" t="n">
        <f aca="false">MIN(AE60,Ordem!$L$13)</f>
        <v>0</v>
      </c>
      <c r="AG60" s="43" t="n">
        <f aca="false">MAX(0,MIN(AE60-AF60,$B60-(E60+I60+M60+Q60+U60+Y60+AC60)))</f>
        <v>0</v>
      </c>
      <c r="AH60" s="43" t="n">
        <f aca="false">MAX(0,AE60-AF60-AG60)</f>
        <v>0</v>
      </c>
      <c r="AI60" s="43" t="n">
        <f aca="false">IF(AL59&gt;0.005,AL59*(1+Ordem!$K$14),0)</f>
        <v>0</v>
      </c>
      <c r="AJ60" s="43" t="n">
        <f aca="false">MIN(AI60,Ordem!$L$14)</f>
        <v>0</v>
      </c>
      <c r="AK60" s="43" t="n">
        <f aca="false">MAX(0,MIN(AI60-AJ60,$B60-(E60+I60+M60+Q60+U60+Y60+AC60+AG60)))</f>
        <v>0</v>
      </c>
      <c r="AL60" s="43" t="n">
        <f aca="false">MAX(0,AI60-AJ60-AK60)</f>
        <v>0</v>
      </c>
      <c r="AM60" s="43" t="n">
        <f aca="false">IF(AP59&gt;0.005,AP59*(1+Ordem!$K$15),0)</f>
        <v>0</v>
      </c>
      <c r="AN60" s="43" t="n">
        <f aca="false">MIN(AM60,Ordem!$L$15)</f>
        <v>0</v>
      </c>
      <c r="AO60" s="43" t="n">
        <f aca="false">MAX(0,MIN(AM60-AN60,$B60-(E60+I60+M60+Q60+U60+Y60+AC60+AG60+AK60)))</f>
        <v>0</v>
      </c>
      <c r="AP60" s="43" t="n">
        <f aca="false">MAX(0,AM60-AN60-AO60)</f>
        <v>0</v>
      </c>
      <c r="AQ60" s="43" t="n">
        <f aca="false">F60+J60+N60+R60+V60+Z60+AD60+AH60+AL60+AP60</f>
        <v>0</v>
      </c>
      <c r="AR60" s="43" t="n">
        <f aca="false">D60+E60+H60+I60+L60+M60+P60+Q60+T60+U60+X60+Y60+AB60+AC60+AF60+AG60+AJ60+AK60+AN60+AO60</f>
        <v>0</v>
      </c>
    </row>
    <row r="61" customFormat="false" ht="15" hidden="false" customHeight="false" outlineLevel="0" collapsed="false">
      <c r="A61" s="0" t="n">
        <v>57</v>
      </c>
      <c r="B61" s="43" t="n">
        <f aca="false">MAX(0,Dívidas!$C$20-(D61+H61+L61+P61+T61+X61+AB61+AF61+AJ61+AN61))</f>
        <v>1450</v>
      </c>
      <c r="C61" s="43" t="n">
        <f aca="false">IF(F60&gt;0.005,F60*(1+Ordem!$K$6),0)</f>
        <v>0</v>
      </c>
      <c r="D61" s="43" t="n">
        <f aca="false">MIN(C61,Ordem!$L$6)</f>
        <v>0</v>
      </c>
      <c r="E61" s="43" t="n">
        <f aca="false">MAX(0,MIN(C61-D61,$B61-(0)))</f>
        <v>0</v>
      </c>
      <c r="F61" s="43" t="n">
        <f aca="false">MAX(0,C61-D61-E61)</f>
        <v>0</v>
      </c>
      <c r="G61" s="43" t="n">
        <f aca="false">IF(J60&gt;0.005,J60*(1+Ordem!$K$7),0)</f>
        <v>0</v>
      </c>
      <c r="H61" s="43" t="n">
        <f aca="false">MIN(G61,Ordem!$L$7)</f>
        <v>0</v>
      </c>
      <c r="I61" s="43" t="n">
        <f aca="false">MAX(0,MIN(G61-H61,$B61-(E61)))</f>
        <v>0</v>
      </c>
      <c r="J61" s="43" t="n">
        <f aca="false">MAX(0,G61-H61-I61)</f>
        <v>0</v>
      </c>
      <c r="K61" s="43" t="n">
        <f aca="false">IF(N60&gt;0.005,N60*(1+Ordem!$K$8),0)</f>
        <v>0</v>
      </c>
      <c r="L61" s="43" t="n">
        <f aca="false">MIN(K61,Ordem!$L$8)</f>
        <v>0</v>
      </c>
      <c r="M61" s="43" t="n">
        <f aca="false">MAX(0,MIN(K61-L61,$B61-(E61+I61)))</f>
        <v>0</v>
      </c>
      <c r="N61" s="43" t="n">
        <f aca="false">MAX(0,K61-L61-M61)</f>
        <v>0</v>
      </c>
      <c r="O61" s="43" t="n">
        <f aca="false">IF(R60&gt;0.005,R60*(1+Ordem!$K$9),0)</f>
        <v>0</v>
      </c>
      <c r="P61" s="43" t="n">
        <f aca="false">MIN(O61,Ordem!$L$9)</f>
        <v>0</v>
      </c>
      <c r="Q61" s="43" t="n">
        <f aca="false">MAX(0,MIN(O61-P61,$B61-(E61+I61+M61)))</f>
        <v>0</v>
      </c>
      <c r="R61" s="43" t="n">
        <f aca="false">MAX(0,O61-P61-Q61)</f>
        <v>0</v>
      </c>
      <c r="S61" s="43" t="n">
        <f aca="false">IF(V60&gt;0.005,V60*(1+Ordem!$K$10),0)</f>
        <v>0</v>
      </c>
      <c r="T61" s="43" t="n">
        <f aca="false">MIN(S61,Ordem!$L$10)</f>
        <v>0</v>
      </c>
      <c r="U61" s="43" t="n">
        <f aca="false">MAX(0,MIN(S61-T61,$B61-(E61+I61+M61+Q61)))</f>
        <v>0</v>
      </c>
      <c r="V61" s="43" t="n">
        <f aca="false">MAX(0,S61-T61-U61)</f>
        <v>0</v>
      </c>
      <c r="W61" s="43" t="n">
        <f aca="false">IF(Z60&gt;0.005,Z60*(1+Ordem!$K$11),0)</f>
        <v>0</v>
      </c>
      <c r="X61" s="43" t="n">
        <f aca="false">MIN(W61,Ordem!$L$11)</f>
        <v>0</v>
      </c>
      <c r="Y61" s="43" t="n">
        <f aca="false">MAX(0,MIN(W61-X61,$B61-(E61+I61+M61+Q61+U61)))</f>
        <v>0</v>
      </c>
      <c r="Z61" s="43" t="n">
        <f aca="false">MAX(0,W61-X61-Y61)</f>
        <v>0</v>
      </c>
      <c r="AA61" s="43" t="n">
        <f aca="false">IF(AD60&gt;0.005,AD60*(1+Ordem!$K$12),0)</f>
        <v>0</v>
      </c>
      <c r="AB61" s="43" t="n">
        <f aca="false">MIN(AA61,Ordem!$L$12)</f>
        <v>0</v>
      </c>
      <c r="AC61" s="43" t="n">
        <f aca="false">MAX(0,MIN(AA61-AB61,$B61-(E61+I61+M61+Q61+U61+Y61)))</f>
        <v>0</v>
      </c>
      <c r="AD61" s="43" t="n">
        <f aca="false">MAX(0,AA61-AB61-AC61)</f>
        <v>0</v>
      </c>
      <c r="AE61" s="43" t="n">
        <f aca="false">IF(AH60&gt;0.005,AH60*(1+Ordem!$K$13),0)</f>
        <v>0</v>
      </c>
      <c r="AF61" s="43" t="n">
        <f aca="false">MIN(AE61,Ordem!$L$13)</f>
        <v>0</v>
      </c>
      <c r="AG61" s="43" t="n">
        <f aca="false">MAX(0,MIN(AE61-AF61,$B61-(E61+I61+M61+Q61+U61+Y61+AC61)))</f>
        <v>0</v>
      </c>
      <c r="AH61" s="43" t="n">
        <f aca="false">MAX(0,AE61-AF61-AG61)</f>
        <v>0</v>
      </c>
      <c r="AI61" s="43" t="n">
        <f aca="false">IF(AL60&gt;0.005,AL60*(1+Ordem!$K$14),0)</f>
        <v>0</v>
      </c>
      <c r="AJ61" s="43" t="n">
        <f aca="false">MIN(AI61,Ordem!$L$14)</f>
        <v>0</v>
      </c>
      <c r="AK61" s="43" t="n">
        <f aca="false">MAX(0,MIN(AI61-AJ61,$B61-(E61+I61+M61+Q61+U61+Y61+AC61+AG61)))</f>
        <v>0</v>
      </c>
      <c r="AL61" s="43" t="n">
        <f aca="false">MAX(0,AI61-AJ61-AK61)</f>
        <v>0</v>
      </c>
      <c r="AM61" s="43" t="n">
        <f aca="false">IF(AP60&gt;0.005,AP60*(1+Ordem!$K$15),0)</f>
        <v>0</v>
      </c>
      <c r="AN61" s="43" t="n">
        <f aca="false">MIN(AM61,Ordem!$L$15)</f>
        <v>0</v>
      </c>
      <c r="AO61" s="43" t="n">
        <f aca="false">MAX(0,MIN(AM61-AN61,$B61-(E61+I61+M61+Q61+U61+Y61+AC61+AG61+AK61)))</f>
        <v>0</v>
      </c>
      <c r="AP61" s="43" t="n">
        <f aca="false">MAX(0,AM61-AN61-AO61)</f>
        <v>0</v>
      </c>
      <c r="AQ61" s="43" t="n">
        <f aca="false">F61+J61+N61+R61+V61+Z61+AD61+AH61+AL61+AP61</f>
        <v>0</v>
      </c>
      <c r="AR61" s="43" t="n">
        <f aca="false">D61+E61+H61+I61+L61+M61+P61+Q61+T61+U61+X61+Y61+AB61+AC61+AF61+AG61+AJ61+AK61+AN61+AO61</f>
        <v>0</v>
      </c>
    </row>
    <row r="62" customFormat="false" ht="15" hidden="false" customHeight="false" outlineLevel="0" collapsed="false">
      <c r="A62" s="0" t="n">
        <v>58</v>
      </c>
      <c r="B62" s="43" t="n">
        <f aca="false">MAX(0,Dívidas!$C$20-(D62+H62+L62+P62+T62+X62+AB62+AF62+AJ62+AN62))</f>
        <v>1450</v>
      </c>
      <c r="C62" s="43" t="n">
        <f aca="false">IF(F61&gt;0.005,F61*(1+Ordem!$K$6),0)</f>
        <v>0</v>
      </c>
      <c r="D62" s="43" t="n">
        <f aca="false">MIN(C62,Ordem!$L$6)</f>
        <v>0</v>
      </c>
      <c r="E62" s="43" t="n">
        <f aca="false">MAX(0,MIN(C62-D62,$B62-(0)))</f>
        <v>0</v>
      </c>
      <c r="F62" s="43" t="n">
        <f aca="false">MAX(0,C62-D62-E62)</f>
        <v>0</v>
      </c>
      <c r="G62" s="43" t="n">
        <f aca="false">IF(J61&gt;0.005,J61*(1+Ordem!$K$7),0)</f>
        <v>0</v>
      </c>
      <c r="H62" s="43" t="n">
        <f aca="false">MIN(G62,Ordem!$L$7)</f>
        <v>0</v>
      </c>
      <c r="I62" s="43" t="n">
        <f aca="false">MAX(0,MIN(G62-H62,$B62-(E62)))</f>
        <v>0</v>
      </c>
      <c r="J62" s="43" t="n">
        <f aca="false">MAX(0,G62-H62-I62)</f>
        <v>0</v>
      </c>
      <c r="K62" s="43" t="n">
        <f aca="false">IF(N61&gt;0.005,N61*(1+Ordem!$K$8),0)</f>
        <v>0</v>
      </c>
      <c r="L62" s="43" t="n">
        <f aca="false">MIN(K62,Ordem!$L$8)</f>
        <v>0</v>
      </c>
      <c r="M62" s="43" t="n">
        <f aca="false">MAX(0,MIN(K62-L62,$B62-(E62+I62)))</f>
        <v>0</v>
      </c>
      <c r="N62" s="43" t="n">
        <f aca="false">MAX(0,K62-L62-M62)</f>
        <v>0</v>
      </c>
      <c r="O62" s="43" t="n">
        <f aca="false">IF(R61&gt;0.005,R61*(1+Ordem!$K$9),0)</f>
        <v>0</v>
      </c>
      <c r="P62" s="43" t="n">
        <f aca="false">MIN(O62,Ordem!$L$9)</f>
        <v>0</v>
      </c>
      <c r="Q62" s="43" t="n">
        <f aca="false">MAX(0,MIN(O62-P62,$B62-(E62+I62+M62)))</f>
        <v>0</v>
      </c>
      <c r="R62" s="43" t="n">
        <f aca="false">MAX(0,O62-P62-Q62)</f>
        <v>0</v>
      </c>
      <c r="S62" s="43" t="n">
        <f aca="false">IF(V61&gt;0.005,V61*(1+Ordem!$K$10),0)</f>
        <v>0</v>
      </c>
      <c r="T62" s="43" t="n">
        <f aca="false">MIN(S62,Ordem!$L$10)</f>
        <v>0</v>
      </c>
      <c r="U62" s="43" t="n">
        <f aca="false">MAX(0,MIN(S62-T62,$B62-(E62+I62+M62+Q62)))</f>
        <v>0</v>
      </c>
      <c r="V62" s="43" t="n">
        <f aca="false">MAX(0,S62-T62-U62)</f>
        <v>0</v>
      </c>
      <c r="W62" s="43" t="n">
        <f aca="false">IF(Z61&gt;0.005,Z61*(1+Ordem!$K$11),0)</f>
        <v>0</v>
      </c>
      <c r="X62" s="43" t="n">
        <f aca="false">MIN(W62,Ordem!$L$11)</f>
        <v>0</v>
      </c>
      <c r="Y62" s="43" t="n">
        <f aca="false">MAX(0,MIN(W62-X62,$B62-(E62+I62+M62+Q62+U62)))</f>
        <v>0</v>
      </c>
      <c r="Z62" s="43" t="n">
        <f aca="false">MAX(0,W62-X62-Y62)</f>
        <v>0</v>
      </c>
      <c r="AA62" s="43" t="n">
        <f aca="false">IF(AD61&gt;0.005,AD61*(1+Ordem!$K$12),0)</f>
        <v>0</v>
      </c>
      <c r="AB62" s="43" t="n">
        <f aca="false">MIN(AA62,Ordem!$L$12)</f>
        <v>0</v>
      </c>
      <c r="AC62" s="43" t="n">
        <f aca="false">MAX(0,MIN(AA62-AB62,$B62-(E62+I62+M62+Q62+U62+Y62)))</f>
        <v>0</v>
      </c>
      <c r="AD62" s="43" t="n">
        <f aca="false">MAX(0,AA62-AB62-AC62)</f>
        <v>0</v>
      </c>
      <c r="AE62" s="43" t="n">
        <f aca="false">IF(AH61&gt;0.005,AH61*(1+Ordem!$K$13),0)</f>
        <v>0</v>
      </c>
      <c r="AF62" s="43" t="n">
        <f aca="false">MIN(AE62,Ordem!$L$13)</f>
        <v>0</v>
      </c>
      <c r="AG62" s="43" t="n">
        <f aca="false">MAX(0,MIN(AE62-AF62,$B62-(E62+I62+M62+Q62+U62+Y62+AC62)))</f>
        <v>0</v>
      </c>
      <c r="AH62" s="43" t="n">
        <f aca="false">MAX(0,AE62-AF62-AG62)</f>
        <v>0</v>
      </c>
      <c r="AI62" s="43" t="n">
        <f aca="false">IF(AL61&gt;0.005,AL61*(1+Ordem!$K$14),0)</f>
        <v>0</v>
      </c>
      <c r="AJ62" s="43" t="n">
        <f aca="false">MIN(AI62,Ordem!$L$14)</f>
        <v>0</v>
      </c>
      <c r="AK62" s="43" t="n">
        <f aca="false">MAX(0,MIN(AI62-AJ62,$B62-(E62+I62+M62+Q62+U62+Y62+AC62+AG62)))</f>
        <v>0</v>
      </c>
      <c r="AL62" s="43" t="n">
        <f aca="false">MAX(0,AI62-AJ62-AK62)</f>
        <v>0</v>
      </c>
      <c r="AM62" s="43" t="n">
        <f aca="false">IF(AP61&gt;0.005,AP61*(1+Ordem!$K$15),0)</f>
        <v>0</v>
      </c>
      <c r="AN62" s="43" t="n">
        <f aca="false">MIN(AM62,Ordem!$L$15)</f>
        <v>0</v>
      </c>
      <c r="AO62" s="43" t="n">
        <f aca="false">MAX(0,MIN(AM62-AN62,$B62-(E62+I62+M62+Q62+U62+Y62+AC62+AG62+AK62)))</f>
        <v>0</v>
      </c>
      <c r="AP62" s="43" t="n">
        <f aca="false">MAX(0,AM62-AN62-AO62)</f>
        <v>0</v>
      </c>
      <c r="AQ62" s="43" t="n">
        <f aca="false">F62+J62+N62+R62+V62+Z62+AD62+AH62+AL62+AP62</f>
        <v>0</v>
      </c>
      <c r="AR62" s="43" t="n">
        <f aca="false">D62+E62+H62+I62+L62+M62+P62+Q62+T62+U62+X62+Y62+AB62+AC62+AF62+AG62+AJ62+AK62+AN62+AO62</f>
        <v>0</v>
      </c>
    </row>
    <row r="63" customFormat="false" ht="15" hidden="false" customHeight="false" outlineLevel="0" collapsed="false">
      <c r="A63" s="0" t="n">
        <v>59</v>
      </c>
      <c r="B63" s="43" t="n">
        <f aca="false">MAX(0,Dívidas!$C$20-(D63+H63+L63+P63+T63+X63+AB63+AF63+AJ63+AN63))</f>
        <v>1450</v>
      </c>
      <c r="C63" s="43" t="n">
        <f aca="false">IF(F62&gt;0.005,F62*(1+Ordem!$K$6),0)</f>
        <v>0</v>
      </c>
      <c r="D63" s="43" t="n">
        <f aca="false">MIN(C63,Ordem!$L$6)</f>
        <v>0</v>
      </c>
      <c r="E63" s="43" t="n">
        <f aca="false">MAX(0,MIN(C63-D63,$B63-(0)))</f>
        <v>0</v>
      </c>
      <c r="F63" s="43" t="n">
        <f aca="false">MAX(0,C63-D63-E63)</f>
        <v>0</v>
      </c>
      <c r="G63" s="43" t="n">
        <f aca="false">IF(J62&gt;0.005,J62*(1+Ordem!$K$7),0)</f>
        <v>0</v>
      </c>
      <c r="H63" s="43" t="n">
        <f aca="false">MIN(G63,Ordem!$L$7)</f>
        <v>0</v>
      </c>
      <c r="I63" s="43" t="n">
        <f aca="false">MAX(0,MIN(G63-H63,$B63-(E63)))</f>
        <v>0</v>
      </c>
      <c r="J63" s="43" t="n">
        <f aca="false">MAX(0,G63-H63-I63)</f>
        <v>0</v>
      </c>
      <c r="K63" s="43" t="n">
        <f aca="false">IF(N62&gt;0.005,N62*(1+Ordem!$K$8),0)</f>
        <v>0</v>
      </c>
      <c r="L63" s="43" t="n">
        <f aca="false">MIN(K63,Ordem!$L$8)</f>
        <v>0</v>
      </c>
      <c r="M63" s="43" t="n">
        <f aca="false">MAX(0,MIN(K63-L63,$B63-(E63+I63)))</f>
        <v>0</v>
      </c>
      <c r="N63" s="43" t="n">
        <f aca="false">MAX(0,K63-L63-M63)</f>
        <v>0</v>
      </c>
      <c r="O63" s="43" t="n">
        <f aca="false">IF(R62&gt;0.005,R62*(1+Ordem!$K$9),0)</f>
        <v>0</v>
      </c>
      <c r="P63" s="43" t="n">
        <f aca="false">MIN(O63,Ordem!$L$9)</f>
        <v>0</v>
      </c>
      <c r="Q63" s="43" t="n">
        <f aca="false">MAX(0,MIN(O63-P63,$B63-(E63+I63+M63)))</f>
        <v>0</v>
      </c>
      <c r="R63" s="43" t="n">
        <f aca="false">MAX(0,O63-P63-Q63)</f>
        <v>0</v>
      </c>
      <c r="S63" s="43" t="n">
        <f aca="false">IF(V62&gt;0.005,V62*(1+Ordem!$K$10),0)</f>
        <v>0</v>
      </c>
      <c r="T63" s="43" t="n">
        <f aca="false">MIN(S63,Ordem!$L$10)</f>
        <v>0</v>
      </c>
      <c r="U63" s="43" t="n">
        <f aca="false">MAX(0,MIN(S63-T63,$B63-(E63+I63+M63+Q63)))</f>
        <v>0</v>
      </c>
      <c r="V63" s="43" t="n">
        <f aca="false">MAX(0,S63-T63-U63)</f>
        <v>0</v>
      </c>
      <c r="W63" s="43" t="n">
        <f aca="false">IF(Z62&gt;0.005,Z62*(1+Ordem!$K$11),0)</f>
        <v>0</v>
      </c>
      <c r="X63" s="43" t="n">
        <f aca="false">MIN(W63,Ordem!$L$11)</f>
        <v>0</v>
      </c>
      <c r="Y63" s="43" t="n">
        <f aca="false">MAX(0,MIN(W63-X63,$B63-(E63+I63+M63+Q63+U63)))</f>
        <v>0</v>
      </c>
      <c r="Z63" s="43" t="n">
        <f aca="false">MAX(0,W63-X63-Y63)</f>
        <v>0</v>
      </c>
      <c r="AA63" s="43" t="n">
        <f aca="false">IF(AD62&gt;0.005,AD62*(1+Ordem!$K$12),0)</f>
        <v>0</v>
      </c>
      <c r="AB63" s="43" t="n">
        <f aca="false">MIN(AA63,Ordem!$L$12)</f>
        <v>0</v>
      </c>
      <c r="AC63" s="43" t="n">
        <f aca="false">MAX(0,MIN(AA63-AB63,$B63-(E63+I63+M63+Q63+U63+Y63)))</f>
        <v>0</v>
      </c>
      <c r="AD63" s="43" t="n">
        <f aca="false">MAX(0,AA63-AB63-AC63)</f>
        <v>0</v>
      </c>
      <c r="AE63" s="43" t="n">
        <f aca="false">IF(AH62&gt;0.005,AH62*(1+Ordem!$K$13),0)</f>
        <v>0</v>
      </c>
      <c r="AF63" s="43" t="n">
        <f aca="false">MIN(AE63,Ordem!$L$13)</f>
        <v>0</v>
      </c>
      <c r="AG63" s="43" t="n">
        <f aca="false">MAX(0,MIN(AE63-AF63,$B63-(E63+I63+M63+Q63+U63+Y63+AC63)))</f>
        <v>0</v>
      </c>
      <c r="AH63" s="43" t="n">
        <f aca="false">MAX(0,AE63-AF63-AG63)</f>
        <v>0</v>
      </c>
      <c r="AI63" s="43" t="n">
        <f aca="false">IF(AL62&gt;0.005,AL62*(1+Ordem!$K$14),0)</f>
        <v>0</v>
      </c>
      <c r="AJ63" s="43" t="n">
        <f aca="false">MIN(AI63,Ordem!$L$14)</f>
        <v>0</v>
      </c>
      <c r="AK63" s="43" t="n">
        <f aca="false">MAX(0,MIN(AI63-AJ63,$B63-(E63+I63+M63+Q63+U63+Y63+AC63+AG63)))</f>
        <v>0</v>
      </c>
      <c r="AL63" s="43" t="n">
        <f aca="false">MAX(0,AI63-AJ63-AK63)</f>
        <v>0</v>
      </c>
      <c r="AM63" s="43" t="n">
        <f aca="false">IF(AP62&gt;0.005,AP62*(1+Ordem!$K$15),0)</f>
        <v>0</v>
      </c>
      <c r="AN63" s="43" t="n">
        <f aca="false">MIN(AM63,Ordem!$L$15)</f>
        <v>0</v>
      </c>
      <c r="AO63" s="43" t="n">
        <f aca="false">MAX(0,MIN(AM63-AN63,$B63-(E63+I63+M63+Q63+U63+Y63+AC63+AG63+AK63)))</f>
        <v>0</v>
      </c>
      <c r="AP63" s="43" t="n">
        <f aca="false">MAX(0,AM63-AN63-AO63)</f>
        <v>0</v>
      </c>
      <c r="AQ63" s="43" t="n">
        <f aca="false">F63+J63+N63+R63+V63+Z63+AD63+AH63+AL63+AP63</f>
        <v>0</v>
      </c>
      <c r="AR63" s="43" t="n">
        <f aca="false">D63+E63+H63+I63+L63+M63+P63+Q63+T63+U63+X63+Y63+AB63+AC63+AF63+AG63+AJ63+AK63+AN63+AO63</f>
        <v>0</v>
      </c>
    </row>
    <row r="64" customFormat="false" ht="15" hidden="false" customHeight="false" outlineLevel="0" collapsed="false">
      <c r="A64" s="0" t="n">
        <v>60</v>
      </c>
      <c r="B64" s="43" t="n">
        <f aca="false">MAX(0,Dívidas!$C$20-(D64+H64+L64+P64+T64+X64+AB64+AF64+AJ64+AN64))</f>
        <v>1450</v>
      </c>
      <c r="C64" s="43" t="n">
        <f aca="false">IF(F63&gt;0.005,F63*(1+Ordem!$K$6),0)</f>
        <v>0</v>
      </c>
      <c r="D64" s="43" t="n">
        <f aca="false">MIN(C64,Ordem!$L$6)</f>
        <v>0</v>
      </c>
      <c r="E64" s="43" t="n">
        <f aca="false">MAX(0,MIN(C64-D64,$B64-(0)))</f>
        <v>0</v>
      </c>
      <c r="F64" s="43" t="n">
        <f aca="false">MAX(0,C64-D64-E64)</f>
        <v>0</v>
      </c>
      <c r="G64" s="43" t="n">
        <f aca="false">IF(J63&gt;0.005,J63*(1+Ordem!$K$7),0)</f>
        <v>0</v>
      </c>
      <c r="H64" s="43" t="n">
        <f aca="false">MIN(G64,Ordem!$L$7)</f>
        <v>0</v>
      </c>
      <c r="I64" s="43" t="n">
        <f aca="false">MAX(0,MIN(G64-H64,$B64-(E64)))</f>
        <v>0</v>
      </c>
      <c r="J64" s="43" t="n">
        <f aca="false">MAX(0,G64-H64-I64)</f>
        <v>0</v>
      </c>
      <c r="K64" s="43" t="n">
        <f aca="false">IF(N63&gt;0.005,N63*(1+Ordem!$K$8),0)</f>
        <v>0</v>
      </c>
      <c r="L64" s="43" t="n">
        <f aca="false">MIN(K64,Ordem!$L$8)</f>
        <v>0</v>
      </c>
      <c r="M64" s="43" t="n">
        <f aca="false">MAX(0,MIN(K64-L64,$B64-(E64+I64)))</f>
        <v>0</v>
      </c>
      <c r="N64" s="43" t="n">
        <f aca="false">MAX(0,K64-L64-M64)</f>
        <v>0</v>
      </c>
      <c r="O64" s="43" t="n">
        <f aca="false">IF(R63&gt;0.005,R63*(1+Ordem!$K$9),0)</f>
        <v>0</v>
      </c>
      <c r="P64" s="43" t="n">
        <f aca="false">MIN(O64,Ordem!$L$9)</f>
        <v>0</v>
      </c>
      <c r="Q64" s="43" t="n">
        <f aca="false">MAX(0,MIN(O64-P64,$B64-(E64+I64+M64)))</f>
        <v>0</v>
      </c>
      <c r="R64" s="43" t="n">
        <f aca="false">MAX(0,O64-P64-Q64)</f>
        <v>0</v>
      </c>
      <c r="S64" s="43" t="n">
        <f aca="false">IF(V63&gt;0.005,V63*(1+Ordem!$K$10),0)</f>
        <v>0</v>
      </c>
      <c r="T64" s="43" t="n">
        <f aca="false">MIN(S64,Ordem!$L$10)</f>
        <v>0</v>
      </c>
      <c r="U64" s="43" t="n">
        <f aca="false">MAX(0,MIN(S64-T64,$B64-(E64+I64+M64+Q64)))</f>
        <v>0</v>
      </c>
      <c r="V64" s="43" t="n">
        <f aca="false">MAX(0,S64-T64-U64)</f>
        <v>0</v>
      </c>
      <c r="W64" s="43" t="n">
        <f aca="false">IF(Z63&gt;0.005,Z63*(1+Ordem!$K$11),0)</f>
        <v>0</v>
      </c>
      <c r="X64" s="43" t="n">
        <f aca="false">MIN(W64,Ordem!$L$11)</f>
        <v>0</v>
      </c>
      <c r="Y64" s="43" t="n">
        <f aca="false">MAX(0,MIN(W64-X64,$B64-(E64+I64+M64+Q64+U64)))</f>
        <v>0</v>
      </c>
      <c r="Z64" s="43" t="n">
        <f aca="false">MAX(0,W64-X64-Y64)</f>
        <v>0</v>
      </c>
      <c r="AA64" s="43" t="n">
        <f aca="false">IF(AD63&gt;0.005,AD63*(1+Ordem!$K$12),0)</f>
        <v>0</v>
      </c>
      <c r="AB64" s="43" t="n">
        <f aca="false">MIN(AA64,Ordem!$L$12)</f>
        <v>0</v>
      </c>
      <c r="AC64" s="43" t="n">
        <f aca="false">MAX(0,MIN(AA64-AB64,$B64-(E64+I64+M64+Q64+U64+Y64)))</f>
        <v>0</v>
      </c>
      <c r="AD64" s="43" t="n">
        <f aca="false">MAX(0,AA64-AB64-AC64)</f>
        <v>0</v>
      </c>
      <c r="AE64" s="43" t="n">
        <f aca="false">IF(AH63&gt;0.005,AH63*(1+Ordem!$K$13),0)</f>
        <v>0</v>
      </c>
      <c r="AF64" s="43" t="n">
        <f aca="false">MIN(AE64,Ordem!$L$13)</f>
        <v>0</v>
      </c>
      <c r="AG64" s="43" t="n">
        <f aca="false">MAX(0,MIN(AE64-AF64,$B64-(E64+I64+M64+Q64+U64+Y64+AC64)))</f>
        <v>0</v>
      </c>
      <c r="AH64" s="43" t="n">
        <f aca="false">MAX(0,AE64-AF64-AG64)</f>
        <v>0</v>
      </c>
      <c r="AI64" s="43" t="n">
        <f aca="false">IF(AL63&gt;0.005,AL63*(1+Ordem!$K$14),0)</f>
        <v>0</v>
      </c>
      <c r="AJ64" s="43" t="n">
        <f aca="false">MIN(AI64,Ordem!$L$14)</f>
        <v>0</v>
      </c>
      <c r="AK64" s="43" t="n">
        <f aca="false">MAX(0,MIN(AI64-AJ64,$B64-(E64+I64+M64+Q64+U64+Y64+AC64+AG64)))</f>
        <v>0</v>
      </c>
      <c r="AL64" s="43" t="n">
        <f aca="false">MAX(0,AI64-AJ64-AK64)</f>
        <v>0</v>
      </c>
      <c r="AM64" s="43" t="n">
        <f aca="false">IF(AP63&gt;0.005,AP63*(1+Ordem!$K$15),0)</f>
        <v>0</v>
      </c>
      <c r="AN64" s="43" t="n">
        <f aca="false">MIN(AM64,Ordem!$L$15)</f>
        <v>0</v>
      </c>
      <c r="AO64" s="43" t="n">
        <f aca="false">MAX(0,MIN(AM64-AN64,$B64-(E64+I64+M64+Q64+U64+Y64+AC64+AG64+AK64)))</f>
        <v>0</v>
      </c>
      <c r="AP64" s="43" t="n">
        <f aca="false">MAX(0,AM64-AN64-AO64)</f>
        <v>0</v>
      </c>
      <c r="AQ64" s="43" t="n">
        <f aca="false">F64+J64+N64+R64+V64+Z64+AD64+AH64+AL64+AP64</f>
        <v>0</v>
      </c>
      <c r="AR64" s="43" t="n">
        <f aca="false">D64+E64+H64+I64+L64+M64+P64+Q64+T64+U64+X64+Y64+AB64+AC64+AF64+AG64+AJ64+AK64+AN64+AO64</f>
        <v>0</v>
      </c>
    </row>
    <row r="65" customFormat="false" ht="15" hidden="false" customHeight="false" outlineLevel="0" collapsed="false">
      <c r="A65" s="0" t="n">
        <v>61</v>
      </c>
      <c r="B65" s="43" t="n">
        <f aca="false">MAX(0,Dívidas!$C$20-(D65+H65+L65+P65+T65+X65+AB65+AF65+AJ65+AN65))</f>
        <v>1450</v>
      </c>
      <c r="C65" s="43" t="n">
        <f aca="false">IF(F64&gt;0.005,F64*(1+Ordem!$K$6),0)</f>
        <v>0</v>
      </c>
      <c r="D65" s="43" t="n">
        <f aca="false">MIN(C65,Ordem!$L$6)</f>
        <v>0</v>
      </c>
      <c r="E65" s="43" t="n">
        <f aca="false">MAX(0,MIN(C65-D65,$B65-(0)))</f>
        <v>0</v>
      </c>
      <c r="F65" s="43" t="n">
        <f aca="false">MAX(0,C65-D65-E65)</f>
        <v>0</v>
      </c>
      <c r="G65" s="43" t="n">
        <f aca="false">IF(J64&gt;0.005,J64*(1+Ordem!$K$7),0)</f>
        <v>0</v>
      </c>
      <c r="H65" s="43" t="n">
        <f aca="false">MIN(G65,Ordem!$L$7)</f>
        <v>0</v>
      </c>
      <c r="I65" s="43" t="n">
        <f aca="false">MAX(0,MIN(G65-H65,$B65-(E65)))</f>
        <v>0</v>
      </c>
      <c r="J65" s="43" t="n">
        <f aca="false">MAX(0,G65-H65-I65)</f>
        <v>0</v>
      </c>
      <c r="K65" s="43" t="n">
        <f aca="false">IF(N64&gt;0.005,N64*(1+Ordem!$K$8),0)</f>
        <v>0</v>
      </c>
      <c r="L65" s="43" t="n">
        <f aca="false">MIN(K65,Ordem!$L$8)</f>
        <v>0</v>
      </c>
      <c r="M65" s="43" t="n">
        <f aca="false">MAX(0,MIN(K65-L65,$B65-(E65+I65)))</f>
        <v>0</v>
      </c>
      <c r="N65" s="43" t="n">
        <f aca="false">MAX(0,K65-L65-M65)</f>
        <v>0</v>
      </c>
      <c r="O65" s="43" t="n">
        <f aca="false">IF(R64&gt;0.005,R64*(1+Ordem!$K$9),0)</f>
        <v>0</v>
      </c>
      <c r="P65" s="43" t="n">
        <f aca="false">MIN(O65,Ordem!$L$9)</f>
        <v>0</v>
      </c>
      <c r="Q65" s="43" t="n">
        <f aca="false">MAX(0,MIN(O65-P65,$B65-(E65+I65+M65)))</f>
        <v>0</v>
      </c>
      <c r="R65" s="43" t="n">
        <f aca="false">MAX(0,O65-P65-Q65)</f>
        <v>0</v>
      </c>
      <c r="S65" s="43" t="n">
        <f aca="false">IF(V64&gt;0.005,V64*(1+Ordem!$K$10),0)</f>
        <v>0</v>
      </c>
      <c r="T65" s="43" t="n">
        <f aca="false">MIN(S65,Ordem!$L$10)</f>
        <v>0</v>
      </c>
      <c r="U65" s="43" t="n">
        <f aca="false">MAX(0,MIN(S65-T65,$B65-(E65+I65+M65+Q65)))</f>
        <v>0</v>
      </c>
      <c r="V65" s="43" t="n">
        <f aca="false">MAX(0,S65-T65-U65)</f>
        <v>0</v>
      </c>
      <c r="W65" s="43" t="n">
        <f aca="false">IF(Z64&gt;0.005,Z64*(1+Ordem!$K$11),0)</f>
        <v>0</v>
      </c>
      <c r="X65" s="43" t="n">
        <f aca="false">MIN(W65,Ordem!$L$11)</f>
        <v>0</v>
      </c>
      <c r="Y65" s="43" t="n">
        <f aca="false">MAX(0,MIN(W65-X65,$B65-(E65+I65+M65+Q65+U65)))</f>
        <v>0</v>
      </c>
      <c r="Z65" s="43" t="n">
        <f aca="false">MAX(0,W65-X65-Y65)</f>
        <v>0</v>
      </c>
      <c r="AA65" s="43" t="n">
        <f aca="false">IF(AD64&gt;0.005,AD64*(1+Ordem!$K$12),0)</f>
        <v>0</v>
      </c>
      <c r="AB65" s="43" t="n">
        <f aca="false">MIN(AA65,Ordem!$L$12)</f>
        <v>0</v>
      </c>
      <c r="AC65" s="43" t="n">
        <f aca="false">MAX(0,MIN(AA65-AB65,$B65-(E65+I65+M65+Q65+U65+Y65)))</f>
        <v>0</v>
      </c>
      <c r="AD65" s="43" t="n">
        <f aca="false">MAX(0,AA65-AB65-AC65)</f>
        <v>0</v>
      </c>
      <c r="AE65" s="43" t="n">
        <f aca="false">IF(AH64&gt;0.005,AH64*(1+Ordem!$K$13),0)</f>
        <v>0</v>
      </c>
      <c r="AF65" s="43" t="n">
        <f aca="false">MIN(AE65,Ordem!$L$13)</f>
        <v>0</v>
      </c>
      <c r="AG65" s="43" t="n">
        <f aca="false">MAX(0,MIN(AE65-AF65,$B65-(E65+I65+M65+Q65+U65+Y65+AC65)))</f>
        <v>0</v>
      </c>
      <c r="AH65" s="43" t="n">
        <f aca="false">MAX(0,AE65-AF65-AG65)</f>
        <v>0</v>
      </c>
      <c r="AI65" s="43" t="n">
        <f aca="false">IF(AL64&gt;0.005,AL64*(1+Ordem!$K$14),0)</f>
        <v>0</v>
      </c>
      <c r="AJ65" s="43" t="n">
        <f aca="false">MIN(AI65,Ordem!$L$14)</f>
        <v>0</v>
      </c>
      <c r="AK65" s="43" t="n">
        <f aca="false">MAX(0,MIN(AI65-AJ65,$B65-(E65+I65+M65+Q65+U65+Y65+AC65+AG65)))</f>
        <v>0</v>
      </c>
      <c r="AL65" s="43" t="n">
        <f aca="false">MAX(0,AI65-AJ65-AK65)</f>
        <v>0</v>
      </c>
      <c r="AM65" s="43" t="n">
        <f aca="false">IF(AP64&gt;0.005,AP64*(1+Ordem!$K$15),0)</f>
        <v>0</v>
      </c>
      <c r="AN65" s="43" t="n">
        <f aca="false">MIN(AM65,Ordem!$L$15)</f>
        <v>0</v>
      </c>
      <c r="AO65" s="43" t="n">
        <f aca="false">MAX(0,MIN(AM65-AN65,$B65-(E65+I65+M65+Q65+U65+Y65+AC65+AG65+AK65)))</f>
        <v>0</v>
      </c>
      <c r="AP65" s="43" t="n">
        <f aca="false">MAX(0,AM65-AN65-AO65)</f>
        <v>0</v>
      </c>
      <c r="AQ65" s="43" t="n">
        <f aca="false">F65+J65+N65+R65+V65+Z65+AD65+AH65+AL65+AP65</f>
        <v>0</v>
      </c>
      <c r="AR65" s="43" t="n">
        <f aca="false">D65+E65+H65+I65+L65+M65+P65+Q65+T65+U65+X65+Y65+AB65+AC65+AF65+AG65+AJ65+AK65+AN65+AO65</f>
        <v>0</v>
      </c>
    </row>
    <row r="66" customFormat="false" ht="15" hidden="false" customHeight="false" outlineLevel="0" collapsed="false">
      <c r="A66" s="0" t="n">
        <v>62</v>
      </c>
      <c r="B66" s="43" t="n">
        <f aca="false">MAX(0,Dívidas!$C$20-(D66+H66+L66+P66+T66+X66+AB66+AF66+AJ66+AN66))</f>
        <v>1450</v>
      </c>
      <c r="C66" s="43" t="n">
        <f aca="false">IF(F65&gt;0.005,F65*(1+Ordem!$K$6),0)</f>
        <v>0</v>
      </c>
      <c r="D66" s="43" t="n">
        <f aca="false">MIN(C66,Ordem!$L$6)</f>
        <v>0</v>
      </c>
      <c r="E66" s="43" t="n">
        <f aca="false">MAX(0,MIN(C66-D66,$B66-(0)))</f>
        <v>0</v>
      </c>
      <c r="F66" s="43" t="n">
        <f aca="false">MAX(0,C66-D66-E66)</f>
        <v>0</v>
      </c>
      <c r="G66" s="43" t="n">
        <f aca="false">IF(J65&gt;0.005,J65*(1+Ordem!$K$7),0)</f>
        <v>0</v>
      </c>
      <c r="H66" s="43" t="n">
        <f aca="false">MIN(G66,Ordem!$L$7)</f>
        <v>0</v>
      </c>
      <c r="I66" s="43" t="n">
        <f aca="false">MAX(0,MIN(G66-H66,$B66-(E66)))</f>
        <v>0</v>
      </c>
      <c r="J66" s="43" t="n">
        <f aca="false">MAX(0,G66-H66-I66)</f>
        <v>0</v>
      </c>
      <c r="K66" s="43" t="n">
        <f aca="false">IF(N65&gt;0.005,N65*(1+Ordem!$K$8),0)</f>
        <v>0</v>
      </c>
      <c r="L66" s="43" t="n">
        <f aca="false">MIN(K66,Ordem!$L$8)</f>
        <v>0</v>
      </c>
      <c r="M66" s="43" t="n">
        <f aca="false">MAX(0,MIN(K66-L66,$B66-(E66+I66)))</f>
        <v>0</v>
      </c>
      <c r="N66" s="43" t="n">
        <f aca="false">MAX(0,K66-L66-M66)</f>
        <v>0</v>
      </c>
      <c r="O66" s="43" t="n">
        <f aca="false">IF(R65&gt;0.005,R65*(1+Ordem!$K$9),0)</f>
        <v>0</v>
      </c>
      <c r="P66" s="43" t="n">
        <f aca="false">MIN(O66,Ordem!$L$9)</f>
        <v>0</v>
      </c>
      <c r="Q66" s="43" t="n">
        <f aca="false">MAX(0,MIN(O66-P66,$B66-(E66+I66+M66)))</f>
        <v>0</v>
      </c>
      <c r="R66" s="43" t="n">
        <f aca="false">MAX(0,O66-P66-Q66)</f>
        <v>0</v>
      </c>
      <c r="S66" s="43" t="n">
        <f aca="false">IF(V65&gt;0.005,V65*(1+Ordem!$K$10),0)</f>
        <v>0</v>
      </c>
      <c r="T66" s="43" t="n">
        <f aca="false">MIN(S66,Ordem!$L$10)</f>
        <v>0</v>
      </c>
      <c r="U66" s="43" t="n">
        <f aca="false">MAX(0,MIN(S66-T66,$B66-(E66+I66+M66+Q66)))</f>
        <v>0</v>
      </c>
      <c r="V66" s="43" t="n">
        <f aca="false">MAX(0,S66-T66-U66)</f>
        <v>0</v>
      </c>
      <c r="W66" s="43" t="n">
        <f aca="false">IF(Z65&gt;0.005,Z65*(1+Ordem!$K$11),0)</f>
        <v>0</v>
      </c>
      <c r="X66" s="43" t="n">
        <f aca="false">MIN(W66,Ordem!$L$11)</f>
        <v>0</v>
      </c>
      <c r="Y66" s="43" t="n">
        <f aca="false">MAX(0,MIN(W66-X66,$B66-(E66+I66+M66+Q66+U66)))</f>
        <v>0</v>
      </c>
      <c r="Z66" s="43" t="n">
        <f aca="false">MAX(0,W66-X66-Y66)</f>
        <v>0</v>
      </c>
      <c r="AA66" s="43" t="n">
        <f aca="false">IF(AD65&gt;0.005,AD65*(1+Ordem!$K$12),0)</f>
        <v>0</v>
      </c>
      <c r="AB66" s="43" t="n">
        <f aca="false">MIN(AA66,Ordem!$L$12)</f>
        <v>0</v>
      </c>
      <c r="AC66" s="43" t="n">
        <f aca="false">MAX(0,MIN(AA66-AB66,$B66-(E66+I66+M66+Q66+U66+Y66)))</f>
        <v>0</v>
      </c>
      <c r="AD66" s="43" t="n">
        <f aca="false">MAX(0,AA66-AB66-AC66)</f>
        <v>0</v>
      </c>
      <c r="AE66" s="43" t="n">
        <f aca="false">IF(AH65&gt;0.005,AH65*(1+Ordem!$K$13),0)</f>
        <v>0</v>
      </c>
      <c r="AF66" s="43" t="n">
        <f aca="false">MIN(AE66,Ordem!$L$13)</f>
        <v>0</v>
      </c>
      <c r="AG66" s="43" t="n">
        <f aca="false">MAX(0,MIN(AE66-AF66,$B66-(E66+I66+M66+Q66+U66+Y66+AC66)))</f>
        <v>0</v>
      </c>
      <c r="AH66" s="43" t="n">
        <f aca="false">MAX(0,AE66-AF66-AG66)</f>
        <v>0</v>
      </c>
      <c r="AI66" s="43" t="n">
        <f aca="false">IF(AL65&gt;0.005,AL65*(1+Ordem!$K$14),0)</f>
        <v>0</v>
      </c>
      <c r="AJ66" s="43" t="n">
        <f aca="false">MIN(AI66,Ordem!$L$14)</f>
        <v>0</v>
      </c>
      <c r="AK66" s="43" t="n">
        <f aca="false">MAX(0,MIN(AI66-AJ66,$B66-(E66+I66+M66+Q66+U66+Y66+AC66+AG66)))</f>
        <v>0</v>
      </c>
      <c r="AL66" s="43" t="n">
        <f aca="false">MAX(0,AI66-AJ66-AK66)</f>
        <v>0</v>
      </c>
      <c r="AM66" s="43" t="n">
        <f aca="false">IF(AP65&gt;0.005,AP65*(1+Ordem!$K$15),0)</f>
        <v>0</v>
      </c>
      <c r="AN66" s="43" t="n">
        <f aca="false">MIN(AM66,Ordem!$L$15)</f>
        <v>0</v>
      </c>
      <c r="AO66" s="43" t="n">
        <f aca="false">MAX(0,MIN(AM66-AN66,$B66-(E66+I66+M66+Q66+U66+Y66+AC66+AG66+AK66)))</f>
        <v>0</v>
      </c>
      <c r="AP66" s="43" t="n">
        <f aca="false">MAX(0,AM66-AN66-AO66)</f>
        <v>0</v>
      </c>
      <c r="AQ66" s="43" t="n">
        <f aca="false">F66+J66+N66+R66+V66+Z66+AD66+AH66+AL66+AP66</f>
        <v>0</v>
      </c>
      <c r="AR66" s="43" t="n">
        <f aca="false">D66+E66+H66+I66+L66+M66+P66+Q66+T66+U66+X66+Y66+AB66+AC66+AF66+AG66+AJ66+AK66+AN66+AO66</f>
        <v>0</v>
      </c>
    </row>
    <row r="67" customFormat="false" ht="15" hidden="false" customHeight="false" outlineLevel="0" collapsed="false">
      <c r="A67" s="0" t="n">
        <v>63</v>
      </c>
      <c r="B67" s="43" t="n">
        <f aca="false">MAX(0,Dívidas!$C$20-(D67+H67+L67+P67+T67+X67+AB67+AF67+AJ67+AN67))</f>
        <v>1450</v>
      </c>
      <c r="C67" s="43" t="n">
        <f aca="false">IF(F66&gt;0.005,F66*(1+Ordem!$K$6),0)</f>
        <v>0</v>
      </c>
      <c r="D67" s="43" t="n">
        <f aca="false">MIN(C67,Ordem!$L$6)</f>
        <v>0</v>
      </c>
      <c r="E67" s="43" t="n">
        <f aca="false">MAX(0,MIN(C67-D67,$B67-(0)))</f>
        <v>0</v>
      </c>
      <c r="F67" s="43" t="n">
        <f aca="false">MAX(0,C67-D67-E67)</f>
        <v>0</v>
      </c>
      <c r="G67" s="43" t="n">
        <f aca="false">IF(J66&gt;0.005,J66*(1+Ordem!$K$7),0)</f>
        <v>0</v>
      </c>
      <c r="H67" s="43" t="n">
        <f aca="false">MIN(G67,Ordem!$L$7)</f>
        <v>0</v>
      </c>
      <c r="I67" s="43" t="n">
        <f aca="false">MAX(0,MIN(G67-H67,$B67-(E67)))</f>
        <v>0</v>
      </c>
      <c r="J67" s="43" t="n">
        <f aca="false">MAX(0,G67-H67-I67)</f>
        <v>0</v>
      </c>
      <c r="K67" s="43" t="n">
        <f aca="false">IF(N66&gt;0.005,N66*(1+Ordem!$K$8),0)</f>
        <v>0</v>
      </c>
      <c r="L67" s="43" t="n">
        <f aca="false">MIN(K67,Ordem!$L$8)</f>
        <v>0</v>
      </c>
      <c r="M67" s="43" t="n">
        <f aca="false">MAX(0,MIN(K67-L67,$B67-(E67+I67)))</f>
        <v>0</v>
      </c>
      <c r="N67" s="43" t="n">
        <f aca="false">MAX(0,K67-L67-M67)</f>
        <v>0</v>
      </c>
      <c r="O67" s="43" t="n">
        <f aca="false">IF(R66&gt;0.005,R66*(1+Ordem!$K$9),0)</f>
        <v>0</v>
      </c>
      <c r="P67" s="43" t="n">
        <f aca="false">MIN(O67,Ordem!$L$9)</f>
        <v>0</v>
      </c>
      <c r="Q67" s="43" t="n">
        <f aca="false">MAX(0,MIN(O67-P67,$B67-(E67+I67+M67)))</f>
        <v>0</v>
      </c>
      <c r="R67" s="43" t="n">
        <f aca="false">MAX(0,O67-P67-Q67)</f>
        <v>0</v>
      </c>
      <c r="S67" s="43" t="n">
        <f aca="false">IF(V66&gt;0.005,V66*(1+Ordem!$K$10),0)</f>
        <v>0</v>
      </c>
      <c r="T67" s="43" t="n">
        <f aca="false">MIN(S67,Ordem!$L$10)</f>
        <v>0</v>
      </c>
      <c r="U67" s="43" t="n">
        <f aca="false">MAX(0,MIN(S67-T67,$B67-(E67+I67+M67+Q67)))</f>
        <v>0</v>
      </c>
      <c r="V67" s="43" t="n">
        <f aca="false">MAX(0,S67-T67-U67)</f>
        <v>0</v>
      </c>
      <c r="W67" s="43" t="n">
        <f aca="false">IF(Z66&gt;0.005,Z66*(1+Ordem!$K$11),0)</f>
        <v>0</v>
      </c>
      <c r="X67" s="43" t="n">
        <f aca="false">MIN(W67,Ordem!$L$11)</f>
        <v>0</v>
      </c>
      <c r="Y67" s="43" t="n">
        <f aca="false">MAX(0,MIN(W67-X67,$B67-(E67+I67+M67+Q67+U67)))</f>
        <v>0</v>
      </c>
      <c r="Z67" s="43" t="n">
        <f aca="false">MAX(0,W67-X67-Y67)</f>
        <v>0</v>
      </c>
      <c r="AA67" s="43" t="n">
        <f aca="false">IF(AD66&gt;0.005,AD66*(1+Ordem!$K$12),0)</f>
        <v>0</v>
      </c>
      <c r="AB67" s="43" t="n">
        <f aca="false">MIN(AA67,Ordem!$L$12)</f>
        <v>0</v>
      </c>
      <c r="AC67" s="43" t="n">
        <f aca="false">MAX(0,MIN(AA67-AB67,$B67-(E67+I67+M67+Q67+U67+Y67)))</f>
        <v>0</v>
      </c>
      <c r="AD67" s="43" t="n">
        <f aca="false">MAX(0,AA67-AB67-AC67)</f>
        <v>0</v>
      </c>
      <c r="AE67" s="43" t="n">
        <f aca="false">IF(AH66&gt;0.005,AH66*(1+Ordem!$K$13),0)</f>
        <v>0</v>
      </c>
      <c r="AF67" s="43" t="n">
        <f aca="false">MIN(AE67,Ordem!$L$13)</f>
        <v>0</v>
      </c>
      <c r="AG67" s="43" t="n">
        <f aca="false">MAX(0,MIN(AE67-AF67,$B67-(E67+I67+M67+Q67+U67+Y67+AC67)))</f>
        <v>0</v>
      </c>
      <c r="AH67" s="43" t="n">
        <f aca="false">MAX(0,AE67-AF67-AG67)</f>
        <v>0</v>
      </c>
      <c r="AI67" s="43" t="n">
        <f aca="false">IF(AL66&gt;0.005,AL66*(1+Ordem!$K$14),0)</f>
        <v>0</v>
      </c>
      <c r="AJ67" s="43" t="n">
        <f aca="false">MIN(AI67,Ordem!$L$14)</f>
        <v>0</v>
      </c>
      <c r="AK67" s="43" t="n">
        <f aca="false">MAX(0,MIN(AI67-AJ67,$B67-(E67+I67+M67+Q67+U67+Y67+AC67+AG67)))</f>
        <v>0</v>
      </c>
      <c r="AL67" s="43" t="n">
        <f aca="false">MAX(0,AI67-AJ67-AK67)</f>
        <v>0</v>
      </c>
      <c r="AM67" s="43" t="n">
        <f aca="false">IF(AP66&gt;0.005,AP66*(1+Ordem!$K$15),0)</f>
        <v>0</v>
      </c>
      <c r="AN67" s="43" t="n">
        <f aca="false">MIN(AM67,Ordem!$L$15)</f>
        <v>0</v>
      </c>
      <c r="AO67" s="43" t="n">
        <f aca="false">MAX(0,MIN(AM67-AN67,$B67-(E67+I67+M67+Q67+U67+Y67+AC67+AG67+AK67)))</f>
        <v>0</v>
      </c>
      <c r="AP67" s="43" t="n">
        <f aca="false">MAX(0,AM67-AN67-AO67)</f>
        <v>0</v>
      </c>
      <c r="AQ67" s="43" t="n">
        <f aca="false">F67+J67+N67+R67+V67+Z67+AD67+AH67+AL67+AP67</f>
        <v>0</v>
      </c>
      <c r="AR67" s="43" t="n">
        <f aca="false">D67+E67+H67+I67+L67+M67+P67+Q67+T67+U67+X67+Y67+AB67+AC67+AF67+AG67+AJ67+AK67+AN67+AO67</f>
        <v>0</v>
      </c>
    </row>
    <row r="68" customFormat="false" ht="15" hidden="false" customHeight="false" outlineLevel="0" collapsed="false">
      <c r="A68" s="0" t="n">
        <v>64</v>
      </c>
      <c r="B68" s="43" t="n">
        <f aca="false">MAX(0,Dívidas!$C$20-(D68+H68+L68+P68+T68+X68+AB68+AF68+AJ68+AN68))</f>
        <v>1450</v>
      </c>
      <c r="C68" s="43" t="n">
        <f aca="false">IF(F67&gt;0.005,F67*(1+Ordem!$K$6),0)</f>
        <v>0</v>
      </c>
      <c r="D68" s="43" t="n">
        <f aca="false">MIN(C68,Ordem!$L$6)</f>
        <v>0</v>
      </c>
      <c r="E68" s="43" t="n">
        <f aca="false">MAX(0,MIN(C68-D68,$B68-(0)))</f>
        <v>0</v>
      </c>
      <c r="F68" s="43" t="n">
        <f aca="false">MAX(0,C68-D68-E68)</f>
        <v>0</v>
      </c>
      <c r="G68" s="43" t="n">
        <f aca="false">IF(J67&gt;0.005,J67*(1+Ordem!$K$7),0)</f>
        <v>0</v>
      </c>
      <c r="H68" s="43" t="n">
        <f aca="false">MIN(G68,Ordem!$L$7)</f>
        <v>0</v>
      </c>
      <c r="I68" s="43" t="n">
        <f aca="false">MAX(0,MIN(G68-H68,$B68-(E68)))</f>
        <v>0</v>
      </c>
      <c r="J68" s="43" t="n">
        <f aca="false">MAX(0,G68-H68-I68)</f>
        <v>0</v>
      </c>
      <c r="K68" s="43" t="n">
        <f aca="false">IF(N67&gt;0.005,N67*(1+Ordem!$K$8),0)</f>
        <v>0</v>
      </c>
      <c r="L68" s="43" t="n">
        <f aca="false">MIN(K68,Ordem!$L$8)</f>
        <v>0</v>
      </c>
      <c r="M68" s="43" t="n">
        <f aca="false">MAX(0,MIN(K68-L68,$B68-(E68+I68)))</f>
        <v>0</v>
      </c>
      <c r="N68" s="43" t="n">
        <f aca="false">MAX(0,K68-L68-M68)</f>
        <v>0</v>
      </c>
      <c r="O68" s="43" t="n">
        <f aca="false">IF(R67&gt;0.005,R67*(1+Ordem!$K$9),0)</f>
        <v>0</v>
      </c>
      <c r="P68" s="43" t="n">
        <f aca="false">MIN(O68,Ordem!$L$9)</f>
        <v>0</v>
      </c>
      <c r="Q68" s="43" t="n">
        <f aca="false">MAX(0,MIN(O68-P68,$B68-(E68+I68+M68)))</f>
        <v>0</v>
      </c>
      <c r="R68" s="43" t="n">
        <f aca="false">MAX(0,O68-P68-Q68)</f>
        <v>0</v>
      </c>
      <c r="S68" s="43" t="n">
        <f aca="false">IF(V67&gt;0.005,V67*(1+Ordem!$K$10),0)</f>
        <v>0</v>
      </c>
      <c r="T68" s="43" t="n">
        <f aca="false">MIN(S68,Ordem!$L$10)</f>
        <v>0</v>
      </c>
      <c r="U68" s="43" t="n">
        <f aca="false">MAX(0,MIN(S68-T68,$B68-(E68+I68+M68+Q68)))</f>
        <v>0</v>
      </c>
      <c r="V68" s="43" t="n">
        <f aca="false">MAX(0,S68-T68-U68)</f>
        <v>0</v>
      </c>
      <c r="W68" s="43" t="n">
        <f aca="false">IF(Z67&gt;0.005,Z67*(1+Ordem!$K$11),0)</f>
        <v>0</v>
      </c>
      <c r="X68" s="43" t="n">
        <f aca="false">MIN(W68,Ordem!$L$11)</f>
        <v>0</v>
      </c>
      <c r="Y68" s="43" t="n">
        <f aca="false">MAX(0,MIN(W68-X68,$B68-(E68+I68+M68+Q68+U68)))</f>
        <v>0</v>
      </c>
      <c r="Z68" s="43" t="n">
        <f aca="false">MAX(0,W68-X68-Y68)</f>
        <v>0</v>
      </c>
      <c r="AA68" s="43" t="n">
        <f aca="false">IF(AD67&gt;0.005,AD67*(1+Ordem!$K$12),0)</f>
        <v>0</v>
      </c>
      <c r="AB68" s="43" t="n">
        <f aca="false">MIN(AA68,Ordem!$L$12)</f>
        <v>0</v>
      </c>
      <c r="AC68" s="43" t="n">
        <f aca="false">MAX(0,MIN(AA68-AB68,$B68-(E68+I68+M68+Q68+U68+Y68)))</f>
        <v>0</v>
      </c>
      <c r="AD68" s="43" t="n">
        <f aca="false">MAX(0,AA68-AB68-AC68)</f>
        <v>0</v>
      </c>
      <c r="AE68" s="43" t="n">
        <f aca="false">IF(AH67&gt;0.005,AH67*(1+Ordem!$K$13),0)</f>
        <v>0</v>
      </c>
      <c r="AF68" s="43" t="n">
        <f aca="false">MIN(AE68,Ordem!$L$13)</f>
        <v>0</v>
      </c>
      <c r="AG68" s="43" t="n">
        <f aca="false">MAX(0,MIN(AE68-AF68,$B68-(E68+I68+M68+Q68+U68+Y68+AC68)))</f>
        <v>0</v>
      </c>
      <c r="AH68" s="43" t="n">
        <f aca="false">MAX(0,AE68-AF68-AG68)</f>
        <v>0</v>
      </c>
      <c r="AI68" s="43" t="n">
        <f aca="false">IF(AL67&gt;0.005,AL67*(1+Ordem!$K$14),0)</f>
        <v>0</v>
      </c>
      <c r="AJ68" s="43" t="n">
        <f aca="false">MIN(AI68,Ordem!$L$14)</f>
        <v>0</v>
      </c>
      <c r="AK68" s="43" t="n">
        <f aca="false">MAX(0,MIN(AI68-AJ68,$B68-(E68+I68+M68+Q68+U68+Y68+AC68+AG68)))</f>
        <v>0</v>
      </c>
      <c r="AL68" s="43" t="n">
        <f aca="false">MAX(0,AI68-AJ68-AK68)</f>
        <v>0</v>
      </c>
      <c r="AM68" s="43" t="n">
        <f aca="false">IF(AP67&gt;0.005,AP67*(1+Ordem!$K$15),0)</f>
        <v>0</v>
      </c>
      <c r="AN68" s="43" t="n">
        <f aca="false">MIN(AM68,Ordem!$L$15)</f>
        <v>0</v>
      </c>
      <c r="AO68" s="43" t="n">
        <f aca="false">MAX(0,MIN(AM68-AN68,$B68-(E68+I68+M68+Q68+U68+Y68+AC68+AG68+AK68)))</f>
        <v>0</v>
      </c>
      <c r="AP68" s="43" t="n">
        <f aca="false">MAX(0,AM68-AN68-AO68)</f>
        <v>0</v>
      </c>
      <c r="AQ68" s="43" t="n">
        <f aca="false">F68+J68+N68+R68+V68+Z68+AD68+AH68+AL68+AP68</f>
        <v>0</v>
      </c>
      <c r="AR68" s="43" t="n">
        <f aca="false">D68+E68+H68+I68+L68+M68+P68+Q68+T68+U68+X68+Y68+AB68+AC68+AF68+AG68+AJ68+AK68+AN68+AO68</f>
        <v>0</v>
      </c>
    </row>
    <row r="69" customFormat="false" ht="15" hidden="false" customHeight="false" outlineLevel="0" collapsed="false">
      <c r="A69" s="0" t="n">
        <v>65</v>
      </c>
      <c r="B69" s="43" t="n">
        <f aca="false">MAX(0,Dívidas!$C$20-(D69+H69+L69+P69+T69+X69+AB69+AF69+AJ69+AN69))</f>
        <v>1450</v>
      </c>
      <c r="C69" s="43" t="n">
        <f aca="false">IF(F68&gt;0.005,F68*(1+Ordem!$K$6),0)</f>
        <v>0</v>
      </c>
      <c r="D69" s="43" t="n">
        <f aca="false">MIN(C69,Ordem!$L$6)</f>
        <v>0</v>
      </c>
      <c r="E69" s="43" t="n">
        <f aca="false">MAX(0,MIN(C69-D69,$B69-(0)))</f>
        <v>0</v>
      </c>
      <c r="F69" s="43" t="n">
        <f aca="false">MAX(0,C69-D69-E69)</f>
        <v>0</v>
      </c>
      <c r="G69" s="43" t="n">
        <f aca="false">IF(J68&gt;0.005,J68*(1+Ordem!$K$7),0)</f>
        <v>0</v>
      </c>
      <c r="H69" s="43" t="n">
        <f aca="false">MIN(G69,Ordem!$L$7)</f>
        <v>0</v>
      </c>
      <c r="I69" s="43" t="n">
        <f aca="false">MAX(0,MIN(G69-H69,$B69-(E69)))</f>
        <v>0</v>
      </c>
      <c r="J69" s="43" t="n">
        <f aca="false">MAX(0,G69-H69-I69)</f>
        <v>0</v>
      </c>
      <c r="K69" s="43" t="n">
        <f aca="false">IF(N68&gt;0.005,N68*(1+Ordem!$K$8),0)</f>
        <v>0</v>
      </c>
      <c r="L69" s="43" t="n">
        <f aca="false">MIN(K69,Ordem!$L$8)</f>
        <v>0</v>
      </c>
      <c r="M69" s="43" t="n">
        <f aca="false">MAX(0,MIN(K69-L69,$B69-(E69+I69)))</f>
        <v>0</v>
      </c>
      <c r="N69" s="43" t="n">
        <f aca="false">MAX(0,K69-L69-M69)</f>
        <v>0</v>
      </c>
      <c r="O69" s="43" t="n">
        <f aca="false">IF(R68&gt;0.005,R68*(1+Ordem!$K$9),0)</f>
        <v>0</v>
      </c>
      <c r="P69" s="43" t="n">
        <f aca="false">MIN(O69,Ordem!$L$9)</f>
        <v>0</v>
      </c>
      <c r="Q69" s="43" t="n">
        <f aca="false">MAX(0,MIN(O69-P69,$B69-(E69+I69+M69)))</f>
        <v>0</v>
      </c>
      <c r="R69" s="43" t="n">
        <f aca="false">MAX(0,O69-P69-Q69)</f>
        <v>0</v>
      </c>
      <c r="S69" s="43" t="n">
        <f aca="false">IF(V68&gt;0.005,V68*(1+Ordem!$K$10),0)</f>
        <v>0</v>
      </c>
      <c r="T69" s="43" t="n">
        <f aca="false">MIN(S69,Ordem!$L$10)</f>
        <v>0</v>
      </c>
      <c r="U69" s="43" t="n">
        <f aca="false">MAX(0,MIN(S69-T69,$B69-(E69+I69+M69+Q69)))</f>
        <v>0</v>
      </c>
      <c r="V69" s="43" t="n">
        <f aca="false">MAX(0,S69-T69-U69)</f>
        <v>0</v>
      </c>
      <c r="W69" s="43" t="n">
        <f aca="false">IF(Z68&gt;0.005,Z68*(1+Ordem!$K$11),0)</f>
        <v>0</v>
      </c>
      <c r="X69" s="43" t="n">
        <f aca="false">MIN(W69,Ordem!$L$11)</f>
        <v>0</v>
      </c>
      <c r="Y69" s="43" t="n">
        <f aca="false">MAX(0,MIN(W69-X69,$B69-(E69+I69+M69+Q69+U69)))</f>
        <v>0</v>
      </c>
      <c r="Z69" s="43" t="n">
        <f aca="false">MAX(0,W69-X69-Y69)</f>
        <v>0</v>
      </c>
      <c r="AA69" s="43" t="n">
        <f aca="false">IF(AD68&gt;0.005,AD68*(1+Ordem!$K$12),0)</f>
        <v>0</v>
      </c>
      <c r="AB69" s="43" t="n">
        <f aca="false">MIN(AA69,Ordem!$L$12)</f>
        <v>0</v>
      </c>
      <c r="AC69" s="43" t="n">
        <f aca="false">MAX(0,MIN(AA69-AB69,$B69-(E69+I69+M69+Q69+U69+Y69)))</f>
        <v>0</v>
      </c>
      <c r="AD69" s="43" t="n">
        <f aca="false">MAX(0,AA69-AB69-AC69)</f>
        <v>0</v>
      </c>
      <c r="AE69" s="43" t="n">
        <f aca="false">IF(AH68&gt;0.005,AH68*(1+Ordem!$K$13),0)</f>
        <v>0</v>
      </c>
      <c r="AF69" s="43" t="n">
        <f aca="false">MIN(AE69,Ordem!$L$13)</f>
        <v>0</v>
      </c>
      <c r="AG69" s="43" t="n">
        <f aca="false">MAX(0,MIN(AE69-AF69,$B69-(E69+I69+M69+Q69+U69+Y69+AC69)))</f>
        <v>0</v>
      </c>
      <c r="AH69" s="43" t="n">
        <f aca="false">MAX(0,AE69-AF69-AG69)</f>
        <v>0</v>
      </c>
      <c r="AI69" s="43" t="n">
        <f aca="false">IF(AL68&gt;0.005,AL68*(1+Ordem!$K$14),0)</f>
        <v>0</v>
      </c>
      <c r="AJ69" s="43" t="n">
        <f aca="false">MIN(AI69,Ordem!$L$14)</f>
        <v>0</v>
      </c>
      <c r="AK69" s="43" t="n">
        <f aca="false">MAX(0,MIN(AI69-AJ69,$B69-(E69+I69+M69+Q69+U69+Y69+AC69+AG69)))</f>
        <v>0</v>
      </c>
      <c r="AL69" s="43" t="n">
        <f aca="false">MAX(0,AI69-AJ69-AK69)</f>
        <v>0</v>
      </c>
      <c r="AM69" s="43" t="n">
        <f aca="false">IF(AP68&gt;0.005,AP68*(1+Ordem!$K$15),0)</f>
        <v>0</v>
      </c>
      <c r="AN69" s="43" t="n">
        <f aca="false">MIN(AM69,Ordem!$L$15)</f>
        <v>0</v>
      </c>
      <c r="AO69" s="43" t="n">
        <f aca="false">MAX(0,MIN(AM69-AN69,$B69-(E69+I69+M69+Q69+U69+Y69+AC69+AG69+AK69)))</f>
        <v>0</v>
      </c>
      <c r="AP69" s="43" t="n">
        <f aca="false">MAX(0,AM69-AN69-AO69)</f>
        <v>0</v>
      </c>
      <c r="AQ69" s="43" t="n">
        <f aca="false">F69+J69+N69+R69+V69+Z69+AD69+AH69+AL69+AP69</f>
        <v>0</v>
      </c>
      <c r="AR69" s="43" t="n">
        <f aca="false">D69+E69+H69+I69+L69+M69+P69+Q69+T69+U69+X69+Y69+AB69+AC69+AF69+AG69+AJ69+AK69+AN69+AO69</f>
        <v>0</v>
      </c>
    </row>
    <row r="70" customFormat="false" ht="15" hidden="false" customHeight="false" outlineLevel="0" collapsed="false">
      <c r="A70" s="0" t="n">
        <v>66</v>
      </c>
      <c r="B70" s="43" t="n">
        <f aca="false">MAX(0,Dívidas!$C$20-(D70+H70+L70+P70+T70+X70+AB70+AF70+AJ70+AN70))</f>
        <v>1450</v>
      </c>
      <c r="C70" s="43" t="n">
        <f aca="false">IF(F69&gt;0.005,F69*(1+Ordem!$K$6),0)</f>
        <v>0</v>
      </c>
      <c r="D70" s="43" t="n">
        <f aca="false">MIN(C70,Ordem!$L$6)</f>
        <v>0</v>
      </c>
      <c r="E70" s="43" t="n">
        <f aca="false">MAX(0,MIN(C70-D70,$B70-(0)))</f>
        <v>0</v>
      </c>
      <c r="F70" s="43" t="n">
        <f aca="false">MAX(0,C70-D70-E70)</f>
        <v>0</v>
      </c>
      <c r="G70" s="43" t="n">
        <f aca="false">IF(J69&gt;0.005,J69*(1+Ordem!$K$7),0)</f>
        <v>0</v>
      </c>
      <c r="H70" s="43" t="n">
        <f aca="false">MIN(G70,Ordem!$L$7)</f>
        <v>0</v>
      </c>
      <c r="I70" s="43" t="n">
        <f aca="false">MAX(0,MIN(G70-H70,$B70-(E70)))</f>
        <v>0</v>
      </c>
      <c r="J70" s="43" t="n">
        <f aca="false">MAX(0,G70-H70-I70)</f>
        <v>0</v>
      </c>
      <c r="K70" s="43" t="n">
        <f aca="false">IF(N69&gt;0.005,N69*(1+Ordem!$K$8),0)</f>
        <v>0</v>
      </c>
      <c r="L70" s="43" t="n">
        <f aca="false">MIN(K70,Ordem!$L$8)</f>
        <v>0</v>
      </c>
      <c r="M70" s="43" t="n">
        <f aca="false">MAX(0,MIN(K70-L70,$B70-(E70+I70)))</f>
        <v>0</v>
      </c>
      <c r="N70" s="43" t="n">
        <f aca="false">MAX(0,K70-L70-M70)</f>
        <v>0</v>
      </c>
      <c r="O70" s="43" t="n">
        <f aca="false">IF(R69&gt;0.005,R69*(1+Ordem!$K$9),0)</f>
        <v>0</v>
      </c>
      <c r="P70" s="43" t="n">
        <f aca="false">MIN(O70,Ordem!$L$9)</f>
        <v>0</v>
      </c>
      <c r="Q70" s="43" t="n">
        <f aca="false">MAX(0,MIN(O70-P70,$B70-(E70+I70+M70)))</f>
        <v>0</v>
      </c>
      <c r="R70" s="43" t="n">
        <f aca="false">MAX(0,O70-P70-Q70)</f>
        <v>0</v>
      </c>
      <c r="S70" s="43" t="n">
        <f aca="false">IF(V69&gt;0.005,V69*(1+Ordem!$K$10),0)</f>
        <v>0</v>
      </c>
      <c r="T70" s="43" t="n">
        <f aca="false">MIN(S70,Ordem!$L$10)</f>
        <v>0</v>
      </c>
      <c r="U70" s="43" t="n">
        <f aca="false">MAX(0,MIN(S70-T70,$B70-(E70+I70+M70+Q70)))</f>
        <v>0</v>
      </c>
      <c r="V70" s="43" t="n">
        <f aca="false">MAX(0,S70-T70-U70)</f>
        <v>0</v>
      </c>
      <c r="W70" s="43" t="n">
        <f aca="false">IF(Z69&gt;0.005,Z69*(1+Ordem!$K$11),0)</f>
        <v>0</v>
      </c>
      <c r="X70" s="43" t="n">
        <f aca="false">MIN(W70,Ordem!$L$11)</f>
        <v>0</v>
      </c>
      <c r="Y70" s="43" t="n">
        <f aca="false">MAX(0,MIN(W70-X70,$B70-(E70+I70+M70+Q70+U70)))</f>
        <v>0</v>
      </c>
      <c r="Z70" s="43" t="n">
        <f aca="false">MAX(0,W70-X70-Y70)</f>
        <v>0</v>
      </c>
      <c r="AA70" s="43" t="n">
        <f aca="false">IF(AD69&gt;0.005,AD69*(1+Ordem!$K$12),0)</f>
        <v>0</v>
      </c>
      <c r="AB70" s="43" t="n">
        <f aca="false">MIN(AA70,Ordem!$L$12)</f>
        <v>0</v>
      </c>
      <c r="AC70" s="43" t="n">
        <f aca="false">MAX(0,MIN(AA70-AB70,$B70-(E70+I70+M70+Q70+U70+Y70)))</f>
        <v>0</v>
      </c>
      <c r="AD70" s="43" t="n">
        <f aca="false">MAX(0,AA70-AB70-AC70)</f>
        <v>0</v>
      </c>
      <c r="AE70" s="43" t="n">
        <f aca="false">IF(AH69&gt;0.005,AH69*(1+Ordem!$K$13),0)</f>
        <v>0</v>
      </c>
      <c r="AF70" s="43" t="n">
        <f aca="false">MIN(AE70,Ordem!$L$13)</f>
        <v>0</v>
      </c>
      <c r="AG70" s="43" t="n">
        <f aca="false">MAX(0,MIN(AE70-AF70,$B70-(E70+I70+M70+Q70+U70+Y70+AC70)))</f>
        <v>0</v>
      </c>
      <c r="AH70" s="43" t="n">
        <f aca="false">MAX(0,AE70-AF70-AG70)</f>
        <v>0</v>
      </c>
      <c r="AI70" s="43" t="n">
        <f aca="false">IF(AL69&gt;0.005,AL69*(1+Ordem!$K$14),0)</f>
        <v>0</v>
      </c>
      <c r="AJ70" s="43" t="n">
        <f aca="false">MIN(AI70,Ordem!$L$14)</f>
        <v>0</v>
      </c>
      <c r="AK70" s="43" t="n">
        <f aca="false">MAX(0,MIN(AI70-AJ70,$B70-(E70+I70+M70+Q70+U70+Y70+AC70+AG70)))</f>
        <v>0</v>
      </c>
      <c r="AL70" s="43" t="n">
        <f aca="false">MAX(0,AI70-AJ70-AK70)</f>
        <v>0</v>
      </c>
      <c r="AM70" s="43" t="n">
        <f aca="false">IF(AP69&gt;0.005,AP69*(1+Ordem!$K$15),0)</f>
        <v>0</v>
      </c>
      <c r="AN70" s="43" t="n">
        <f aca="false">MIN(AM70,Ordem!$L$15)</f>
        <v>0</v>
      </c>
      <c r="AO70" s="43" t="n">
        <f aca="false">MAX(0,MIN(AM70-AN70,$B70-(E70+I70+M70+Q70+U70+Y70+AC70+AG70+AK70)))</f>
        <v>0</v>
      </c>
      <c r="AP70" s="43" t="n">
        <f aca="false">MAX(0,AM70-AN70-AO70)</f>
        <v>0</v>
      </c>
      <c r="AQ70" s="43" t="n">
        <f aca="false">F70+J70+N70+R70+V70+Z70+AD70+AH70+AL70+AP70</f>
        <v>0</v>
      </c>
      <c r="AR70" s="43" t="n">
        <f aca="false">D70+E70+H70+I70+L70+M70+P70+Q70+T70+U70+X70+Y70+AB70+AC70+AF70+AG70+AJ70+AK70+AN70+AO70</f>
        <v>0</v>
      </c>
    </row>
    <row r="71" customFormat="false" ht="15" hidden="false" customHeight="false" outlineLevel="0" collapsed="false">
      <c r="A71" s="0" t="n">
        <v>67</v>
      </c>
      <c r="B71" s="43" t="n">
        <f aca="false">MAX(0,Dívidas!$C$20-(D71+H71+L71+P71+T71+X71+AB71+AF71+AJ71+AN71))</f>
        <v>1450</v>
      </c>
      <c r="C71" s="43" t="n">
        <f aca="false">IF(F70&gt;0.005,F70*(1+Ordem!$K$6),0)</f>
        <v>0</v>
      </c>
      <c r="D71" s="43" t="n">
        <f aca="false">MIN(C71,Ordem!$L$6)</f>
        <v>0</v>
      </c>
      <c r="E71" s="43" t="n">
        <f aca="false">MAX(0,MIN(C71-D71,$B71-(0)))</f>
        <v>0</v>
      </c>
      <c r="F71" s="43" t="n">
        <f aca="false">MAX(0,C71-D71-E71)</f>
        <v>0</v>
      </c>
      <c r="G71" s="43" t="n">
        <f aca="false">IF(J70&gt;0.005,J70*(1+Ordem!$K$7),0)</f>
        <v>0</v>
      </c>
      <c r="H71" s="43" t="n">
        <f aca="false">MIN(G71,Ordem!$L$7)</f>
        <v>0</v>
      </c>
      <c r="I71" s="43" t="n">
        <f aca="false">MAX(0,MIN(G71-H71,$B71-(E71)))</f>
        <v>0</v>
      </c>
      <c r="J71" s="43" t="n">
        <f aca="false">MAX(0,G71-H71-I71)</f>
        <v>0</v>
      </c>
      <c r="K71" s="43" t="n">
        <f aca="false">IF(N70&gt;0.005,N70*(1+Ordem!$K$8),0)</f>
        <v>0</v>
      </c>
      <c r="L71" s="43" t="n">
        <f aca="false">MIN(K71,Ordem!$L$8)</f>
        <v>0</v>
      </c>
      <c r="M71" s="43" t="n">
        <f aca="false">MAX(0,MIN(K71-L71,$B71-(E71+I71)))</f>
        <v>0</v>
      </c>
      <c r="N71" s="43" t="n">
        <f aca="false">MAX(0,K71-L71-M71)</f>
        <v>0</v>
      </c>
      <c r="O71" s="43" t="n">
        <f aca="false">IF(R70&gt;0.005,R70*(1+Ordem!$K$9),0)</f>
        <v>0</v>
      </c>
      <c r="P71" s="43" t="n">
        <f aca="false">MIN(O71,Ordem!$L$9)</f>
        <v>0</v>
      </c>
      <c r="Q71" s="43" t="n">
        <f aca="false">MAX(0,MIN(O71-P71,$B71-(E71+I71+M71)))</f>
        <v>0</v>
      </c>
      <c r="R71" s="43" t="n">
        <f aca="false">MAX(0,O71-P71-Q71)</f>
        <v>0</v>
      </c>
      <c r="S71" s="43" t="n">
        <f aca="false">IF(V70&gt;0.005,V70*(1+Ordem!$K$10),0)</f>
        <v>0</v>
      </c>
      <c r="T71" s="43" t="n">
        <f aca="false">MIN(S71,Ordem!$L$10)</f>
        <v>0</v>
      </c>
      <c r="U71" s="43" t="n">
        <f aca="false">MAX(0,MIN(S71-T71,$B71-(E71+I71+M71+Q71)))</f>
        <v>0</v>
      </c>
      <c r="V71" s="43" t="n">
        <f aca="false">MAX(0,S71-T71-U71)</f>
        <v>0</v>
      </c>
      <c r="W71" s="43" t="n">
        <f aca="false">IF(Z70&gt;0.005,Z70*(1+Ordem!$K$11),0)</f>
        <v>0</v>
      </c>
      <c r="X71" s="43" t="n">
        <f aca="false">MIN(W71,Ordem!$L$11)</f>
        <v>0</v>
      </c>
      <c r="Y71" s="43" t="n">
        <f aca="false">MAX(0,MIN(W71-X71,$B71-(E71+I71+M71+Q71+U71)))</f>
        <v>0</v>
      </c>
      <c r="Z71" s="43" t="n">
        <f aca="false">MAX(0,W71-X71-Y71)</f>
        <v>0</v>
      </c>
      <c r="AA71" s="43" t="n">
        <f aca="false">IF(AD70&gt;0.005,AD70*(1+Ordem!$K$12),0)</f>
        <v>0</v>
      </c>
      <c r="AB71" s="43" t="n">
        <f aca="false">MIN(AA71,Ordem!$L$12)</f>
        <v>0</v>
      </c>
      <c r="AC71" s="43" t="n">
        <f aca="false">MAX(0,MIN(AA71-AB71,$B71-(E71+I71+M71+Q71+U71+Y71)))</f>
        <v>0</v>
      </c>
      <c r="AD71" s="43" t="n">
        <f aca="false">MAX(0,AA71-AB71-AC71)</f>
        <v>0</v>
      </c>
      <c r="AE71" s="43" t="n">
        <f aca="false">IF(AH70&gt;0.005,AH70*(1+Ordem!$K$13),0)</f>
        <v>0</v>
      </c>
      <c r="AF71" s="43" t="n">
        <f aca="false">MIN(AE71,Ordem!$L$13)</f>
        <v>0</v>
      </c>
      <c r="AG71" s="43" t="n">
        <f aca="false">MAX(0,MIN(AE71-AF71,$B71-(E71+I71+M71+Q71+U71+Y71+AC71)))</f>
        <v>0</v>
      </c>
      <c r="AH71" s="43" t="n">
        <f aca="false">MAX(0,AE71-AF71-AG71)</f>
        <v>0</v>
      </c>
      <c r="AI71" s="43" t="n">
        <f aca="false">IF(AL70&gt;0.005,AL70*(1+Ordem!$K$14),0)</f>
        <v>0</v>
      </c>
      <c r="AJ71" s="43" t="n">
        <f aca="false">MIN(AI71,Ordem!$L$14)</f>
        <v>0</v>
      </c>
      <c r="AK71" s="43" t="n">
        <f aca="false">MAX(0,MIN(AI71-AJ71,$B71-(E71+I71+M71+Q71+U71+Y71+AC71+AG71)))</f>
        <v>0</v>
      </c>
      <c r="AL71" s="43" t="n">
        <f aca="false">MAX(0,AI71-AJ71-AK71)</f>
        <v>0</v>
      </c>
      <c r="AM71" s="43" t="n">
        <f aca="false">IF(AP70&gt;0.005,AP70*(1+Ordem!$K$15),0)</f>
        <v>0</v>
      </c>
      <c r="AN71" s="43" t="n">
        <f aca="false">MIN(AM71,Ordem!$L$15)</f>
        <v>0</v>
      </c>
      <c r="AO71" s="43" t="n">
        <f aca="false">MAX(0,MIN(AM71-AN71,$B71-(E71+I71+M71+Q71+U71+Y71+AC71+AG71+AK71)))</f>
        <v>0</v>
      </c>
      <c r="AP71" s="43" t="n">
        <f aca="false">MAX(0,AM71-AN71-AO71)</f>
        <v>0</v>
      </c>
      <c r="AQ71" s="43" t="n">
        <f aca="false">F71+J71+N71+R71+V71+Z71+AD71+AH71+AL71+AP71</f>
        <v>0</v>
      </c>
      <c r="AR71" s="43" t="n">
        <f aca="false">D71+E71+H71+I71+L71+M71+P71+Q71+T71+U71+X71+Y71+AB71+AC71+AF71+AG71+AJ71+AK71+AN71+AO71</f>
        <v>0</v>
      </c>
    </row>
    <row r="72" customFormat="false" ht="15" hidden="false" customHeight="false" outlineLevel="0" collapsed="false">
      <c r="A72" s="0" t="n">
        <v>68</v>
      </c>
      <c r="B72" s="43" t="n">
        <f aca="false">MAX(0,Dívidas!$C$20-(D72+H72+L72+P72+T72+X72+AB72+AF72+AJ72+AN72))</f>
        <v>1450</v>
      </c>
      <c r="C72" s="43" t="n">
        <f aca="false">IF(F71&gt;0.005,F71*(1+Ordem!$K$6),0)</f>
        <v>0</v>
      </c>
      <c r="D72" s="43" t="n">
        <f aca="false">MIN(C72,Ordem!$L$6)</f>
        <v>0</v>
      </c>
      <c r="E72" s="43" t="n">
        <f aca="false">MAX(0,MIN(C72-D72,$B72-(0)))</f>
        <v>0</v>
      </c>
      <c r="F72" s="43" t="n">
        <f aca="false">MAX(0,C72-D72-E72)</f>
        <v>0</v>
      </c>
      <c r="G72" s="43" t="n">
        <f aca="false">IF(J71&gt;0.005,J71*(1+Ordem!$K$7),0)</f>
        <v>0</v>
      </c>
      <c r="H72" s="43" t="n">
        <f aca="false">MIN(G72,Ordem!$L$7)</f>
        <v>0</v>
      </c>
      <c r="I72" s="43" t="n">
        <f aca="false">MAX(0,MIN(G72-H72,$B72-(E72)))</f>
        <v>0</v>
      </c>
      <c r="J72" s="43" t="n">
        <f aca="false">MAX(0,G72-H72-I72)</f>
        <v>0</v>
      </c>
      <c r="K72" s="43" t="n">
        <f aca="false">IF(N71&gt;0.005,N71*(1+Ordem!$K$8),0)</f>
        <v>0</v>
      </c>
      <c r="L72" s="43" t="n">
        <f aca="false">MIN(K72,Ordem!$L$8)</f>
        <v>0</v>
      </c>
      <c r="M72" s="43" t="n">
        <f aca="false">MAX(0,MIN(K72-L72,$B72-(E72+I72)))</f>
        <v>0</v>
      </c>
      <c r="N72" s="43" t="n">
        <f aca="false">MAX(0,K72-L72-M72)</f>
        <v>0</v>
      </c>
      <c r="O72" s="43" t="n">
        <f aca="false">IF(R71&gt;0.005,R71*(1+Ordem!$K$9),0)</f>
        <v>0</v>
      </c>
      <c r="P72" s="43" t="n">
        <f aca="false">MIN(O72,Ordem!$L$9)</f>
        <v>0</v>
      </c>
      <c r="Q72" s="43" t="n">
        <f aca="false">MAX(0,MIN(O72-P72,$B72-(E72+I72+M72)))</f>
        <v>0</v>
      </c>
      <c r="R72" s="43" t="n">
        <f aca="false">MAX(0,O72-P72-Q72)</f>
        <v>0</v>
      </c>
      <c r="S72" s="43" t="n">
        <f aca="false">IF(V71&gt;0.005,V71*(1+Ordem!$K$10),0)</f>
        <v>0</v>
      </c>
      <c r="T72" s="43" t="n">
        <f aca="false">MIN(S72,Ordem!$L$10)</f>
        <v>0</v>
      </c>
      <c r="U72" s="43" t="n">
        <f aca="false">MAX(0,MIN(S72-T72,$B72-(E72+I72+M72+Q72)))</f>
        <v>0</v>
      </c>
      <c r="V72" s="43" t="n">
        <f aca="false">MAX(0,S72-T72-U72)</f>
        <v>0</v>
      </c>
      <c r="W72" s="43" t="n">
        <f aca="false">IF(Z71&gt;0.005,Z71*(1+Ordem!$K$11),0)</f>
        <v>0</v>
      </c>
      <c r="X72" s="43" t="n">
        <f aca="false">MIN(W72,Ordem!$L$11)</f>
        <v>0</v>
      </c>
      <c r="Y72" s="43" t="n">
        <f aca="false">MAX(0,MIN(W72-X72,$B72-(E72+I72+M72+Q72+U72)))</f>
        <v>0</v>
      </c>
      <c r="Z72" s="43" t="n">
        <f aca="false">MAX(0,W72-X72-Y72)</f>
        <v>0</v>
      </c>
      <c r="AA72" s="43" t="n">
        <f aca="false">IF(AD71&gt;0.005,AD71*(1+Ordem!$K$12),0)</f>
        <v>0</v>
      </c>
      <c r="AB72" s="43" t="n">
        <f aca="false">MIN(AA72,Ordem!$L$12)</f>
        <v>0</v>
      </c>
      <c r="AC72" s="43" t="n">
        <f aca="false">MAX(0,MIN(AA72-AB72,$B72-(E72+I72+M72+Q72+U72+Y72)))</f>
        <v>0</v>
      </c>
      <c r="AD72" s="43" t="n">
        <f aca="false">MAX(0,AA72-AB72-AC72)</f>
        <v>0</v>
      </c>
      <c r="AE72" s="43" t="n">
        <f aca="false">IF(AH71&gt;0.005,AH71*(1+Ordem!$K$13),0)</f>
        <v>0</v>
      </c>
      <c r="AF72" s="43" t="n">
        <f aca="false">MIN(AE72,Ordem!$L$13)</f>
        <v>0</v>
      </c>
      <c r="AG72" s="43" t="n">
        <f aca="false">MAX(0,MIN(AE72-AF72,$B72-(E72+I72+M72+Q72+U72+Y72+AC72)))</f>
        <v>0</v>
      </c>
      <c r="AH72" s="43" t="n">
        <f aca="false">MAX(0,AE72-AF72-AG72)</f>
        <v>0</v>
      </c>
      <c r="AI72" s="43" t="n">
        <f aca="false">IF(AL71&gt;0.005,AL71*(1+Ordem!$K$14),0)</f>
        <v>0</v>
      </c>
      <c r="AJ72" s="43" t="n">
        <f aca="false">MIN(AI72,Ordem!$L$14)</f>
        <v>0</v>
      </c>
      <c r="AK72" s="43" t="n">
        <f aca="false">MAX(0,MIN(AI72-AJ72,$B72-(E72+I72+M72+Q72+U72+Y72+AC72+AG72)))</f>
        <v>0</v>
      </c>
      <c r="AL72" s="43" t="n">
        <f aca="false">MAX(0,AI72-AJ72-AK72)</f>
        <v>0</v>
      </c>
      <c r="AM72" s="43" t="n">
        <f aca="false">IF(AP71&gt;0.005,AP71*(1+Ordem!$K$15),0)</f>
        <v>0</v>
      </c>
      <c r="AN72" s="43" t="n">
        <f aca="false">MIN(AM72,Ordem!$L$15)</f>
        <v>0</v>
      </c>
      <c r="AO72" s="43" t="n">
        <f aca="false">MAX(0,MIN(AM72-AN72,$B72-(E72+I72+M72+Q72+U72+Y72+AC72+AG72+AK72)))</f>
        <v>0</v>
      </c>
      <c r="AP72" s="43" t="n">
        <f aca="false">MAX(0,AM72-AN72-AO72)</f>
        <v>0</v>
      </c>
      <c r="AQ72" s="43" t="n">
        <f aca="false">F72+J72+N72+R72+V72+Z72+AD72+AH72+AL72+AP72</f>
        <v>0</v>
      </c>
      <c r="AR72" s="43" t="n">
        <f aca="false">D72+E72+H72+I72+L72+M72+P72+Q72+T72+U72+X72+Y72+AB72+AC72+AF72+AG72+AJ72+AK72+AN72+AO72</f>
        <v>0</v>
      </c>
    </row>
    <row r="73" customFormat="false" ht="15" hidden="false" customHeight="false" outlineLevel="0" collapsed="false">
      <c r="A73" s="0" t="n">
        <v>69</v>
      </c>
      <c r="B73" s="43" t="n">
        <f aca="false">MAX(0,Dívidas!$C$20-(D73+H73+L73+P73+T73+X73+AB73+AF73+AJ73+AN73))</f>
        <v>1450</v>
      </c>
      <c r="C73" s="43" t="n">
        <f aca="false">IF(F72&gt;0.005,F72*(1+Ordem!$K$6),0)</f>
        <v>0</v>
      </c>
      <c r="D73" s="43" t="n">
        <f aca="false">MIN(C73,Ordem!$L$6)</f>
        <v>0</v>
      </c>
      <c r="E73" s="43" t="n">
        <f aca="false">MAX(0,MIN(C73-D73,$B73-(0)))</f>
        <v>0</v>
      </c>
      <c r="F73" s="43" t="n">
        <f aca="false">MAX(0,C73-D73-E73)</f>
        <v>0</v>
      </c>
      <c r="G73" s="43" t="n">
        <f aca="false">IF(J72&gt;0.005,J72*(1+Ordem!$K$7),0)</f>
        <v>0</v>
      </c>
      <c r="H73" s="43" t="n">
        <f aca="false">MIN(G73,Ordem!$L$7)</f>
        <v>0</v>
      </c>
      <c r="I73" s="43" t="n">
        <f aca="false">MAX(0,MIN(G73-H73,$B73-(E73)))</f>
        <v>0</v>
      </c>
      <c r="J73" s="43" t="n">
        <f aca="false">MAX(0,G73-H73-I73)</f>
        <v>0</v>
      </c>
      <c r="K73" s="43" t="n">
        <f aca="false">IF(N72&gt;0.005,N72*(1+Ordem!$K$8),0)</f>
        <v>0</v>
      </c>
      <c r="L73" s="43" t="n">
        <f aca="false">MIN(K73,Ordem!$L$8)</f>
        <v>0</v>
      </c>
      <c r="M73" s="43" t="n">
        <f aca="false">MAX(0,MIN(K73-L73,$B73-(E73+I73)))</f>
        <v>0</v>
      </c>
      <c r="N73" s="43" t="n">
        <f aca="false">MAX(0,K73-L73-M73)</f>
        <v>0</v>
      </c>
      <c r="O73" s="43" t="n">
        <f aca="false">IF(R72&gt;0.005,R72*(1+Ordem!$K$9),0)</f>
        <v>0</v>
      </c>
      <c r="P73" s="43" t="n">
        <f aca="false">MIN(O73,Ordem!$L$9)</f>
        <v>0</v>
      </c>
      <c r="Q73" s="43" t="n">
        <f aca="false">MAX(0,MIN(O73-P73,$B73-(E73+I73+M73)))</f>
        <v>0</v>
      </c>
      <c r="R73" s="43" t="n">
        <f aca="false">MAX(0,O73-P73-Q73)</f>
        <v>0</v>
      </c>
      <c r="S73" s="43" t="n">
        <f aca="false">IF(V72&gt;0.005,V72*(1+Ordem!$K$10),0)</f>
        <v>0</v>
      </c>
      <c r="T73" s="43" t="n">
        <f aca="false">MIN(S73,Ordem!$L$10)</f>
        <v>0</v>
      </c>
      <c r="U73" s="43" t="n">
        <f aca="false">MAX(0,MIN(S73-T73,$B73-(E73+I73+M73+Q73)))</f>
        <v>0</v>
      </c>
      <c r="V73" s="43" t="n">
        <f aca="false">MAX(0,S73-T73-U73)</f>
        <v>0</v>
      </c>
      <c r="W73" s="43" t="n">
        <f aca="false">IF(Z72&gt;0.005,Z72*(1+Ordem!$K$11),0)</f>
        <v>0</v>
      </c>
      <c r="X73" s="43" t="n">
        <f aca="false">MIN(W73,Ordem!$L$11)</f>
        <v>0</v>
      </c>
      <c r="Y73" s="43" t="n">
        <f aca="false">MAX(0,MIN(W73-X73,$B73-(E73+I73+M73+Q73+U73)))</f>
        <v>0</v>
      </c>
      <c r="Z73" s="43" t="n">
        <f aca="false">MAX(0,W73-X73-Y73)</f>
        <v>0</v>
      </c>
      <c r="AA73" s="43" t="n">
        <f aca="false">IF(AD72&gt;0.005,AD72*(1+Ordem!$K$12),0)</f>
        <v>0</v>
      </c>
      <c r="AB73" s="43" t="n">
        <f aca="false">MIN(AA73,Ordem!$L$12)</f>
        <v>0</v>
      </c>
      <c r="AC73" s="43" t="n">
        <f aca="false">MAX(0,MIN(AA73-AB73,$B73-(E73+I73+M73+Q73+U73+Y73)))</f>
        <v>0</v>
      </c>
      <c r="AD73" s="43" t="n">
        <f aca="false">MAX(0,AA73-AB73-AC73)</f>
        <v>0</v>
      </c>
      <c r="AE73" s="43" t="n">
        <f aca="false">IF(AH72&gt;0.005,AH72*(1+Ordem!$K$13),0)</f>
        <v>0</v>
      </c>
      <c r="AF73" s="43" t="n">
        <f aca="false">MIN(AE73,Ordem!$L$13)</f>
        <v>0</v>
      </c>
      <c r="AG73" s="43" t="n">
        <f aca="false">MAX(0,MIN(AE73-AF73,$B73-(E73+I73+M73+Q73+U73+Y73+AC73)))</f>
        <v>0</v>
      </c>
      <c r="AH73" s="43" t="n">
        <f aca="false">MAX(0,AE73-AF73-AG73)</f>
        <v>0</v>
      </c>
      <c r="AI73" s="43" t="n">
        <f aca="false">IF(AL72&gt;0.005,AL72*(1+Ordem!$K$14),0)</f>
        <v>0</v>
      </c>
      <c r="AJ73" s="43" t="n">
        <f aca="false">MIN(AI73,Ordem!$L$14)</f>
        <v>0</v>
      </c>
      <c r="AK73" s="43" t="n">
        <f aca="false">MAX(0,MIN(AI73-AJ73,$B73-(E73+I73+M73+Q73+U73+Y73+AC73+AG73)))</f>
        <v>0</v>
      </c>
      <c r="AL73" s="43" t="n">
        <f aca="false">MAX(0,AI73-AJ73-AK73)</f>
        <v>0</v>
      </c>
      <c r="AM73" s="43" t="n">
        <f aca="false">IF(AP72&gt;0.005,AP72*(1+Ordem!$K$15),0)</f>
        <v>0</v>
      </c>
      <c r="AN73" s="43" t="n">
        <f aca="false">MIN(AM73,Ordem!$L$15)</f>
        <v>0</v>
      </c>
      <c r="AO73" s="43" t="n">
        <f aca="false">MAX(0,MIN(AM73-AN73,$B73-(E73+I73+M73+Q73+U73+Y73+AC73+AG73+AK73)))</f>
        <v>0</v>
      </c>
      <c r="AP73" s="43" t="n">
        <f aca="false">MAX(0,AM73-AN73-AO73)</f>
        <v>0</v>
      </c>
      <c r="AQ73" s="43" t="n">
        <f aca="false">F73+J73+N73+R73+V73+Z73+AD73+AH73+AL73+AP73</f>
        <v>0</v>
      </c>
      <c r="AR73" s="43" t="n">
        <f aca="false">D73+E73+H73+I73+L73+M73+P73+Q73+T73+U73+X73+Y73+AB73+AC73+AF73+AG73+AJ73+AK73+AN73+AO73</f>
        <v>0</v>
      </c>
    </row>
    <row r="74" customFormat="false" ht="15" hidden="false" customHeight="false" outlineLevel="0" collapsed="false">
      <c r="A74" s="0" t="n">
        <v>70</v>
      </c>
      <c r="B74" s="43" t="n">
        <f aca="false">MAX(0,Dívidas!$C$20-(D74+H74+L74+P74+T74+X74+AB74+AF74+AJ74+AN74))</f>
        <v>1450</v>
      </c>
      <c r="C74" s="43" t="n">
        <f aca="false">IF(F73&gt;0.005,F73*(1+Ordem!$K$6),0)</f>
        <v>0</v>
      </c>
      <c r="D74" s="43" t="n">
        <f aca="false">MIN(C74,Ordem!$L$6)</f>
        <v>0</v>
      </c>
      <c r="E74" s="43" t="n">
        <f aca="false">MAX(0,MIN(C74-D74,$B74-(0)))</f>
        <v>0</v>
      </c>
      <c r="F74" s="43" t="n">
        <f aca="false">MAX(0,C74-D74-E74)</f>
        <v>0</v>
      </c>
      <c r="G74" s="43" t="n">
        <f aca="false">IF(J73&gt;0.005,J73*(1+Ordem!$K$7),0)</f>
        <v>0</v>
      </c>
      <c r="H74" s="43" t="n">
        <f aca="false">MIN(G74,Ordem!$L$7)</f>
        <v>0</v>
      </c>
      <c r="I74" s="43" t="n">
        <f aca="false">MAX(0,MIN(G74-H74,$B74-(E74)))</f>
        <v>0</v>
      </c>
      <c r="J74" s="43" t="n">
        <f aca="false">MAX(0,G74-H74-I74)</f>
        <v>0</v>
      </c>
      <c r="K74" s="43" t="n">
        <f aca="false">IF(N73&gt;0.005,N73*(1+Ordem!$K$8),0)</f>
        <v>0</v>
      </c>
      <c r="L74" s="43" t="n">
        <f aca="false">MIN(K74,Ordem!$L$8)</f>
        <v>0</v>
      </c>
      <c r="M74" s="43" t="n">
        <f aca="false">MAX(0,MIN(K74-L74,$B74-(E74+I74)))</f>
        <v>0</v>
      </c>
      <c r="N74" s="43" t="n">
        <f aca="false">MAX(0,K74-L74-M74)</f>
        <v>0</v>
      </c>
      <c r="O74" s="43" t="n">
        <f aca="false">IF(R73&gt;0.005,R73*(1+Ordem!$K$9),0)</f>
        <v>0</v>
      </c>
      <c r="P74" s="43" t="n">
        <f aca="false">MIN(O74,Ordem!$L$9)</f>
        <v>0</v>
      </c>
      <c r="Q74" s="43" t="n">
        <f aca="false">MAX(0,MIN(O74-P74,$B74-(E74+I74+M74)))</f>
        <v>0</v>
      </c>
      <c r="R74" s="43" t="n">
        <f aca="false">MAX(0,O74-P74-Q74)</f>
        <v>0</v>
      </c>
      <c r="S74" s="43" t="n">
        <f aca="false">IF(V73&gt;0.005,V73*(1+Ordem!$K$10),0)</f>
        <v>0</v>
      </c>
      <c r="T74" s="43" t="n">
        <f aca="false">MIN(S74,Ordem!$L$10)</f>
        <v>0</v>
      </c>
      <c r="U74" s="43" t="n">
        <f aca="false">MAX(0,MIN(S74-T74,$B74-(E74+I74+M74+Q74)))</f>
        <v>0</v>
      </c>
      <c r="V74" s="43" t="n">
        <f aca="false">MAX(0,S74-T74-U74)</f>
        <v>0</v>
      </c>
      <c r="W74" s="43" t="n">
        <f aca="false">IF(Z73&gt;0.005,Z73*(1+Ordem!$K$11),0)</f>
        <v>0</v>
      </c>
      <c r="X74" s="43" t="n">
        <f aca="false">MIN(W74,Ordem!$L$11)</f>
        <v>0</v>
      </c>
      <c r="Y74" s="43" t="n">
        <f aca="false">MAX(0,MIN(W74-X74,$B74-(E74+I74+M74+Q74+U74)))</f>
        <v>0</v>
      </c>
      <c r="Z74" s="43" t="n">
        <f aca="false">MAX(0,W74-X74-Y74)</f>
        <v>0</v>
      </c>
      <c r="AA74" s="43" t="n">
        <f aca="false">IF(AD73&gt;0.005,AD73*(1+Ordem!$K$12),0)</f>
        <v>0</v>
      </c>
      <c r="AB74" s="43" t="n">
        <f aca="false">MIN(AA74,Ordem!$L$12)</f>
        <v>0</v>
      </c>
      <c r="AC74" s="43" t="n">
        <f aca="false">MAX(0,MIN(AA74-AB74,$B74-(E74+I74+M74+Q74+U74+Y74)))</f>
        <v>0</v>
      </c>
      <c r="AD74" s="43" t="n">
        <f aca="false">MAX(0,AA74-AB74-AC74)</f>
        <v>0</v>
      </c>
      <c r="AE74" s="43" t="n">
        <f aca="false">IF(AH73&gt;0.005,AH73*(1+Ordem!$K$13),0)</f>
        <v>0</v>
      </c>
      <c r="AF74" s="43" t="n">
        <f aca="false">MIN(AE74,Ordem!$L$13)</f>
        <v>0</v>
      </c>
      <c r="AG74" s="43" t="n">
        <f aca="false">MAX(0,MIN(AE74-AF74,$B74-(E74+I74+M74+Q74+U74+Y74+AC74)))</f>
        <v>0</v>
      </c>
      <c r="AH74" s="43" t="n">
        <f aca="false">MAX(0,AE74-AF74-AG74)</f>
        <v>0</v>
      </c>
      <c r="AI74" s="43" t="n">
        <f aca="false">IF(AL73&gt;0.005,AL73*(1+Ordem!$K$14),0)</f>
        <v>0</v>
      </c>
      <c r="AJ74" s="43" t="n">
        <f aca="false">MIN(AI74,Ordem!$L$14)</f>
        <v>0</v>
      </c>
      <c r="AK74" s="43" t="n">
        <f aca="false">MAX(0,MIN(AI74-AJ74,$B74-(E74+I74+M74+Q74+U74+Y74+AC74+AG74)))</f>
        <v>0</v>
      </c>
      <c r="AL74" s="43" t="n">
        <f aca="false">MAX(0,AI74-AJ74-AK74)</f>
        <v>0</v>
      </c>
      <c r="AM74" s="43" t="n">
        <f aca="false">IF(AP73&gt;0.005,AP73*(1+Ordem!$K$15),0)</f>
        <v>0</v>
      </c>
      <c r="AN74" s="43" t="n">
        <f aca="false">MIN(AM74,Ordem!$L$15)</f>
        <v>0</v>
      </c>
      <c r="AO74" s="43" t="n">
        <f aca="false">MAX(0,MIN(AM74-AN74,$B74-(E74+I74+M74+Q74+U74+Y74+AC74+AG74+AK74)))</f>
        <v>0</v>
      </c>
      <c r="AP74" s="43" t="n">
        <f aca="false">MAX(0,AM74-AN74-AO74)</f>
        <v>0</v>
      </c>
      <c r="AQ74" s="43" t="n">
        <f aca="false">F74+J74+N74+R74+V74+Z74+AD74+AH74+AL74+AP74</f>
        <v>0</v>
      </c>
      <c r="AR74" s="43" t="n">
        <f aca="false">D74+E74+H74+I74+L74+M74+P74+Q74+T74+U74+X74+Y74+AB74+AC74+AF74+AG74+AJ74+AK74+AN74+AO74</f>
        <v>0</v>
      </c>
    </row>
    <row r="75" customFormat="false" ht="15" hidden="false" customHeight="false" outlineLevel="0" collapsed="false">
      <c r="A75" s="0" t="n">
        <v>71</v>
      </c>
      <c r="B75" s="43" t="n">
        <f aca="false">MAX(0,Dívidas!$C$20-(D75+H75+L75+P75+T75+X75+AB75+AF75+AJ75+AN75))</f>
        <v>1450</v>
      </c>
      <c r="C75" s="43" t="n">
        <f aca="false">IF(F74&gt;0.005,F74*(1+Ordem!$K$6),0)</f>
        <v>0</v>
      </c>
      <c r="D75" s="43" t="n">
        <f aca="false">MIN(C75,Ordem!$L$6)</f>
        <v>0</v>
      </c>
      <c r="E75" s="43" t="n">
        <f aca="false">MAX(0,MIN(C75-D75,$B75-(0)))</f>
        <v>0</v>
      </c>
      <c r="F75" s="43" t="n">
        <f aca="false">MAX(0,C75-D75-E75)</f>
        <v>0</v>
      </c>
      <c r="G75" s="43" t="n">
        <f aca="false">IF(J74&gt;0.005,J74*(1+Ordem!$K$7),0)</f>
        <v>0</v>
      </c>
      <c r="H75" s="43" t="n">
        <f aca="false">MIN(G75,Ordem!$L$7)</f>
        <v>0</v>
      </c>
      <c r="I75" s="43" t="n">
        <f aca="false">MAX(0,MIN(G75-H75,$B75-(E75)))</f>
        <v>0</v>
      </c>
      <c r="J75" s="43" t="n">
        <f aca="false">MAX(0,G75-H75-I75)</f>
        <v>0</v>
      </c>
      <c r="K75" s="43" t="n">
        <f aca="false">IF(N74&gt;0.005,N74*(1+Ordem!$K$8),0)</f>
        <v>0</v>
      </c>
      <c r="L75" s="43" t="n">
        <f aca="false">MIN(K75,Ordem!$L$8)</f>
        <v>0</v>
      </c>
      <c r="M75" s="43" t="n">
        <f aca="false">MAX(0,MIN(K75-L75,$B75-(E75+I75)))</f>
        <v>0</v>
      </c>
      <c r="N75" s="43" t="n">
        <f aca="false">MAX(0,K75-L75-M75)</f>
        <v>0</v>
      </c>
      <c r="O75" s="43" t="n">
        <f aca="false">IF(R74&gt;0.005,R74*(1+Ordem!$K$9),0)</f>
        <v>0</v>
      </c>
      <c r="P75" s="43" t="n">
        <f aca="false">MIN(O75,Ordem!$L$9)</f>
        <v>0</v>
      </c>
      <c r="Q75" s="43" t="n">
        <f aca="false">MAX(0,MIN(O75-P75,$B75-(E75+I75+M75)))</f>
        <v>0</v>
      </c>
      <c r="R75" s="43" t="n">
        <f aca="false">MAX(0,O75-P75-Q75)</f>
        <v>0</v>
      </c>
      <c r="S75" s="43" t="n">
        <f aca="false">IF(V74&gt;0.005,V74*(1+Ordem!$K$10),0)</f>
        <v>0</v>
      </c>
      <c r="T75" s="43" t="n">
        <f aca="false">MIN(S75,Ordem!$L$10)</f>
        <v>0</v>
      </c>
      <c r="U75" s="43" t="n">
        <f aca="false">MAX(0,MIN(S75-T75,$B75-(E75+I75+M75+Q75)))</f>
        <v>0</v>
      </c>
      <c r="V75" s="43" t="n">
        <f aca="false">MAX(0,S75-T75-U75)</f>
        <v>0</v>
      </c>
      <c r="W75" s="43" t="n">
        <f aca="false">IF(Z74&gt;0.005,Z74*(1+Ordem!$K$11),0)</f>
        <v>0</v>
      </c>
      <c r="X75" s="43" t="n">
        <f aca="false">MIN(W75,Ordem!$L$11)</f>
        <v>0</v>
      </c>
      <c r="Y75" s="43" t="n">
        <f aca="false">MAX(0,MIN(W75-X75,$B75-(E75+I75+M75+Q75+U75)))</f>
        <v>0</v>
      </c>
      <c r="Z75" s="43" t="n">
        <f aca="false">MAX(0,W75-X75-Y75)</f>
        <v>0</v>
      </c>
      <c r="AA75" s="43" t="n">
        <f aca="false">IF(AD74&gt;0.005,AD74*(1+Ordem!$K$12),0)</f>
        <v>0</v>
      </c>
      <c r="AB75" s="43" t="n">
        <f aca="false">MIN(AA75,Ordem!$L$12)</f>
        <v>0</v>
      </c>
      <c r="AC75" s="43" t="n">
        <f aca="false">MAX(0,MIN(AA75-AB75,$B75-(E75+I75+M75+Q75+U75+Y75)))</f>
        <v>0</v>
      </c>
      <c r="AD75" s="43" t="n">
        <f aca="false">MAX(0,AA75-AB75-AC75)</f>
        <v>0</v>
      </c>
      <c r="AE75" s="43" t="n">
        <f aca="false">IF(AH74&gt;0.005,AH74*(1+Ordem!$K$13),0)</f>
        <v>0</v>
      </c>
      <c r="AF75" s="43" t="n">
        <f aca="false">MIN(AE75,Ordem!$L$13)</f>
        <v>0</v>
      </c>
      <c r="AG75" s="43" t="n">
        <f aca="false">MAX(0,MIN(AE75-AF75,$B75-(E75+I75+M75+Q75+U75+Y75+AC75)))</f>
        <v>0</v>
      </c>
      <c r="AH75" s="43" t="n">
        <f aca="false">MAX(0,AE75-AF75-AG75)</f>
        <v>0</v>
      </c>
      <c r="AI75" s="43" t="n">
        <f aca="false">IF(AL74&gt;0.005,AL74*(1+Ordem!$K$14),0)</f>
        <v>0</v>
      </c>
      <c r="AJ75" s="43" t="n">
        <f aca="false">MIN(AI75,Ordem!$L$14)</f>
        <v>0</v>
      </c>
      <c r="AK75" s="43" t="n">
        <f aca="false">MAX(0,MIN(AI75-AJ75,$B75-(E75+I75+M75+Q75+U75+Y75+AC75+AG75)))</f>
        <v>0</v>
      </c>
      <c r="AL75" s="43" t="n">
        <f aca="false">MAX(0,AI75-AJ75-AK75)</f>
        <v>0</v>
      </c>
      <c r="AM75" s="43" t="n">
        <f aca="false">IF(AP74&gt;0.005,AP74*(1+Ordem!$K$15),0)</f>
        <v>0</v>
      </c>
      <c r="AN75" s="43" t="n">
        <f aca="false">MIN(AM75,Ordem!$L$15)</f>
        <v>0</v>
      </c>
      <c r="AO75" s="43" t="n">
        <f aca="false">MAX(0,MIN(AM75-AN75,$B75-(E75+I75+M75+Q75+U75+Y75+AC75+AG75+AK75)))</f>
        <v>0</v>
      </c>
      <c r="AP75" s="43" t="n">
        <f aca="false">MAX(0,AM75-AN75-AO75)</f>
        <v>0</v>
      </c>
      <c r="AQ75" s="43" t="n">
        <f aca="false">F75+J75+N75+R75+V75+Z75+AD75+AH75+AL75+AP75</f>
        <v>0</v>
      </c>
      <c r="AR75" s="43" t="n">
        <f aca="false">D75+E75+H75+I75+L75+M75+P75+Q75+T75+U75+X75+Y75+AB75+AC75+AF75+AG75+AJ75+AK75+AN75+AO75</f>
        <v>0</v>
      </c>
    </row>
    <row r="76" customFormat="false" ht="15" hidden="false" customHeight="false" outlineLevel="0" collapsed="false">
      <c r="A76" s="0" t="n">
        <v>72</v>
      </c>
      <c r="B76" s="43" t="n">
        <f aca="false">MAX(0,Dívidas!$C$20-(D76+H76+L76+P76+T76+X76+AB76+AF76+AJ76+AN76))</f>
        <v>1450</v>
      </c>
      <c r="C76" s="43" t="n">
        <f aca="false">IF(F75&gt;0.005,F75*(1+Ordem!$K$6),0)</f>
        <v>0</v>
      </c>
      <c r="D76" s="43" t="n">
        <f aca="false">MIN(C76,Ordem!$L$6)</f>
        <v>0</v>
      </c>
      <c r="E76" s="43" t="n">
        <f aca="false">MAX(0,MIN(C76-D76,$B76-(0)))</f>
        <v>0</v>
      </c>
      <c r="F76" s="43" t="n">
        <f aca="false">MAX(0,C76-D76-E76)</f>
        <v>0</v>
      </c>
      <c r="G76" s="43" t="n">
        <f aca="false">IF(J75&gt;0.005,J75*(1+Ordem!$K$7),0)</f>
        <v>0</v>
      </c>
      <c r="H76" s="43" t="n">
        <f aca="false">MIN(G76,Ordem!$L$7)</f>
        <v>0</v>
      </c>
      <c r="I76" s="43" t="n">
        <f aca="false">MAX(0,MIN(G76-H76,$B76-(E76)))</f>
        <v>0</v>
      </c>
      <c r="J76" s="43" t="n">
        <f aca="false">MAX(0,G76-H76-I76)</f>
        <v>0</v>
      </c>
      <c r="K76" s="43" t="n">
        <f aca="false">IF(N75&gt;0.005,N75*(1+Ordem!$K$8),0)</f>
        <v>0</v>
      </c>
      <c r="L76" s="43" t="n">
        <f aca="false">MIN(K76,Ordem!$L$8)</f>
        <v>0</v>
      </c>
      <c r="M76" s="43" t="n">
        <f aca="false">MAX(0,MIN(K76-L76,$B76-(E76+I76)))</f>
        <v>0</v>
      </c>
      <c r="N76" s="43" t="n">
        <f aca="false">MAX(0,K76-L76-M76)</f>
        <v>0</v>
      </c>
      <c r="O76" s="43" t="n">
        <f aca="false">IF(R75&gt;0.005,R75*(1+Ordem!$K$9),0)</f>
        <v>0</v>
      </c>
      <c r="P76" s="43" t="n">
        <f aca="false">MIN(O76,Ordem!$L$9)</f>
        <v>0</v>
      </c>
      <c r="Q76" s="43" t="n">
        <f aca="false">MAX(0,MIN(O76-P76,$B76-(E76+I76+M76)))</f>
        <v>0</v>
      </c>
      <c r="R76" s="43" t="n">
        <f aca="false">MAX(0,O76-P76-Q76)</f>
        <v>0</v>
      </c>
      <c r="S76" s="43" t="n">
        <f aca="false">IF(V75&gt;0.005,V75*(1+Ordem!$K$10),0)</f>
        <v>0</v>
      </c>
      <c r="T76" s="43" t="n">
        <f aca="false">MIN(S76,Ordem!$L$10)</f>
        <v>0</v>
      </c>
      <c r="U76" s="43" t="n">
        <f aca="false">MAX(0,MIN(S76-T76,$B76-(E76+I76+M76+Q76)))</f>
        <v>0</v>
      </c>
      <c r="V76" s="43" t="n">
        <f aca="false">MAX(0,S76-T76-U76)</f>
        <v>0</v>
      </c>
      <c r="W76" s="43" t="n">
        <f aca="false">IF(Z75&gt;0.005,Z75*(1+Ordem!$K$11),0)</f>
        <v>0</v>
      </c>
      <c r="X76" s="43" t="n">
        <f aca="false">MIN(W76,Ordem!$L$11)</f>
        <v>0</v>
      </c>
      <c r="Y76" s="43" t="n">
        <f aca="false">MAX(0,MIN(W76-X76,$B76-(E76+I76+M76+Q76+U76)))</f>
        <v>0</v>
      </c>
      <c r="Z76" s="43" t="n">
        <f aca="false">MAX(0,W76-X76-Y76)</f>
        <v>0</v>
      </c>
      <c r="AA76" s="43" t="n">
        <f aca="false">IF(AD75&gt;0.005,AD75*(1+Ordem!$K$12),0)</f>
        <v>0</v>
      </c>
      <c r="AB76" s="43" t="n">
        <f aca="false">MIN(AA76,Ordem!$L$12)</f>
        <v>0</v>
      </c>
      <c r="AC76" s="43" t="n">
        <f aca="false">MAX(0,MIN(AA76-AB76,$B76-(E76+I76+M76+Q76+U76+Y76)))</f>
        <v>0</v>
      </c>
      <c r="AD76" s="43" t="n">
        <f aca="false">MAX(0,AA76-AB76-AC76)</f>
        <v>0</v>
      </c>
      <c r="AE76" s="43" t="n">
        <f aca="false">IF(AH75&gt;0.005,AH75*(1+Ordem!$K$13),0)</f>
        <v>0</v>
      </c>
      <c r="AF76" s="43" t="n">
        <f aca="false">MIN(AE76,Ordem!$L$13)</f>
        <v>0</v>
      </c>
      <c r="AG76" s="43" t="n">
        <f aca="false">MAX(0,MIN(AE76-AF76,$B76-(E76+I76+M76+Q76+U76+Y76+AC76)))</f>
        <v>0</v>
      </c>
      <c r="AH76" s="43" t="n">
        <f aca="false">MAX(0,AE76-AF76-AG76)</f>
        <v>0</v>
      </c>
      <c r="AI76" s="43" t="n">
        <f aca="false">IF(AL75&gt;0.005,AL75*(1+Ordem!$K$14),0)</f>
        <v>0</v>
      </c>
      <c r="AJ76" s="43" t="n">
        <f aca="false">MIN(AI76,Ordem!$L$14)</f>
        <v>0</v>
      </c>
      <c r="AK76" s="43" t="n">
        <f aca="false">MAX(0,MIN(AI76-AJ76,$B76-(E76+I76+M76+Q76+U76+Y76+AC76+AG76)))</f>
        <v>0</v>
      </c>
      <c r="AL76" s="43" t="n">
        <f aca="false">MAX(0,AI76-AJ76-AK76)</f>
        <v>0</v>
      </c>
      <c r="AM76" s="43" t="n">
        <f aca="false">IF(AP75&gt;0.005,AP75*(1+Ordem!$K$15),0)</f>
        <v>0</v>
      </c>
      <c r="AN76" s="43" t="n">
        <f aca="false">MIN(AM76,Ordem!$L$15)</f>
        <v>0</v>
      </c>
      <c r="AO76" s="43" t="n">
        <f aca="false">MAX(0,MIN(AM76-AN76,$B76-(E76+I76+M76+Q76+U76+Y76+AC76+AG76+AK76)))</f>
        <v>0</v>
      </c>
      <c r="AP76" s="43" t="n">
        <f aca="false">MAX(0,AM76-AN76-AO76)</f>
        <v>0</v>
      </c>
      <c r="AQ76" s="43" t="n">
        <f aca="false">F76+J76+N76+R76+V76+Z76+AD76+AH76+AL76+AP76</f>
        <v>0</v>
      </c>
      <c r="AR76" s="43" t="n">
        <f aca="false">D76+E76+H76+I76+L76+M76+P76+Q76+T76+U76+X76+Y76+AB76+AC76+AF76+AG76+AJ76+AK76+AN76+AO76</f>
        <v>0</v>
      </c>
    </row>
    <row r="77" customFormat="false" ht="15" hidden="false" customHeight="false" outlineLevel="0" collapsed="false">
      <c r="A77" s="0" t="n">
        <v>73</v>
      </c>
      <c r="B77" s="43" t="n">
        <f aca="false">MAX(0,Dívidas!$C$20-(D77+H77+L77+P77+T77+X77+AB77+AF77+AJ77+AN77))</f>
        <v>1450</v>
      </c>
      <c r="C77" s="43" t="n">
        <f aca="false">IF(F76&gt;0.005,F76*(1+Ordem!$K$6),0)</f>
        <v>0</v>
      </c>
      <c r="D77" s="43" t="n">
        <f aca="false">MIN(C77,Ordem!$L$6)</f>
        <v>0</v>
      </c>
      <c r="E77" s="43" t="n">
        <f aca="false">MAX(0,MIN(C77-D77,$B77-(0)))</f>
        <v>0</v>
      </c>
      <c r="F77" s="43" t="n">
        <f aca="false">MAX(0,C77-D77-E77)</f>
        <v>0</v>
      </c>
      <c r="G77" s="43" t="n">
        <f aca="false">IF(J76&gt;0.005,J76*(1+Ordem!$K$7),0)</f>
        <v>0</v>
      </c>
      <c r="H77" s="43" t="n">
        <f aca="false">MIN(G77,Ordem!$L$7)</f>
        <v>0</v>
      </c>
      <c r="I77" s="43" t="n">
        <f aca="false">MAX(0,MIN(G77-H77,$B77-(E77)))</f>
        <v>0</v>
      </c>
      <c r="J77" s="43" t="n">
        <f aca="false">MAX(0,G77-H77-I77)</f>
        <v>0</v>
      </c>
      <c r="K77" s="43" t="n">
        <f aca="false">IF(N76&gt;0.005,N76*(1+Ordem!$K$8),0)</f>
        <v>0</v>
      </c>
      <c r="L77" s="43" t="n">
        <f aca="false">MIN(K77,Ordem!$L$8)</f>
        <v>0</v>
      </c>
      <c r="M77" s="43" t="n">
        <f aca="false">MAX(0,MIN(K77-L77,$B77-(E77+I77)))</f>
        <v>0</v>
      </c>
      <c r="N77" s="43" t="n">
        <f aca="false">MAX(0,K77-L77-M77)</f>
        <v>0</v>
      </c>
      <c r="O77" s="43" t="n">
        <f aca="false">IF(R76&gt;0.005,R76*(1+Ordem!$K$9),0)</f>
        <v>0</v>
      </c>
      <c r="P77" s="43" t="n">
        <f aca="false">MIN(O77,Ordem!$L$9)</f>
        <v>0</v>
      </c>
      <c r="Q77" s="43" t="n">
        <f aca="false">MAX(0,MIN(O77-P77,$B77-(E77+I77+M77)))</f>
        <v>0</v>
      </c>
      <c r="R77" s="43" t="n">
        <f aca="false">MAX(0,O77-P77-Q77)</f>
        <v>0</v>
      </c>
      <c r="S77" s="43" t="n">
        <f aca="false">IF(V76&gt;0.005,V76*(1+Ordem!$K$10),0)</f>
        <v>0</v>
      </c>
      <c r="T77" s="43" t="n">
        <f aca="false">MIN(S77,Ordem!$L$10)</f>
        <v>0</v>
      </c>
      <c r="U77" s="43" t="n">
        <f aca="false">MAX(0,MIN(S77-T77,$B77-(E77+I77+M77+Q77)))</f>
        <v>0</v>
      </c>
      <c r="V77" s="43" t="n">
        <f aca="false">MAX(0,S77-T77-U77)</f>
        <v>0</v>
      </c>
      <c r="W77" s="43" t="n">
        <f aca="false">IF(Z76&gt;0.005,Z76*(1+Ordem!$K$11),0)</f>
        <v>0</v>
      </c>
      <c r="X77" s="43" t="n">
        <f aca="false">MIN(W77,Ordem!$L$11)</f>
        <v>0</v>
      </c>
      <c r="Y77" s="43" t="n">
        <f aca="false">MAX(0,MIN(W77-X77,$B77-(E77+I77+M77+Q77+U77)))</f>
        <v>0</v>
      </c>
      <c r="Z77" s="43" t="n">
        <f aca="false">MAX(0,W77-X77-Y77)</f>
        <v>0</v>
      </c>
      <c r="AA77" s="43" t="n">
        <f aca="false">IF(AD76&gt;0.005,AD76*(1+Ordem!$K$12),0)</f>
        <v>0</v>
      </c>
      <c r="AB77" s="43" t="n">
        <f aca="false">MIN(AA77,Ordem!$L$12)</f>
        <v>0</v>
      </c>
      <c r="AC77" s="43" t="n">
        <f aca="false">MAX(0,MIN(AA77-AB77,$B77-(E77+I77+M77+Q77+U77+Y77)))</f>
        <v>0</v>
      </c>
      <c r="AD77" s="43" t="n">
        <f aca="false">MAX(0,AA77-AB77-AC77)</f>
        <v>0</v>
      </c>
      <c r="AE77" s="43" t="n">
        <f aca="false">IF(AH76&gt;0.005,AH76*(1+Ordem!$K$13),0)</f>
        <v>0</v>
      </c>
      <c r="AF77" s="43" t="n">
        <f aca="false">MIN(AE77,Ordem!$L$13)</f>
        <v>0</v>
      </c>
      <c r="AG77" s="43" t="n">
        <f aca="false">MAX(0,MIN(AE77-AF77,$B77-(E77+I77+M77+Q77+U77+Y77+AC77)))</f>
        <v>0</v>
      </c>
      <c r="AH77" s="43" t="n">
        <f aca="false">MAX(0,AE77-AF77-AG77)</f>
        <v>0</v>
      </c>
      <c r="AI77" s="43" t="n">
        <f aca="false">IF(AL76&gt;0.005,AL76*(1+Ordem!$K$14),0)</f>
        <v>0</v>
      </c>
      <c r="AJ77" s="43" t="n">
        <f aca="false">MIN(AI77,Ordem!$L$14)</f>
        <v>0</v>
      </c>
      <c r="AK77" s="43" t="n">
        <f aca="false">MAX(0,MIN(AI77-AJ77,$B77-(E77+I77+M77+Q77+U77+Y77+AC77+AG77)))</f>
        <v>0</v>
      </c>
      <c r="AL77" s="43" t="n">
        <f aca="false">MAX(0,AI77-AJ77-AK77)</f>
        <v>0</v>
      </c>
      <c r="AM77" s="43" t="n">
        <f aca="false">IF(AP76&gt;0.005,AP76*(1+Ordem!$K$15),0)</f>
        <v>0</v>
      </c>
      <c r="AN77" s="43" t="n">
        <f aca="false">MIN(AM77,Ordem!$L$15)</f>
        <v>0</v>
      </c>
      <c r="AO77" s="43" t="n">
        <f aca="false">MAX(0,MIN(AM77-AN77,$B77-(E77+I77+M77+Q77+U77+Y77+AC77+AG77+AK77)))</f>
        <v>0</v>
      </c>
      <c r="AP77" s="43" t="n">
        <f aca="false">MAX(0,AM77-AN77-AO77)</f>
        <v>0</v>
      </c>
      <c r="AQ77" s="43" t="n">
        <f aca="false">F77+J77+N77+R77+V77+Z77+AD77+AH77+AL77+AP77</f>
        <v>0</v>
      </c>
      <c r="AR77" s="43" t="n">
        <f aca="false">D77+E77+H77+I77+L77+M77+P77+Q77+T77+U77+X77+Y77+AB77+AC77+AF77+AG77+AJ77+AK77+AN77+AO77</f>
        <v>0</v>
      </c>
    </row>
    <row r="78" customFormat="false" ht="15" hidden="false" customHeight="false" outlineLevel="0" collapsed="false">
      <c r="A78" s="0" t="n">
        <v>74</v>
      </c>
      <c r="B78" s="43" t="n">
        <f aca="false">MAX(0,Dívidas!$C$20-(D78+H78+L78+P78+T78+X78+AB78+AF78+AJ78+AN78))</f>
        <v>1450</v>
      </c>
      <c r="C78" s="43" t="n">
        <f aca="false">IF(F77&gt;0.005,F77*(1+Ordem!$K$6),0)</f>
        <v>0</v>
      </c>
      <c r="D78" s="43" t="n">
        <f aca="false">MIN(C78,Ordem!$L$6)</f>
        <v>0</v>
      </c>
      <c r="E78" s="43" t="n">
        <f aca="false">MAX(0,MIN(C78-D78,$B78-(0)))</f>
        <v>0</v>
      </c>
      <c r="F78" s="43" t="n">
        <f aca="false">MAX(0,C78-D78-E78)</f>
        <v>0</v>
      </c>
      <c r="G78" s="43" t="n">
        <f aca="false">IF(J77&gt;0.005,J77*(1+Ordem!$K$7),0)</f>
        <v>0</v>
      </c>
      <c r="H78" s="43" t="n">
        <f aca="false">MIN(G78,Ordem!$L$7)</f>
        <v>0</v>
      </c>
      <c r="I78" s="43" t="n">
        <f aca="false">MAX(0,MIN(G78-H78,$B78-(E78)))</f>
        <v>0</v>
      </c>
      <c r="J78" s="43" t="n">
        <f aca="false">MAX(0,G78-H78-I78)</f>
        <v>0</v>
      </c>
      <c r="K78" s="43" t="n">
        <f aca="false">IF(N77&gt;0.005,N77*(1+Ordem!$K$8),0)</f>
        <v>0</v>
      </c>
      <c r="L78" s="43" t="n">
        <f aca="false">MIN(K78,Ordem!$L$8)</f>
        <v>0</v>
      </c>
      <c r="M78" s="43" t="n">
        <f aca="false">MAX(0,MIN(K78-L78,$B78-(E78+I78)))</f>
        <v>0</v>
      </c>
      <c r="N78" s="43" t="n">
        <f aca="false">MAX(0,K78-L78-M78)</f>
        <v>0</v>
      </c>
      <c r="O78" s="43" t="n">
        <f aca="false">IF(R77&gt;0.005,R77*(1+Ordem!$K$9),0)</f>
        <v>0</v>
      </c>
      <c r="P78" s="43" t="n">
        <f aca="false">MIN(O78,Ordem!$L$9)</f>
        <v>0</v>
      </c>
      <c r="Q78" s="43" t="n">
        <f aca="false">MAX(0,MIN(O78-P78,$B78-(E78+I78+M78)))</f>
        <v>0</v>
      </c>
      <c r="R78" s="43" t="n">
        <f aca="false">MAX(0,O78-P78-Q78)</f>
        <v>0</v>
      </c>
      <c r="S78" s="43" t="n">
        <f aca="false">IF(V77&gt;0.005,V77*(1+Ordem!$K$10),0)</f>
        <v>0</v>
      </c>
      <c r="T78" s="43" t="n">
        <f aca="false">MIN(S78,Ordem!$L$10)</f>
        <v>0</v>
      </c>
      <c r="U78" s="43" t="n">
        <f aca="false">MAX(0,MIN(S78-T78,$B78-(E78+I78+M78+Q78)))</f>
        <v>0</v>
      </c>
      <c r="V78" s="43" t="n">
        <f aca="false">MAX(0,S78-T78-U78)</f>
        <v>0</v>
      </c>
      <c r="W78" s="43" t="n">
        <f aca="false">IF(Z77&gt;0.005,Z77*(1+Ordem!$K$11),0)</f>
        <v>0</v>
      </c>
      <c r="X78" s="43" t="n">
        <f aca="false">MIN(W78,Ordem!$L$11)</f>
        <v>0</v>
      </c>
      <c r="Y78" s="43" t="n">
        <f aca="false">MAX(0,MIN(W78-X78,$B78-(E78+I78+M78+Q78+U78)))</f>
        <v>0</v>
      </c>
      <c r="Z78" s="43" t="n">
        <f aca="false">MAX(0,W78-X78-Y78)</f>
        <v>0</v>
      </c>
      <c r="AA78" s="43" t="n">
        <f aca="false">IF(AD77&gt;0.005,AD77*(1+Ordem!$K$12),0)</f>
        <v>0</v>
      </c>
      <c r="AB78" s="43" t="n">
        <f aca="false">MIN(AA78,Ordem!$L$12)</f>
        <v>0</v>
      </c>
      <c r="AC78" s="43" t="n">
        <f aca="false">MAX(0,MIN(AA78-AB78,$B78-(E78+I78+M78+Q78+U78+Y78)))</f>
        <v>0</v>
      </c>
      <c r="AD78" s="43" t="n">
        <f aca="false">MAX(0,AA78-AB78-AC78)</f>
        <v>0</v>
      </c>
      <c r="AE78" s="43" t="n">
        <f aca="false">IF(AH77&gt;0.005,AH77*(1+Ordem!$K$13),0)</f>
        <v>0</v>
      </c>
      <c r="AF78" s="43" t="n">
        <f aca="false">MIN(AE78,Ordem!$L$13)</f>
        <v>0</v>
      </c>
      <c r="AG78" s="43" t="n">
        <f aca="false">MAX(0,MIN(AE78-AF78,$B78-(E78+I78+M78+Q78+U78+Y78+AC78)))</f>
        <v>0</v>
      </c>
      <c r="AH78" s="43" t="n">
        <f aca="false">MAX(0,AE78-AF78-AG78)</f>
        <v>0</v>
      </c>
      <c r="AI78" s="43" t="n">
        <f aca="false">IF(AL77&gt;0.005,AL77*(1+Ordem!$K$14),0)</f>
        <v>0</v>
      </c>
      <c r="AJ78" s="43" t="n">
        <f aca="false">MIN(AI78,Ordem!$L$14)</f>
        <v>0</v>
      </c>
      <c r="AK78" s="43" t="n">
        <f aca="false">MAX(0,MIN(AI78-AJ78,$B78-(E78+I78+M78+Q78+U78+Y78+AC78+AG78)))</f>
        <v>0</v>
      </c>
      <c r="AL78" s="43" t="n">
        <f aca="false">MAX(0,AI78-AJ78-AK78)</f>
        <v>0</v>
      </c>
      <c r="AM78" s="43" t="n">
        <f aca="false">IF(AP77&gt;0.005,AP77*(1+Ordem!$K$15),0)</f>
        <v>0</v>
      </c>
      <c r="AN78" s="43" t="n">
        <f aca="false">MIN(AM78,Ordem!$L$15)</f>
        <v>0</v>
      </c>
      <c r="AO78" s="43" t="n">
        <f aca="false">MAX(0,MIN(AM78-AN78,$B78-(E78+I78+M78+Q78+U78+Y78+AC78+AG78+AK78)))</f>
        <v>0</v>
      </c>
      <c r="AP78" s="43" t="n">
        <f aca="false">MAX(0,AM78-AN78-AO78)</f>
        <v>0</v>
      </c>
      <c r="AQ78" s="43" t="n">
        <f aca="false">F78+J78+N78+R78+V78+Z78+AD78+AH78+AL78+AP78</f>
        <v>0</v>
      </c>
      <c r="AR78" s="43" t="n">
        <f aca="false">D78+E78+H78+I78+L78+M78+P78+Q78+T78+U78+X78+Y78+AB78+AC78+AF78+AG78+AJ78+AK78+AN78+AO78</f>
        <v>0</v>
      </c>
    </row>
    <row r="79" customFormat="false" ht="15" hidden="false" customHeight="false" outlineLevel="0" collapsed="false">
      <c r="A79" s="0" t="n">
        <v>75</v>
      </c>
      <c r="B79" s="43" t="n">
        <f aca="false">MAX(0,Dívidas!$C$20-(D79+H79+L79+P79+T79+X79+AB79+AF79+AJ79+AN79))</f>
        <v>1450</v>
      </c>
      <c r="C79" s="43" t="n">
        <f aca="false">IF(F78&gt;0.005,F78*(1+Ordem!$K$6),0)</f>
        <v>0</v>
      </c>
      <c r="D79" s="43" t="n">
        <f aca="false">MIN(C79,Ordem!$L$6)</f>
        <v>0</v>
      </c>
      <c r="E79" s="43" t="n">
        <f aca="false">MAX(0,MIN(C79-D79,$B79-(0)))</f>
        <v>0</v>
      </c>
      <c r="F79" s="43" t="n">
        <f aca="false">MAX(0,C79-D79-E79)</f>
        <v>0</v>
      </c>
      <c r="G79" s="43" t="n">
        <f aca="false">IF(J78&gt;0.005,J78*(1+Ordem!$K$7),0)</f>
        <v>0</v>
      </c>
      <c r="H79" s="43" t="n">
        <f aca="false">MIN(G79,Ordem!$L$7)</f>
        <v>0</v>
      </c>
      <c r="I79" s="43" t="n">
        <f aca="false">MAX(0,MIN(G79-H79,$B79-(E79)))</f>
        <v>0</v>
      </c>
      <c r="J79" s="43" t="n">
        <f aca="false">MAX(0,G79-H79-I79)</f>
        <v>0</v>
      </c>
      <c r="K79" s="43" t="n">
        <f aca="false">IF(N78&gt;0.005,N78*(1+Ordem!$K$8),0)</f>
        <v>0</v>
      </c>
      <c r="L79" s="43" t="n">
        <f aca="false">MIN(K79,Ordem!$L$8)</f>
        <v>0</v>
      </c>
      <c r="M79" s="43" t="n">
        <f aca="false">MAX(0,MIN(K79-L79,$B79-(E79+I79)))</f>
        <v>0</v>
      </c>
      <c r="N79" s="43" t="n">
        <f aca="false">MAX(0,K79-L79-M79)</f>
        <v>0</v>
      </c>
      <c r="O79" s="43" t="n">
        <f aca="false">IF(R78&gt;0.005,R78*(1+Ordem!$K$9),0)</f>
        <v>0</v>
      </c>
      <c r="P79" s="43" t="n">
        <f aca="false">MIN(O79,Ordem!$L$9)</f>
        <v>0</v>
      </c>
      <c r="Q79" s="43" t="n">
        <f aca="false">MAX(0,MIN(O79-P79,$B79-(E79+I79+M79)))</f>
        <v>0</v>
      </c>
      <c r="R79" s="43" t="n">
        <f aca="false">MAX(0,O79-P79-Q79)</f>
        <v>0</v>
      </c>
      <c r="S79" s="43" t="n">
        <f aca="false">IF(V78&gt;0.005,V78*(1+Ordem!$K$10),0)</f>
        <v>0</v>
      </c>
      <c r="T79" s="43" t="n">
        <f aca="false">MIN(S79,Ordem!$L$10)</f>
        <v>0</v>
      </c>
      <c r="U79" s="43" t="n">
        <f aca="false">MAX(0,MIN(S79-T79,$B79-(E79+I79+M79+Q79)))</f>
        <v>0</v>
      </c>
      <c r="V79" s="43" t="n">
        <f aca="false">MAX(0,S79-T79-U79)</f>
        <v>0</v>
      </c>
      <c r="W79" s="43" t="n">
        <f aca="false">IF(Z78&gt;0.005,Z78*(1+Ordem!$K$11),0)</f>
        <v>0</v>
      </c>
      <c r="X79" s="43" t="n">
        <f aca="false">MIN(W79,Ordem!$L$11)</f>
        <v>0</v>
      </c>
      <c r="Y79" s="43" t="n">
        <f aca="false">MAX(0,MIN(W79-X79,$B79-(E79+I79+M79+Q79+U79)))</f>
        <v>0</v>
      </c>
      <c r="Z79" s="43" t="n">
        <f aca="false">MAX(0,W79-X79-Y79)</f>
        <v>0</v>
      </c>
      <c r="AA79" s="43" t="n">
        <f aca="false">IF(AD78&gt;0.005,AD78*(1+Ordem!$K$12),0)</f>
        <v>0</v>
      </c>
      <c r="AB79" s="43" t="n">
        <f aca="false">MIN(AA79,Ordem!$L$12)</f>
        <v>0</v>
      </c>
      <c r="AC79" s="43" t="n">
        <f aca="false">MAX(0,MIN(AA79-AB79,$B79-(E79+I79+M79+Q79+U79+Y79)))</f>
        <v>0</v>
      </c>
      <c r="AD79" s="43" t="n">
        <f aca="false">MAX(0,AA79-AB79-AC79)</f>
        <v>0</v>
      </c>
      <c r="AE79" s="43" t="n">
        <f aca="false">IF(AH78&gt;0.005,AH78*(1+Ordem!$K$13),0)</f>
        <v>0</v>
      </c>
      <c r="AF79" s="43" t="n">
        <f aca="false">MIN(AE79,Ordem!$L$13)</f>
        <v>0</v>
      </c>
      <c r="AG79" s="43" t="n">
        <f aca="false">MAX(0,MIN(AE79-AF79,$B79-(E79+I79+M79+Q79+U79+Y79+AC79)))</f>
        <v>0</v>
      </c>
      <c r="AH79" s="43" t="n">
        <f aca="false">MAX(0,AE79-AF79-AG79)</f>
        <v>0</v>
      </c>
      <c r="AI79" s="43" t="n">
        <f aca="false">IF(AL78&gt;0.005,AL78*(1+Ordem!$K$14),0)</f>
        <v>0</v>
      </c>
      <c r="AJ79" s="43" t="n">
        <f aca="false">MIN(AI79,Ordem!$L$14)</f>
        <v>0</v>
      </c>
      <c r="AK79" s="43" t="n">
        <f aca="false">MAX(0,MIN(AI79-AJ79,$B79-(E79+I79+M79+Q79+U79+Y79+AC79+AG79)))</f>
        <v>0</v>
      </c>
      <c r="AL79" s="43" t="n">
        <f aca="false">MAX(0,AI79-AJ79-AK79)</f>
        <v>0</v>
      </c>
      <c r="AM79" s="43" t="n">
        <f aca="false">IF(AP78&gt;0.005,AP78*(1+Ordem!$K$15),0)</f>
        <v>0</v>
      </c>
      <c r="AN79" s="43" t="n">
        <f aca="false">MIN(AM79,Ordem!$L$15)</f>
        <v>0</v>
      </c>
      <c r="AO79" s="43" t="n">
        <f aca="false">MAX(0,MIN(AM79-AN79,$B79-(E79+I79+M79+Q79+U79+Y79+AC79+AG79+AK79)))</f>
        <v>0</v>
      </c>
      <c r="AP79" s="43" t="n">
        <f aca="false">MAX(0,AM79-AN79-AO79)</f>
        <v>0</v>
      </c>
      <c r="AQ79" s="43" t="n">
        <f aca="false">F79+J79+N79+R79+V79+Z79+AD79+AH79+AL79+AP79</f>
        <v>0</v>
      </c>
      <c r="AR79" s="43" t="n">
        <f aca="false">D79+E79+H79+I79+L79+M79+P79+Q79+T79+U79+X79+Y79+AB79+AC79+AF79+AG79+AJ79+AK79+AN79+AO79</f>
        <v>0</v>
      </c>
    </row>
    <row r="80" customFormat="false" ht="15" hidden="false" customHeight="false" outlineLevel="0" collapsed="false">
      <c r="A80" s="0" t="n">
        <v>76</v>
      </c>
      <c r="B80" s="43" t="n">
        <f aca="false">MAX(0,Dívidas!$C$20-(D80+H80+L80+P80+T80+X80+AB80+AF80+AJ80+AN80))</f>
        <v>1450</v>
      </c>
      <c r="C80" s="43" t="n">
        <f aca="false">IF(F79&gt;0.005,F79*(1+Ordem!$K$6),0)</f>
        <v>0</v>
      </c>
      <c r="D80" s="43" t="n">
        <f aca="false">MIN(C80,Ordem!$L$6)</f>
        <v>0</v>
      </c>
      <c r="E80" s="43" t="n">
        <f aca="false">MAX(0,MIN(C80-D80,$B80-(0)))</f>
        <v>0</v>
      </c>
      <c r="F80" s="43" t="n">
        <f aca="false">MAX(0,C80-D80-E80)</f>
        <v>0</v>
      </c>
      <c r="G80" s="43" t="n">
        <f aca="false">IF(J79&gt;0.005,J79*(1+Ordem!$K$7),0)</f>
        <v>0</v>
      </c>
      <c r="H80" s="43" t="n">
        <f aca="false">MIN(G80,Ordem!$L$7)</f>
        <v>0</v>
      </c>
      <c r="I80" s="43" t="n">
        <f aca="false">MAX(0,MIN(G80-H80,$B80-(E80)))</f>
        <v>0</v>
      </c>
      <c r="J80" s="43" t="n">
        <f aca="false">MAX(0,G80-H80-I80)</f>
        <v>0</v>
      </c>
      <c r="K80" s="43" t="n">
        <f aca="false">IF(N79&gt;0.005,N79*(1+Ordem!$K$8),0)</f>
        <v>0</v>
      </c>
      <c r="L80" s="43" t="n">
        <f aca="false">MIN(K80,Ordem!$L$8)</f>
        <v>0</v>
      </c>
      <c r="M80" s="43" t="n">
        <f aca="false">MAX(0,MIN(K80-L80,$B80-(E80+I80)))</f>
        <v>0</v>
      </c>
      <c r="N80" s="43" t="n">
        <f aca="false">MAX(0,K80-L80-M80)</f>
        <v>0</v>
      </c>
      <c r="O80" s="43" t="n">
        <f aca="false">IF(R79&gt;0.005,R79*(1+Ordem!$K$9),0)</f>
        <v>0</v>
      </c>
      <c r="P80" s="43" t="n">
        <f aca="false">MIN(O80,Ordem!$L$9)</f>
        <v>0</v>
      </c>
      <c r="Q80" s="43" t="n">
        <f aca="false">MAX(0,MIN(O80-P80,$B80-(E80+I80+M80)))</f>
        <v>0</v>
      </c>
      <c r="R80" s="43" t="n">
        <f aca="false">MAX(0,O80-P80-Q80)</f>
        <v>0</v>
      </c>
      <c r="S80" s="43" t="n">
        <f aca="false">IF(V79&gt;0.005,V79*(1+Ordem!$K$10),0)</f>
        <v>0</v>
      </c>
      <c r="T80" s="43" t="n">
        <f aca="false">MIN(S80,Ordem!$L$10)</f>
        <v>0</v>
      </c>
      <c r="U80" s="43" t="n">
        <f aca="false">MAX(0,MIN(S80-T80,$B80-(E80+I80+M80+Q80)))</f>
        <v>0</v>
      </c>
      <c r="V80" s="43" t="n">
        <f aca="false">MAX(0,S80-T80-U80)</f>
        <v>0</v>
      </c>
      <c r="W80" s="43" t="n">
        <f aca="false">IF(Z79&gt;0.005,Z79*(1+Ordem!$K$11),0)</f>
        <v>0</v>
      </c>
      <c r="X80" s="43" t="n">
        <f aca="false">MIN(W80,Ordem!$L$11)</f>
        <v>0</v>
      </c>
      <c r="Y80" s="43" t="n">
        <f aca="false">MAX(0,MIN(W80-X80,$B80-(E80+I80+M80+Q80+U80)))</f>
        <v>0</v>
      </c>
      <c r="Z80" s="43" t="n">
        <f aca="false">MAX(0,W80-X80-Y80)</f>
        <v>0</v>
      </c>
      <c r="AA80" s="43" t="n">
        <f aca="false">IF(AD79&gt;0.005,AD79*(1+Ordem!$K$12),0)</f>
        <v>0</v>
      </c>
      <c r="AB80" s="43" t="n">
        <f aca="false">MIN(AA80,Ordem!$L$12)</f>
        <v>0</v>
      </c>
      <c r="AC80" s="43" t="n">
        <f aca="false">MAX(0,MIN(AA80-AB80,$B80-(E80+I80+M80+Q80+U80+Y80)))</f>
        <v>0</v>
      </c>
      <c r="AD80" s="43" t="n">
        <f aca="false">MAX(0,AA80-AB80-AC80)</f>
        <v>0</v>
      </c>
      <c r="AE80" s="43" t="n">
        <f aca="false">IF(AH79&gt;0.005,AH79*(1+Ordem!$K$13),0)</f>
        <v>0</v>
      </c>
      <c r="AF80" s="43" t="n">
        <f aca="false">MIN(AE80,Ordem!$L$13)</f>
        <v>0</v>
      </c>
      <c r="AG80" s="43" t="n">
        <f aca="false">MAX(0,MIN(AE80-AF80,$B80-(E80+I80+M80+Q80+U80+Y80+AC80)))</f>
        <v>0</v>
      </c>
      <c r="AH80" s="43" t="n">
        <f aca="false">MAX(0,AE80-AF80-AG80)</f>
        <v>0</v>
      </c>
      <c r="AI80" s="43" t="n">
        <f aca="false">IF(AL79&gt;0.005,AL79*(1+Ordem!$K$14),0)</f>
        <v>0</v>
      </c>
      <c r="AJ80" s="43" t="n">
        <f aca="false">MIN(AI80,Ordem!$L$14)</f>
        <v>0</v>
      </c>
      <c r="AK80" s="43" t="n">
        <f aca="false">MAX(0,MIN(AI80-AJ80,$B80-(E80+I80+M80+Q80+U80+Y80+AC80+AG80)))</f>
        <v>0</v>
      </c>
      <c r="AL80" s="43" t="n">
        <f aca="false">MAX(0,AI80-AJ80-AK80)</f>
        <v>0</v>
      </c>
      <c r="AM80" s="43" t="n">
        <f aca="false">IF(AP79&gt;0.005,AP79*(1+Ordem!$K$15),0)</f>
        <v>0</v>
      </c>
      <c r="AN80" s="43" t="n">
        <f aca="false">MIN(AM80,Ordem!$L$15)</f>
        <v>0</v>
      </c>
      <c r="AO80" s="43" t="n">
        <f aca="false">MAX(0,MIN(AM80-AN80,$B80-(E80+I80+M80+Q80+U80+Y80+AC80+AG80+AK80)))</f>
        <v>0</v>
      </c>
      <c r="AP80" s="43" t="n">
        <f aca="false">MAX(0,AM80-AN80-AO80)</f>
        <v>0</v>
      </c>
      <c r="AQ80" s="43" t="n">
        <f aca="false">F80+J80+N80+R80+V80+Z80+AD80+AH80+AL80+AP80</f>
        <v>0</v>
      </c>
      <c r="AR80" s="43" t="n">
        <f aca="false">D80+E80+H80+I80+L80+M80+P80+Q80+T80+U80+X80+Y80+AB80+AC80+AF80+AG80+AJ80+AK80+AN80+AO80</f>
        <v>0</v>
      </c>
    </row>
    <row r="81" customFormat="false" ht="15" hidden="false" customHeight="false" outlineLevel="0" collapsed="false">
      <c r="A81" s="0" t="n">
        <v>77</v>
      </c>
      <c r="B81" s="43" t="n">
        <f aca="false">MAX(0,Dívidas!$C$20-(D81+H81+L81+P81+T81+X81+AB81+AF81+AJ81+AN81))</f>
        <v>1450</v>
      </c>
      <c r="C81" s="43" t="n">
        <f aca="false">IF(F80&gt;0.005,F80*(1+Ordem!$K$6),0)</f>
        <v>0</v>
      </c>
      <c r="D81" s="43" t="n">
        <f aca="false">MIN(C81,Ordem!$L$6)</f>
        <v>0</v>
      </c>
      <c r="E81" s="43" t="n">
        <f aca="false">MAX(0,MIN(C81-D81,$B81-(0)))</f>
        <v>0</v>
      </c>
      <c r="F81" s="43" t="n">
        <f aca="false">MAX(0,C81-D81-E81)</f>
        <v>0</v>
      </c>
      <c r="G81" s="43" t="n">
        <f aca="false">IF(J80&gt;0.005,J80*(1+Ordem!$K$7),0)</f>
        <v>0</v>
      </c>
      <c r="H81" s="43" t="n">
        <f aca="false">MIN(G81,Ordem!$L$7)</f>
        <v>0</v>
      </c>
      <c r="I81" s="43" t="n">
        <f aca="false">MAX(0,MIN(G81-H81,$B81-(E81)))</f>
        <v>0</v>
      </c>
      <c r="J81" s="43" t="n">
        <f aca="false">MAX(0,G81-H81-I81)</f>
        <v>0</v>
      </c>
      <c r="K81" s="43" t="n">
        <f aca="false">IF(N80&gt;0.005,N80*(1+Ordem!$K$8),0)</f>
        <v>0</v>
      </c>
      <c r="L81" s="43" t="n">
        <f aca="false">MIN(K81,Ordem!$L$8)</f>
        <v>0</v>
      </c>
      <c r="M81" s="43" t="n">
        <f aca="false">MAX(0,MIN(K81-L81,$B81-(E81+I81)))</f>
        <v>0</v>
      </c>
      <c r="N81" s="43" t="n">
        <f aca="false">MAX(0,K81-L81-M81)</f>
        <v>0</v>
      </c>
      <c r="O81" s="43" t="n">
        <f aca="false">IF(R80&gt;0.005,R80*(1+Ordem!$K$9),0)</f>
        <v>0</v>
      </c>
      <c r="P81" s="43" t="n">
        <f aca="false">MIN(O81,Ordem!$L$9)</f>
        <v>0</v>
      </c>
      <c r="Q81" s="43" t="n">
        <f aca="false">MAX(0,MIN(O81-P81,$B81-(E81+I81+M81)))</f>
        <v>0</v>
      </c>
      <c r="R81" s="43" t="n">
        <f aca="false">MAX(0,O81-P81-Q81)</f>
        <v>0</v>
      </c>
      <c r="S81" s="43" t="n">
        <f aca="false">IF(V80&gt;0.005,V80*(1+Ordem!$K$10),0)</f>
        <v>0</v>
      </c>
      <c r="T81" s="43" t="n">
        <f aca="false">MIN(S81,Ordem!$L$10)</f>
        <v>0</v>
      </c>
      <c r="U81" s="43" t="n">
        <f aca="false">MAX(0,MIN(S81-T81,$B81-(E81+I81+M81+Q81)))</f>
        <v>0</v>
      </c>
      <c r="V81" s="43" t="n">
        <f aca="false">MAX(0,S81-T81-U81)</f>
        <v>0</v>
      </c>
      <c r="W81" s="43" t="n">
        <f aca="false">IF(Z80&gt;0.005,Z80*(1+Ordem!$K$11),0)</f>
        <v>0</v>
      </c>
      <c r="X81" s="43" t="n">
        <f aca="false">MIN(W81,Ordem!$L$11)</f>
        <v>0</v>
      </c>
      <c r="Y81" s="43" t="n">
        <f aca="false">MAX(0,MIN(W81-X81,$B81-(E81+I81+M81+Q81+U81)))</f>
        <v>0</v>
      </c>
      <c r="Z81" s="43" t="n">
        <f aca="false">MAX(0,W81-X81-Y81)</f>
        <v>0</v>
      </c>
      <c r="AA81" s="43" t="n">
        <f aca="false">IF(AD80&gt;0.005,AD80*(1+Ordem!$K$12),0)</f>
        <v>0</v>
      </c>
      <c r="AB81" s="43" t="n">
        <f aca="false">MIN(AA81,Ordem!$L$12)</f>
        <v>0</v>
      </c>
      <c r="AC81" s="43" t="n">
        <f aca="false">MAX(0,MIN(AA81-AB81,$B81-(E81+I81+M81+Q81+U81+Y81)))</f>
        <v>0</v>
      </c>
      <c r="AD81" s="43" t="n">
        <f aca="false">MAX(0,AA81-AB81-AC81)</f>
        <v>0</v>
      </c>
      <c r="AE81" s="43" t="n">
        <f aca="false">IF(AH80&gt;0.005,AH80*(1+Ordem!$K$13),0)</f>
        <v>0</v>
      </c>
      <c r="AF81" s="43" t="n">
        <f aca="false">MIN(AE81,Ordem!$L$13)</f>
        <v>0</v>
      </c>
      <c r="AG81" s="43" t="n">
        <f aca="false">MAX(0,MIN(AE81-AF81,$B81-(E81+I81+M81+Q81+U81+Y81+AC81)))</f>
        <v>0</v>
      </c>
      <c r="AH81" s="43" t="n">
        <f aca="false">MAX(0,AE81-AF81-AG81)</f>
        <v>0</v>
      </c>
      <c r="AI81" s="43" t="n">
        <f aca="false">IF(AL80&gt;0.005,AL80*(1+Ordem!$K$14),0)</f>
        <v>0</v>
      </c>
      <c r="AJ81" s="43" t="n">
        <f aca="false">MIN(AI81,Ordem!$L$14)</f>
        <v>0</v>
      </c>
      <c r="AK81" s="43" t="n">
        <f aca="false">MAX(0,MIN(AI81-AJ81,$B81-(E81+I81+M81+Q81+U81+Y81+AC81+AG81)))</f>
        <v>0</v>
      </c>
      <c r="AL81" s="43" t="n">
        <f aca="false">MAX(0,AI81-AJ81-AK81)</f>
        <v>0</v>
      </c>
      <c r="AM81" s="43" t="n">
        <f aca="false">IF(AP80&gt;0.005,AP80*(1+Ordem!$K$15),0)</f>
        <v>0</v>
      </c>
      <c r="AN81" s="43" t="n">
        <f aca="false">MIN(AM81,Ordem!$L$15)</f>
        <v>0</v>
      </c>
      <c r="AO81" s="43" t="n">
        <f aca="false">MAX(0,MIN(AM81-AN81,$B81-(E81+I81+M81+Q81+U81+Y81+AC81+AG81+AK81)))</f>
        <v>0</v>
      </c>
      <c r="AP81" s="43" t="n">
        <f aca="false">MAX(0,AM81-AN81-AO81)</f>
        <v>0</v>
      </c>
      <c r="AQ81" s="43" t="n">
        <f aca="false">F81+J81+N81+R81+V81+Z81+AD81+AH81+AL81+AP81</f>
        <v>0</v>
      </c>
      <c r="AR81" s="43" t="n">
        <f aca="false">D81+E81+H81+I81+L81+M81+P81+Q81+T81+U81+X81+Y81+AB81+AC81+AF81+AG81+AJ81+AK81+AN81+AO81</f>
        <v>0</v>
      </c>
    </row>
    <row r="82" customFormat="false" ht="15" hidden="false" customHeight="false" outlineLevel="0" collapsed="false">
      <c r="A82" s="0" t="n">
        <v>78</v>
      </c>
      <c r="B82" s="43" t="n">
        <f aca="false">MAX(0,Dívidas!$C$20-(D82+H82+L82+P82+T82+X82+AB82+AF82+AJ82+AN82))</f>
        <v>1450</v>
      </c>
      <c r="C82" s="43" t="n">
        <f aca="false">IF(F81&gt;0.005,F81*(1+Ordem!$K$6),0)</f>
        <v>0</v>
      </c>
      <c r="D82" s="43" t="n">
        <f aca="false">MIN(C82,Ordem!$L$6)</f>
        <v>0</v>
      </c>
      <c r="E82" s="43" t="n">
        <f aca="false">MAX(0,MIN(C82-D82,$B82-(0)))</f>
        <v>0</v>
      </c>
      <c r="F82" s="43" t="n">
        <f aca="false">MAX(0,C82-D82-E82)</f>
        <v>0</v>
      </c>
      <c r="G82" s="43" t="n">
        <f aca="false">IF(J81&gt;0.005,J81*(1+Ordem!$K$7),0)</f>
        <v>0</v>
      </c>
      <c r="H82" s="43" t="n">
        <f aca="false">MIN(G82,Ordem!$L$7)</f>
        <v>0</v>
      </c>
      <c r="I82" s="43" t="n">
        <f aca="false">MAX(0,MIN(G82-H82,$B82-(E82)))</f>
        <v>0</v>
      </c>
      <c r="J82" s="43" t="n">
        <f aca="false">MAX(0,G82-H82-I82)</f>
        <v>0</v>
      </c>
      <c r="K82" s="43" t="n">
        <f aca="false">IF(N81&gt;0.005,N81*(1+Ordem!$K$8),0)</f>
        <v>0</v>
      </c>
      <c r="L82" s="43" t="n">
        <f aca="false">MIN(K82,Ordem!$L$8)</f>
        <v>0</v>
      </c>
      <c r="M82" s="43" t="n">
        <f aca="false">MAX(0,MIN(K82-L82,$B82-(E82+I82)))</f>
        <v>0</v>
      </c>
      <c r="N82" s="43" t="n">
        <f aca="false">MAX(0,K82-L82-M82)</f>
        <v>0</v>
      </c>
      <c r="O82" s="43" t="n">
        <f aca="false">IF(R81&gt;0.005,R81*(1+Ordem!$K$9),0)</f>
        <v>0</v>
      </c>
      <c r="P82" s="43" t="n">
        <f aca="false">MIN(O82,Ordem!$L$9)</f>
        <v>0</v>
      </c>
      <c r="Q82" s="43" t="n">
        <f aca="false">MAX(0,MIN(O82-P82,$B82-(E82+I82+M82)))</f>
        <v>0</v>
      </c>
      <c r="R82" s="43" t="n">
        <f aca="false">MAX(0,O82-P82-Q82)</f>
        <v>0</v>
      </c>
      <c r="S82" s="43" t="n">
        <f aca="false">IF(V81&gt;0.005,V81*(1+Ordem!$K$10),0)</f>
        <v>0</v>
      </c>
      <c r="T82" s="43" t="n">
        <f aca="false">MIN(S82,Ordem!$L$10)</f>
        <v>0</v>
      </c>
      <c r="U82" s="43" t="n">
        <f aca="false">MAX(0,MIN(S82-T82,$B82-(E82+I82+M82+Q82)))</f>
        <v>0</v>
      </c>
      <c r="V82" s="43" t="n">
        <f aca="false">MAX(0,S82-T82-U82)</f>
        <v>0</v>
      </c>
      <c r="W82" s="43" t="n">
        <f aca="false">IF(Z81&gt;0.005,Z81*(1+Ordem!$K$11),0)</f>
        <v>0</v>
      </c>
      <c r="X82" s="43" t="n">
        <f aca="false">MIN(W82,Ordem!$L$11)</f>
        <v>0</v>
      </c>
      <c r="Y82" s="43" t="n">
        <f aca="false">MAX(0,MIN(W82-X82,$B82-(E82+I82+M82+Q82+U82)))</f>
        <v>0</v>
      </c>
      <c r="Z82" s="43" t="n">
        <f aca="false">MAX(0,W82-X82-Y82)</f>
        <v>0</v>
      </c>
      <c r="AA82" s="43" t="n">
        <f aca="false">IF(AD81&gt;0.005,AD81*(1+Ordem!$K$12),0)</f>
        <v>0</v>
      </c>
      <c r="AB82" s="43" t="n">
        <f aca="false">MIN(AA82,Ordem!$L$12)</f>
        <v>0</v>
      </c>
      <c r="AC82" s="43" t="n">
        <f aca="false">MAX(0,MIN(AA82-AB82,$B82-(E82+I82+M82+Q82+U82+Y82)))</f>
        <v>0</v>
      </c>
      <c r="AD82" s="43" t="n">
        <f aca="false">MAX(0,AA82-AB82-AC82)</f>
        <v>0</v>
      </c>
      <c r="AE82" s="43" t="n">
        <f aca="false">IF(AH81&gt;0.005,AH81*(1+Ordem!$K$13),0)</f>
        <v>0</v>
      </c>
      <c r="AF82" s="43" t="n">
        <f aca="false">MIN(AE82,Ordem!$L$13)</f>
        <v>0</v>
      </c>
      <c r="AG82" s="43" t="n">
        <f aca="false">MAX(0,MIN(AE82-AF82,$B82-(E82+I82+M82+Q82+U82+Y82+AC82)))</f>
        <v>0</v>
      </c>
      <c r="AH82" s="43" t="n">
        <f aca="false">MAX(0,AE82-AF82-AG82)</f>
        <v>0</v>
      </c>
      <c r="AI82" s="43" t="n">
        <f aca="false">IF(AL81&gt;0.005,AL81*(1+Ordem!$K$14),0)</f>
        <v>0</v>
      </c>
      <c r="AJ82" s="43" t="n">
        <f aca="false">MIN(AI82,Ordem!$L$14)</f>
        <v>0</v>
      </c>
      <c r="AK82" s="43" t="n">
        <f aca="false">MAX(0,MIN(AI82-AJ82,$B82-(E82+I82+M82+Q82+U82+Y82+AC82+AG82)))</f>
        <v>0</v>
      </c>
      <c r="AL82" s="43" t="n">
        <f aca="false">MAX(0,AI82-AJ82-AK82)</f>
        <v>0</v>
      </c>
      <c r="AM82" s="43" t="n">
        <f aca="false">IF(AP81&gt;0.005,AP81*(1+Ordem!$K$15),0)</f>
        <v>0</v>
      </c>
      <c r="AN82" s="43" t="n">
        <f aca="false">MIN(AM82,Ordem!$L$15)</f>
        <v>0</v>
      </c>
      <c r="AO82" s="43" t="n">
        <f aca="false">MAX(0,MIN(AM82-AN82,$B82-(E82+I82+M82+Q82+U82+Y82+AC82+AG82+AK82)))</f>
        <v>0</v>
      </c>
      <c r="AP82" s="43" t="n">
        <f aca="false">MAX(0,AM82-AN82-AO82)</f>
        <v>0</v>
      </c>
      <c r="AQ82" s="43" t="n">
        <f aca="false">F82+J82+N82+R82+V82+Z82+AD82+AH82+AL82+AP82</f>
        <v>0</v>
      </c>
      <c r="AR82" s="43" t="n">
        <f aca="false">D82+E82+H82+I82+L82+M82+P82+Q82+T82+U82+X82+Y82+AB82+AC82+AF82+AG82+AJ82+AK82+AN82+AO82</f>
        <v>0</v>
      </c>
    </row>
    <row r="83" customFormat="false" ht="15" hidden="false" customHeight="false" outlineLevel="0" collapsed="false">
      <c r="A83" s="0" t="n">
        <v>79</v>
      </c>
      <c r="B83" s="43" t="n">
        <f aca="false">MAX(0,Dívidas!$C$20-(D83+H83+L83+P83+T83+X83+AB83+AF83+AJ83+AN83))</f>
        <v>1450</v>
      </c>
      <c r="C83" s="43" t="n">
        <f aca="false">IF(F82&gt;0.005,F82*(1+Ordem!$K$6),0)</f>
        <v>0</v>
      </c>
      <c r="D83" s="43" t="n">
        <f aca="false">MIN(C83,Ordem!$L$6)</f>
        <v>0</v>
      </c>
      <c r="E83" s="43" t="n">
        <f aca="false">MAX(0,MIN(C83-D83,$B83-(0)))</f>
        <v>0</v>
      </c>
      <c r="F83" s="43" t="n">
        <f aca="false">MAX(0,C83-D83-E83)</f>
        <v>0</v>
      </c>
      <c r="G83" s="43" t="n">
        <f aca="false">IF(J82&gt;0.005,J82*(1+Ordem!$K$7),0)</f>
        <v>0</v>
      </c>
      <c r="H83" s="43" t="n">
        <f aca="false">MIN(G83,Ordem!$L$7)</f>
        <v>0</v>
      </c>
      <c r="I83" s="43" t="n">
        <f aca="false">MAX(0,MIN(G83-H83,$B83-(E83)))</f>
        <v>0</v>
      </c>
      <c r="J83" s="43" t="n">
        <f aca="false">MAX(0,G83-H83-I83)</f>
        <v>0</v>
      </c>
      <c r="K83" s="43" t="n">
        <f aca="false">IF(N82&gt;0.005,N82*(1+Ordem!$K$8),0)</f>
        <v>0</v>
      </c>
      <c r="L83" s="43" t="n">
        <f aca="false">MIN(K83,Ordem!$L$8)</f>
        <v>0</v>
      </c>
      <c r="M83" s="43" t="n">
        <f aca="false">MAX(0,MIN(K83-L83,$B83-(E83+I83)))</f>
        <v>0</v>
      </c>
      <c r="N83" s="43" t="n">
        <f aca="false">MAX(0,K83-L83-M83)</f>
        <v>0</v>
      </c>
      <c r="O83" s="43" t="n">
        <f aca="false">IF(R82&gt;0.005,R82*(1+Ordem!$K$9),0)</f>
        <v>0</v>
      </c>
      <c r="P83" s="43" t="n">
        <f aca="false">MIN(O83,Ordem!$L$9)</f>
        <v>0</v>
      </c>
      <c r="Q83" s="43" t="n">
        <f aca="false">MAX(0,MIN(O83-P83,$B83-(E83+I83+M83)))</f>
        <v>0</v>
      </c>
      <c r="R83" s="43" t="n">
        <f aca="false">MAX(0,O83-P83-Q83)</f>
        <v>0</v>
      </c>
      <c r="S83" s="43" t="n">
        <f aca="false">IF(V82&gt;0.005,V82*(1+Ordem!$K$10),0)</f>
        <v>0</v>
      </c>
      <c r="T83" s="43" t="n">
        <f aca="false">MIN(S83,Ordem!$L$10)</f>
        <v>0</v>
      </c>
      <c r="U83" s="43" t="n">
        <f aca="false">MAX(0,MIN(S83-T83,$B83-(E83+I83+M83+Q83)))</f>
        <v>0</v>
      </c>
      <c r="V83" s="43" t="n">
        <f aca="false">MAX(0,S83-T83-U83)</f>
        <v>0</v>
      </c>
      <c r="W83" s="43" t="n">
        <f aca="false">IF(Z82&gt;0.005,Z82*(1+Ordem!$K$11),0)</f>
        <v>0</v>
      </c>
      <c r="X83" s="43" t="n">
        <f aca="false">MIN(W83,Ordem!$L$11)</f>
        <v>0</v>
      </c>
      <c r="Y83" s="43" t="n">
        <f aca="false">MAX(0,MIN(W83-X83,$B83-(E83+I83+M83+Q83+U83)))</f>
        <v>0</v>
      </c>
      <c r="Z83" s="43" t="n">
        <f aca="false">MAX(0,W83-X83-Y83)</f>
        <v>0</v>
      </c>
      <c r="AA83" s="43" t="n">
        <f aca="false">IF(AD82&gt;0.005,AD82*(1+Ordem!$K$12),0)</f>
        <v>0</v>
      </c>
      <c r="AB83" s="43" t="n">
        <f aca="false">MIN(AA83,Ordem!$L$12)</f>
        <v>0</v>
      </c>
      <c r="AC83" s="43" t="n">
        <f aca="false">MAX(0,MIN(AA83-AB83,$B83-(E83+I83+M83+Q83+U83+Y83)))</f>
        <v>0</v>
      </c>
      <c r="AD83" s="43" t="n">
        <f aca="false">MAX(0,AA83-AB83-AC83)</f>
        <v>0</v>
      </c>
      <c r="AE83" s="43" t="n">
        <f aca="false">IF(AH82&gt;0.005,AH82*(1+Ordem!$K$13),0)</f>
        <v>0</v>
      </c>
      <c r="AF83" s="43" t="n">
        <f aca="false">MIN(AE83,Ordem!$L$13)</f>
        <v>0</v>
      </c>
      <c r="AG83" s="43" t="n">
        <f aca="false">MAX(0,MIN(AE83-AF83,$B83-(E83+I83+M83+Q83+U83+Y83+AC83)))</f>
        <v>0</v>
      </c>
      <c r="AH83" s="43" t="n">
        <f aca="false">MAX(0,AE83-AF83-AG83)</f>
        <v>0</v>
      </c>
      <c r="AI83" s="43" t="n">
        <f aca="false">IF(AL82&gt;0.005,AL82*(1+Ordem!$K$14),0)</f>
        <v>0</v>
      </c>
      <c r="AJ83" s="43" t="n">
        <f aca="false">MIN(AI83,Ordem!$L$14)</f>
        <v>0</v>
      </c>
      <c r="AK83" s="43" t="n">
        <f aca="false">MAX(0,MIN(AI83-AJ83,$B83-(E83+I83+M83+Q83+U83+Y83+AC83+AG83)))</f>
        <v>0</v>
      </c>
      <c r="AL83" s="43" t="n">
        <f aca="false">MAX(0,AI83-AJ83-AK83)</f>
        <v>0</v>
      </c>
      <c r="AM83" s="43" t="n">
        <f aca="false">IF(AP82&gt;0.005,AP82*(1+Ordem!$K$15),0)</f>
        <v>0</v>
      </c>
      <c r="AN83" s="43" t="n">
        <f aca="false">MIN(AM83,Ordem!$L$15)</f>
        <v>0</v>
      </c>
      <c r="AO83" s="43" t="n">
        <f aca="false">MAX(0,MIN(AM83-AN83,$B83-(E83+I83+M83+Q83+U83+Y83+AC83+AG83+AK83)))</f>
        <v>0</v>
      </c>
      <c r="AP83" s="43" t="n">
        <f aca="false">MAX(0,AM83-AN83-AO83)</f>
        <v>0</v>
      </c>
      <c r="AQ83" s="43" t="n">
        <f aca="false">F83+J83+N83+R83+V83+Z83+AD83+AH83+AL83+AP83</f>
        <v>0</v>
      </c>
      <c r="AR83" s="43" t="n">
        <f aca="false">D83+E83+H83+I83+L83+M83+P83+Q83+T83+U83+X83+Y83+AB83+AC83+AF83+AG83+AJ83+AK83+AN83+AO83</f>
        <v>0</v>
      </c>
    </row>
    <row r="84" customFormat="false" ht="15" hidden="false" customHeight="false" outlineLevel="0" collapsed="false">
      <c r="A84" s="0" t="n">
        <v>80</v>
      </c>
      <c r="B84" s="43" t="n">
        <f aca="false">MAX(0,Dívidas!$C$20-(D84+H84+L84+P84+T84+X84+AB84+AF84+AJ84+AN84))</f>
        <v>1450</v>
      </c>
      <c r="C84" s="43" t="n">
        <f aca="false">IF(F83&gt;0.005,F83*(1+Ordem!$K$6),0)</f>
        <v>0</v>
      </c>
      <c r="D84" s="43" t="n">
        <f aca="false">MIN(C84,Ordem!$L$6)</f>
        <v>0</v>
      </c>
      <c r="E84" s="43" t="n">
        <f aca="false">MAX(0,MIN(C84-D84,$B84-(0)))</f>
        <v>0</v>
      </c>
      <c r="F84" s="43" t="n">
        <f aca="false">MAX(0,C84-D84-E84)</f>
        <v>0</v>
      </c>
      <c r="G84" s="43" t="n">
        <f aca="false">IF(J83&gt;0.005,J83*(1+Ordem!$K$7),0)</f>
        <v>0</v>
      </c>
      <c r="H84" s="43" t="n">
        <f aca="false">MIN(G84,Ordem!$L$7)</f>
        <v>0</v>
      </c>
      <c r="I84" s="43" t="n">
        <f aca="false">MAX(0,MIN(G84-H84,$B84-(E84)))</f>
        <v>0</v>
      </c>
      <c r="J84" s="43" t="n">
        <f aca="false">MAX(0,G84-H84-I84)</f>
        <v>0</v>
      </c>
      <c r="K84" s="43" t="n">
        <f aca="false">IF(N83&gt;0.005,N83*(1+Ordem!$K$8),0)</f>
        <v>0</v>
      </c>
      <c r="L84" s="43" t="n">
        <f aca="false">MIN(K84,Ordem!$L$8)</f>
        <v>0</v>
      </c>
      <c r="M84" s="43" t="n">
        <f aca="false">MAX(0,MIN(K84-L84,$B84-(E84+I84)))</f>
        <v>0</v>
      </c>
      <c r="N84" s="43" t="n">
        <f aca="false">MAX(0,K84-L84-M84)</f>
        <v>0</v>
      </c>
      <c r="O84" s="43" t="n">
        <f aca="false">IF(R83&gt;0.005,R83*(1+Ordem!$K$9),0)</f>
        <v>0</v>
      </c>
      <c r="P84" s="43" t="n">
        <f aca="false">MIN(O84,Ordem!$L$9)</f>
        <v>0</v>
      </c>
      <c r="Q84" s="43" t="n">
        <f aca="false">MAX(0,MIN(O84-P84,$B84-(E84+I84+M84)))</f>
        <v>0</v>
      </c>
      <c r="R84" s="43" t="n">
        <f aca="false">MAX(0,O84-P84-Q84)</f>
        <v>0</v>
      </c>
      <c r="S84" s="43" t="n">
        <f aca="false">IF(V83&gt;0.005,V83*(1+Ordem!$K$10),0)</f>
        <v>0</v>
      </c>
      <c r="T84" s="43" t="n">
        <f aca="false">MIN(S84,Ordem!$L$10)</f>
        <v>0</v>
      </c>
      <c r="U84" s="43" t="n">
        <f aca="false">MAX(0,MIN(S84-T84,$B84-(E84+I84+M84+Q84)))</f>
        <v>0</v>
      </c>
      <c r="V84" s="43" t="n">
        <f aca="false">MAX(0,S84-T84-U84)</f>
        <v>0</v>
      </c>
      <c r="W84" s="43" t="n">
        <f aca="false">IF(Z83&gt;0.005,Z83*(1+Ordem!$K$11),0)</f>
        <v>0</v>
      </c>
      <c r="X84" s="43" t="n">
        <f aca="false">MIN(W84,Ordem!$L$11)</f>
        <v>0</v>
      </c>
      <c r="Y84" s="43" t="n">
        <f aca="false">MAX(0,MIN(W84-X84,$B84-(E84+I84+M84+Q84+U84)))</f>
        <v>0</v>
      </c>
      <c r="Z84" s="43" t="n">
        <f aca="false">MAX(0,W84-X84-Y84)</f>
        <v>0</v>
      </c>
      <c r="AA84" s="43" t="n">
        <f aca="false">IF(AD83&gt;0.005,AD83*(1+Ordem!$K$12),0)</f>
        <v>0</v>
      </c>
      <c r="AB84" s="43" t="n">
        <f aca="false">MIN(AA84,Ordem!$L$12)</f>
        <v>0</v>
      </c>
      <c r="AC84" s="43" t="n">
        <f aca="false">MAX(0,MIN(AA84-AB84,$B84-(E84+I84+M84+Q84+U84+Y84)))</f>
        <v>0</v>
      </c>
      <c r="AD84" s="43" t="n">
        <f aca="false">MAX(0,AA84-AB84-AC84)</f>
        <v>0</v>
      </c>
      <c r="AE84" s="43" t="n">
        <f aca="false">IF(AH83&gt;0.005,AH83*(1+Ordem!$K$13),0)</f>
        <v>0</v>
      </c>
      <c r="AF84" s="43" t="n">
        <f aca="false">MIN(AE84,Ordem!$L$13)</f>
        <v>0</v>
      </c>
      <c r="AG84" s="43" t="n">
        <f aca="false">MAX(0,MIN(AE84-AF84,$B84-(E84+I84+M84+Q84+U84+Y84+AC84)))</f>
        <v>0</v>
      </c>
      <c r="AH84" s="43" t="n">
        <f aca="false">MAX(0,AE84-AF84-AG84)</f>
        <v>0</v>
      </c>
      <c r="AI84" s="43" t="n">
        <f aca="false">IF(AL83&gt;0.005,AL83*(1+Ordem!$K$14),0)</f>
        <v>0</v>
      </c>
      <c r="AJ84" s="43" t="n">
        <f aca="false">MIN(AI84,Ordem!$L$14)</f>
        <v>0</v>
      </c>
      <c r="AK84" s="43" t="n">
        <f aca="false">MAX(0,MIN(AI84-AJ84,$B84-(E84+I84+M84+Q84+U84+Y84+AC84+AG84)))</f>
        <v>0</v>
      </c>
      <c r="AL84" s="43" t="n">
        <f aca="false">MAX(0,AI84-AJ84-AK84)</f>
        <v>0</v>
      </c>
      <c r="AM84" s="43" t="n">
        <f aca="false">IF(AP83&gt;0.005,AP83*(1+Ordem!$K$15),0)</f>
        <v>0</v>
      </c>
      <c r="AN84" s="43" t="n">
        <f aca="false">MIN(AM84,Ordem!$L$15)</f>
        <v>0</v>
      </c>
      <c r="AO84" s="43" t="n">
        <f aca="false">MAX(0,MIN(AM84-AN84,$B84-(E84+I84+M84+Q84+U84+Y84+AC84+AG84+AK84)))</f>
        <v>0</v>
      </c>
      <c r="AP84" s="43" t="n">
        <f aca="false">MAX(0,AM84-AN84-AO84)</f>
        <v>0</v>
      </c>
      <c r="AQ84" s="43" t="n">
        <f aca="false">F84+J84+N84+R84+V84+Z84+AD84+AH84+AL84+AP84</f>
        <v>0</v>
      </c>
      <c r="AR84" s="43" t="n">
        <f aca="false">D84+E84+H84+I84+L84+M84+P84+Q84+T84+U84+X84+Y84+AB84+AC84+AF84+AG84+AJ84+AK84+AN84+AO84</f>
        <v>0</v>
      </c>
    </row>
    <row r="85" customFormat="false" ht="15" hidden="false" customHeight="false" outlineLevel="0" collapsed="false">
      <c r="A85" s="0" t="n">
        <v>81</v>
      </c>
      <c r="B85" s="43" t="n">
        <f aca="false">MAX(0,Dívidas!$C$20-(D85+H85+L85+P85+T85+X85+AB85+AF85+AJ85+AN85))</f>
        <v>1450</v>
      </c>
      <c r="C85" s="43" t="n">
        <f aca="false">IF(F84&gt;0.005,F84*(1+Ordem!$K$6),0)</f>
        <v>0</v>
      </c>
      <c r="D85" s="43" t="n">
        <f aca="false">MIN(C85,Ordem!$L$6)</f>
        <v>0</v>
      </c>
      <c r="E85" s="43" t="n">
        <f aca="false">MAX(0,MIN(C85-D85,$B85-(0)))</f>
        <v>0</v>
      </c>
      <c r="F85" s="43" t="n">
        <f aca="false">MAX(0,C85-D85-E85)</f>
        <v>0</v>
      </c>
      <c r="G85" s="43" t="n">
        <f aca="false">IF(J84&gt;0.005,J84*(1+Ordem!$K$7),0)</f>
        <v>0</v>
      </c>
      <c r="H85" s="43" t="n">
        <f aca="false">MIN(G85,Ordem!$L$7)</f>
        <v>0</v>
      </c>
      <c r="I85" s="43" t="n">
        <f aca="false">MAX(0,MIN(G85-H85,$B85-(E85)))</f>
        <v>0</v>
      </c>
      <c r="J85" s="43" t="n">
        <f aca="false">MAX(0,G85-H85-I85)</f>
        <v>0</v>
      </c>
      <c r="K85" s="43" t="n">
        <f aca="false">IF(N84&gt;0.005,N84*(1+Ordem!$K$8),0)</f>
        <v>0</v>
      </c>
      <c r="L85" s="43" t="n">
        <f aca="false">MIN(K85,Ordem!$L$8)</f>
        <v>0</v>
      </c>
      <c r="M85" s="43" t="n">
        <f aca="false">MAX(0,MIN(K85-L85,$B85-(E85+I85)))</f>
        <v>0</v>
      </c>
      <c r="N85" s="43" t="n">
        <f aca="false">MAX(0,K85-L85-M85)</f>
        <v>0</v>
      </c>
      <c r="O85" s="43" t="n">
        <f aca="false">IF(R84&gt;0.005,R84*(1+Ordem!$K$9),0)</f>
        <v>0</v>
      </c>
      <c r="P85" s="43" t="n">
        <f aca="false">MIN(O85,Ordem!$L$9)</f>
        <v>0</v>
      </c>
      <c r="Q85" s="43" t="n">
        <f aca="false">MAX(0,MIN(O85-P85,$B85-(E85+I85+M85)))</f>
        <v>0</v>
      </c>
      <c r="R85" s="43" t="n">
        <f aca="false">MAX(0,O85-P85-Q85)</f>
        <v>0</v>
      </c>
      <c r="S85" s="43" t="n">
        <f aca="false">IF(V84&gt;0.005,V84*(1+Ordem!$K$10),0)</f>
        <v>0</v>
      </c>
      <c r="T85" s="43" t="n">
        <f aca="false">MIN(S85,Ordem!$L$10)</f>
        <v>0</v>
      </c>
      <c r="U85" s="43" t="n">
        <f aca="false">MAX(0,MIN(S85-T85,$B85-(E85+I85+M85+Q85)))</f>
        <v>0</v>
      </c>
      <c r="V85" s="43" t="n">
        <f aca="false">MAX(0,S85-T85-U85)</f>
        <v>0</v>
      </c>
      <c r="W85" s="43" t="n">
        <f aca="false">IF(Z84&gt;0.005,Z84*(1+Ordem!$K$11),0)</f>
        <v>0</v>
      </c>
      <c r="X85" s="43" t="n">
        <f aca="false">MIN(W85,Ordem!$L$11)</f>
        <v>0</v>
      </c>
      <c r="Y85" s="43" t="n">
        <f aca="false">MAX(0,MIN(W85-X85,$B85-(E85+I85+M85+Q85+U85)))</f>
        <v>0</v>
      </c>
      <c r="Z85" s="43" t="n">
        <f aca="false">MAX(0,W85-X85-Y85)</f>
        <v>0</v>
      </c>
      <c r="AA85" s="43" t="n">
        <f aca="false">IF(AD84&gt;0.005,AD84*(1+Ordem!$K$12),0)</f>
        <v>0</v>
      </c>
      <c r="AB85" s="43" t="n">
        <f aca="false">MIN(AA85,Ordem!$L$12)</f>
        <v>0</v>
      </c>
      <c r="AC85" s="43" t="n">
        <f aca="false">MAX(0,MIN(AA85-AB85,$B85-(E85+I85+M85+Q85+U85+Y85)))</f>
        <v>0</v>
      </c>
      <c r="AD85" s="43" t="n">
        <f aca="false">MAX(0,AA85-AB85-AC85)</f>
        <v>0</v>
      </c>
      <c r="AE85" s="43" t="n">
        <f aca="false">IF(AH84&gt;0.005,AH84*(1+Ordem!$K$13),0)</f>
        <v>0</v>
      </c>
      <c r="AF85" s="43" t="n">
        <f aca="false">MIN(AE85,Ordem!$L$13)</f>
        <v>0</v>
      </c>
      <c r="AG85" s="43" t="n">
        <f aca="false">MAX(0,MIN(AE85-AF85,$B85-(E85+I85+M85+Q85+U85+Y85+AC85)))</f>
        <v>0</v>
      </c>
      <c r="AH85" s="43" t="n">
        <f aca="false">MAX(0,AE85-AF85-AG85)</f>
        <v>0</v>
      </c>
      <c r="AI85" s="43" t="n">
        <f aca="false">IF(AL84&gt;0.005,AL84*(1+Ordem!$K$14),0)</f>
        <v>0</v>
      </c>
      <c r="AJ85" s="43" t="n">
        <f aca="false">MIN(AI85,Ordem!$L$14)</f>
        <v>0</v>
      </c>
      <c r="AK85" s="43" t="n">
        <f aca="false">MAX(0,MIN(AI85-AJ85,$B85-(E85+I85+M85+Q85+U85+Y85+AC85+AG85)))</f>
        <v>0</v>
      </c>
      <c r="AL85" s="43" t="n">
        <f aca="false">MAX(0,AI85-AJ85-AK85)</f>
        <v>0</v>
      </c>
      <c r="AM85" s="43" t="n">
        <f aca="false">IF(AP84&gt;0.005,AP84*(1+Ordem!$K$15),0)</f>
        <v>0</v>
      </c>
      <c r="AN85" s="43" t="n">
        <f aca="false">MIN(AM85,Ordem!$L$15)</f>
        <v>0</v>
      </c>
      <c r="AO85" s="43" t="n">
        <f aca="false">MAX(0,MIN(AM85-AN85,$B85-(E85+I85+M85+Q85+U85+Y85+AC85+AG85+AK85)))</f>
        <v>0</v>
      </c>
      <c r="AP85" s="43" t="n">
        <f aca="false">MAX(0,AM85-AN85-AO85)</f>
        <v>0</v>
      </c>
      <c r="AQ85" s="43" t="n">
        <f aca="false">F85+J85+N85+R85+V85+Z85+AD85+AH85+AL85+AP85</f>
        <v>0</v>
      </c>
      <c r="AR85" s="43" t="n">
        <f aca="false">D85+E85+H85+I85+L85+M85+P85+Q85+T85+U85+X85+Y85+AB85+AC85+AF85+AG85+AJ85+AK85+AN85+AO85</f>
        <v>0</v>
      </c>
    </row>
    <row r="86" customFormat="false" ht="15" hidden="false" customHeight="false" outlineLevel="0" collapsed="false">
      <c r="A86" s="0" t="n">
        <v>82</v>
      </c>
      <c r="B86" s="43" t="n">
        <f aca="false">MAX(0,Dívidas!$C$20-(D86+H86+L86+P86+T86+X86+AB86+AF86+AJ86+AN86))</f>
        <v>1450</v>
      </c>
      <c r="C86" s="43" t="n">
        <f aca="false">IF(F85&gt;0.005,F85*(1+Ordem!$K$6),0)</f>
        <v>0</v>
      </c>
      <c r="D86" s="43" t="n">
        <f aca="false">MIN(C86,Ordem!$L$6)</f>
        <v>0</v>
      </c>
      <c r="E86" s="43" t="n">
        <f aca="false">MAX(0,MIN(C86-D86,$B86-(0)))</f>
        <v>0</v>
      </c>
      <c r="F86" s="43" t="n">
        <f aca="false">MAX(0,C86-D86-E86)</f>
        <v>0</v>
      </c>
      <c r="G86" s="43" t="n">
        <f aca="false">IF(J85&gt;0.005,J85*(1+Ordem!$K$7),0)</f>
        <v>0</v>
      </c>
      <c r="H86" s="43" t="n">
        <f aca="false">MIN(G86,Ordem!$L$7)</f>
        <v>0</v>
      </c>
      <c r="I86" s="43" t="n">
        <f aca="false">MAX(0,MIN(G86-H86,$B86-(E86)))</f>
        <v>0</v>
      </c>
      <c r="J86" s="43" t="n">
        <f aca="false">MAX(0,G86-H86-I86)</f>
        <v>0</v>
      </c>
      <c r="K86" s="43" t="n">
        <f aca="false">IF(N85&gt;0.005,N85*(1+Ordem!$K$8),0)</f>
        <v>0</v>
      </c>
      <c r="L86" s="43" t="n">
        <f aca="false">MIN(K86,Ordem!$L$8)</f>
        <v>0</v>
      </c>
      <c r="M86" s="43" t="n">
        <f aca="false">MAX(0,MIN(K86-L86,$B86-(E86+I86)))</f>
        <v>0</v>
      </c>
      <c r="N86" s="43" t="n">
        <f aca="false">MAX(0,K86-L86-M86)</f>
        <v>0</v>
      </c>
      <c r="O86" s="43" t="n">
        <f aca="false">IF(R85&gt;0.005,R85*(1+Ordem!$K$9),0)</f>
        <v>0</v>
      </c>
      <c r="P86" s="43" t="n">
        <f aca="false">MIN(O86,Ordem!$L$9)</f>
        <v>0</v>
      </c>
      <c r="Q86" s="43" t="n">
        <f aca="false">MAX(0,MIN(O86-P86,$B86-(E86+I86+M86)))</f>
        <v>0</v>
      </c>
      <c r="R86" s="43" t="n">
        <f aca="false">MAX(0,O86-P86-Q86)</f>
        <v>0</v>
      </c>
      <c r="S86" s="43" t="n">
        <f aca="false">IF(V85&gt;0.005,V85*(1+Ordem!$K$10),0)</f>
        <v>0</v>
      </c>
      <c r="T86" s="43" t="n">
        <f aca="false">MIN(S86,Ordem!$L$10)</f>
        <v>0</v>
      </c>
      <c r="U86" s="43" t="n">
        <f aca="false">MAX(0,MIN(S86-T86,$B86-(E86+I86+M86+Q86)))</f>
        <v>0</v>
      </c>
      <c r="V86" s="43" t="n">
        <f aca="false">MAX(0,S86-T86-U86)</f>
        <v>0</v>
      </c>
      <c r="W86" s="43" t="n">
        <f aca="false">IF(Z85&gt;0.005,Z85*(1+Ordem!$K$11),0)</f>
        <v>0</v>
      </c>
      <c r="X86" s="43" t="n">
        <f aca="false">MIN(W86,Ordem!$L$11)</f>
        <v>0</v>
      </c>
      <c r="Y86" s="43" t="n">
        <f aca="false">MAX(0,MIN(W86-X86,$B86-(E86+I86+M86+Q86+U86)))</f>
        <v>0</v>
      </c>
      <c r="Z86" s="43" t="n">
        <f aca="false">MAX(0,W86-X86-Y86)</f>
        <v>0</v>
      </c>
      <c r="AA86" s="43" t="n">
        <f aca="false">IF(AD85&gt;0.005,AD85*(1+Ordem!$K$12),0)</f>
        <v>0</v>
      </c>
      <c r="AB86" s="43" t="n">
        <f aca="false">MIN(AA86,Ordem!$L$12)</f>
        <v>0</v>
      </c>
      <c r="AC86" s="43" t="n">
        <f aca="false">MAX(0,MIN(AA86-AB86,$B86-(E86+I86+M86+Q86+U86+Y86)))</f>
        <v>0</v>
      </c>
      <c r="AD86" s="43" t="n">
        <f aca="false">MAX(0,AA86-AB86-AC86)</f>
        <v>0</v>
      </c>
      <c r="AE86" s="43" t="n">
        <f aca="false">IF(AH85&gt;0.005,AH85*(1+Ordem!$K$13),0)</f>
        <v>0</v>
      </c>
      <c r="AF86" s="43" t="n">
        <f aca="false">MIN(AE86,Ordem!$L$13)</f>
        <v>0</v>
      </c>
      <c r="AG86" s="43" t="n">
        <f aca="false">MAX(0,MIN(AE86-AF86,$B86-(E86+I86+M86+Q86+U86+Y86+AC86)))</f>
        <v>0</v>
      </c>
      <c r="AH86" s="43" t="n">
        <f aca="false">MAX(0,AE86-AF86-AG86)</f>
        <v>0</v>
      </c>
      <c r="AI86" s="43" t="n">
        <f aca="false">IF(AL85&gt;0.005,AL85*(1+Ordem!$K$14),0)</f>
        <v>0</v>
      </c>
      <c r="AJ86" s="43" t="n">
        <f aca="false">MIN(AI86,Ordem!$L$14)</f>
        <v>0</v>
      </c>
      <c r="AK86" s="43" t="n">
        <f aca="false">MAX(0,MIN(AI86-AJ86,$B86-(E86+I86+M86+Q86+U86+Y86+AC86+AG86)))</f>
        <v>0</v>
      </c>
      <c r="AL86" s="43" t="n">
        <f aca="false">MAX(0,AI86-AJ86-AK86)</f>
        <v>0</v>
      </c>
      <c r="AM86" s="43" t="n">
        <f aca="false">IF(AP85&gt;0.005,AP85*(1+Ordem!$K$15),0)</f>
        <v>0</v>
      </c>
      <c r="AN86" s="43" t="n">
        <f aca="false">MIN(AM86,Ordem!$L$15)</f>
        <v>0</v>
      </c>
      <c r="AO86" s="43" t="n">
        <f aca="false">MAX(0,MIN(AM86-AN86,$B86-(E86+I86+M86+Q86+U86+Y86+AC86+AG86+AK86)))</f>
        <v>0</v>
      </c>
      <c r="AP86" s="43" t="n">
        <f aca="false">MAX(0,AM86-AN86-AO86)</f>
        <v>0</v>
      </c>
      <c r="AQ86" s="43" t="n">
        <f aca="false">F86+J86+N86+R86+V86+Z86+AD86+AH86+AL86+AP86</f>
        <v>0</v>
      </c>
      <c r="AR86" s="43" t="n">
        <f aca="false">D86+E86+H86+I86+L86+M86+P86+Q86+T86+U86+X86+Y86+AB86+AC86+AF86+AG86+AJ86+AK86+AN86+AO86</f>
        <v>0</v>
      </c>
    </row>
    <row r="87" customFormat="false" ht="15" hidden="false" customHeight="false" outlineLevel="0" collapsed="false">
      <c r="A87" s="0" t="n">
        <v>83</v>
      </c>
      <c r="B87" s="43" t="n">
        <f aca="false">MAX(0,Dívidas!$C$20-(D87+H87+L87+P87+T87+X87+AB87+AF87+AJ87+AN87))</f>
        <v>1450</v>
      </c>
      <c r="C87" s="43" t="n">
        <f aca="false">IF(F86&gt;0.005,F86*(1+Ordem!$K$6),0)</f>
        <v>0</v>
      </c>
      <c r="D87" s="43" t="n">
        <f aca="false">MIN(C87,Ordem!$L$6)</f>
        <v>0</v>
      </c>
      <c r="E87" s="43" t="n">
        <f aca="false">MAX(0,MIN(C87-D87,$B87-(0)))</f>
        <v>0</v>
      </c>
      <c r="F87" s="43" t="n">
        <f aca="false">MAX(0,C87-D87-E87)</f>
        <v>0</v>
      </c>
      <c r="G87" s="43" t="n">
        <f aca="false">IF(J86&gt;0.005,J86*(1+Ordem!$K$7),0)</f>
        <v>0</v>
      </c>
      <c r="H87" s="43" t="n">
        <f aca="false">MIN(G87,Ordem!$L$7)</f>
        <v>0</v>
      </c>
      <c r="I87" s="43" t="n">
        <f aca="false">MAX(0,MIN(G87-H87,$B87-(E87)))</f>
        <v>0</v>
      </c>
      <c r="J87" s="43" t="n">
        <f aca="false">MAX(0,G87-H87-I87)</f>
        <v>0</v>
      </c>
      <c r="K87" s="43" t="n">
        <f aca="false">IF(N86&gt;0.005,N86*(1+Ordem!$K$8),0)</f>
        <v>0</v>
      </c>
      <c r="L87" s="43" t="n">
        <f aca="false">MIN(K87,Ordem!$L$8)</f>
        <v>0</v>
      </c>
      <c r="M87" s="43" t="n">
        <f aca="false">MAX(0,MIN(K87-L87,$B87-(E87+I87)))</f>
        <v>0</v>
      </c>
      <c r="N87" s="43" t="n">
        <f aca="false">MAX(0,K87-L87-M87)</f>
        <v>0</v>
      </c>
      <c r="O87" s="43" t="n">
        <f aca="false">IF(R86&gt;0.005,R86*(1+Ordem!$K$9),0)</f>
        <v>0</v>
      </c>
      <c r="P87" s="43" t="n">
        <f aca="false">MIN(O87,Ordem!$L$9)</f>
        <v>0</v>
      </c>
      <c r="Q87" s="43" t="n">
        <f aca="false">MAX(0,MIN(O87-P87,$B87-(E87+I87+M87)))</f>
        <v>0</v>
      </c>
      <c r="R87" s="43" t="n">
        <f aca="false">MAX(0,O87-P87-Q87)</f>
        <v>0</v>
      </c>
      <c r="S87" s="43" t="n">
        <f aca="false">IF(V86&gt;0.005,V86*(1+Ordem!$K$10),0)</f>
        <v>0</v>
      </c>
      <c r="T87" s="43" t="n">
        <f aca="false">MIN(S87,Ordem!$L$10)</f>
        <v>0</v>
      </c>
      <c r="U87" s="43" t="n">
        <f aca="false">MAX(0,MIN(S87-T87,$B87-(E87+I87+M87+Q87)))</f>
        <v>0</v>
      </c>
      <c r="V87" s="43" t="n">
        <f aca="false">MAX(0,S87-T87-U87)</f>
        <v>0</v>
      </c>
      <c r="W87" s="43" t="n">
        <f aca="false">IF(Z86&gt;0.005,Z86*(1+Ordem!$K$11),0)</f>
        <v>0</v>
      </c>
      <c r="X87" s="43" t="n">
        <f aca="false">MIN(W87,Ordem!$L$11)</f>
        <v>0</v>
      </c>
      <c r="Y87" s="43" t="n">
        <f aca="false">MAX(0,MIN(W87-X87,$B87-(E87+I87+M87+Q87+U87)))</f>
        <v>0</v>
      </c>
      <c r="Z87" s="43" t="n">
        <f aca="false">MAX(0,W87-X87-Y87)</f>
        <v>0</v>
      </c>
      <c r="AA87" s="43" t="n">
        <f aca="false">IF(AD86&gt;0.005,AD86*(1+Ordem!$K$12),0)</f>
        <v>0</v>
      </c>
      <c r="AB87" s="43" t="n">
        <f aca="false">MIN(AA87,Ordem!$L$12)</f>
        <v>0</v>
      </c>
      <c r="AC87" s="43" t="n">
        <f aca="false">MAX(0,MIN(AA87-AB87,$B87-(E87+I87+M87+Q87+U87+Y87)))</f>
        <v>0</v>
      </c>
      <c r="AD87" s="43" t="n">
        <f aca="false">MAX(0,AA87-AB87-AC87)</f>
        <v>0</v>
      </c>
      <c r="AE87" s="43" t="n">
        <f aca="false">IF(AH86&gt;0.005,AH86*(1+Ordem!$K$13),0)</f>
        <v>0</v>
      </c>
      <c r="AF87" s="43" t="n">
        <f aca="false">MIN(AE87,Ordem!$L$13)</f>
        <v>0</v>
      </c>
      <c r="AG87" s="43" t="n">
        <f aca="false">MAX(0,MIN(AE87-AF87,$B87-(E87+I87+M87+Q87+U87+Y87+AC87)))</f>
        <v>0</v>
      </c>
      <c r="AH87" s="43" t="n">
        <f aca="false">MAX(0,AE87-AF87-AG87)</f>
        <v>0</v>
      </c>
      <c r="AI87" s="43" t="n">
        <f aca="false">IF(AL86&gt;0.005,AL86*(1+Ordem!$K$14),0)</f>
        <v>0</v>
      </c>
      <c r="AJ87" s="43" t="n">
        <f aca="false">MIN(AI87,Ordem!$L$14)</f>
        <v>0</v>
      </c>
      <c r="AK87" s="43" t="n">
        <f aca="false">MAX(0,MIN(AI87-AJ87,$B87-(E87+I87+M87+Q87+U87+Y87+AC87+AG87)))</f>
        <v>0</v>
      </c>
      <c r="AL87" s="43" t="n">
        <f aca="false">MAX(0,AI87-AJ87-AK87)</f>
        <v>0</v>
      </c>
      <c r="AM87" s="43" t="n">
        <f aca="false">IF(AP86&gt;0.005,AP86*(1+Ordem!$K$15),0)</f>
        <v>0</v>
      </c>
      <c r="AN87" s="43" t="n">
        <f aca="false">MIN(AM87,Ordem!$L$15)</f>
        <v>0</v>
      </c>
      <c r="AO87" s="43" t="n">
        <f aca="false">MAX(0,MIN(AM87-AN87,$B87-(E87+I87+M87+Q87+U87+Y87+AC87+AG87+AK87)))</f>
        <v>0</v>
      </c>
      <c r="AP87" s="43" t="n">
        <f aca="false">MAX(0,AM87-AN87-AO87)</f>
        <v>0</v>
      </c>
      <c r="AQ87" s="43" t="n">
        <f aca="false">F87+J87+N87+R87+V87+Z87+AD87+AH87+AL87+AP87</f>
        <v>0</v>
      </c>
      <c r="AR87" s="43" t="n">
        <f aca="false">D87+E87+H87+I87+L87+M87+P87+Q87+T87+U87+X87+Y87+AB87+AC87+AF87+AG87+AJ87+AK87+AN87+AO87</f>
        <v>0</v>
      </c>
    </row>
    <row r="88" customFormat="false" ht="15" hidden="false" customHeight="false" outlineLevel="0" collapsed="false">
      <c r="A88" s="0" t="n">
        <v>84</v>
      </c>
      <c r="B88" s="43" t="n">
        <f aca="false">MAX(0,Dívidas!$C$20-(D88+H88+L88+P88+T88+X88+AB88+AF88+AJ88+AN88))</f>
        <v>1450</v>
      </c>
      <c r="C88" s="43" t="n">
        <f aca="false">IF(F87&gt;0.005,F87*(1+Ordem!$K$6),0)</f>
        <v>0</v>
      </c>
      <c r="D88" s="43" t="n">
        <f aca="false">MIN(C88,Ordem!$L$6)</f>
        <v>0</v>
      </c>
      <c r="E88" s="43" t="n">
        <f aca="false">MAX(0,MIN(C88-D88,$B88-(0)))</f>
        <v>0</v>
      </c>
      <c r="F88" s="43" t="n">
        <f aca="false">MAX(0,C88-D88-E88)</f>
        <v>0</v>
      </c>
      <c r="G88" s="43" t="n">
        <f aca="false">IF(J87&gt;0.005,J87*(1+Ordem!$K$7),0)</f>
        <v>0</v>
      </c>
      <c r="H88" s="43" t="n">
        <f aca="false">MIN(G88,Ordem!$L$7)</f>
        <v>0</v>
      </c>
      <c r="I88" s="43" t="n">
        <f aca="false">MAX(0,MIN(G88-H88,$B88-(E88)))</f>
        <v>0</v>
      </c>
      <c r="J88" s="43" t="n">
        <f aca="false">MAX(0,G88-H88-I88)</f>
        <v>0</v>
      </c>
      <c r="K88" s="43" t="n">
        <f aca="false">IF(N87&gt;0.005,N87*(1+Ordem!$K$8),0)</f>
        <v>0</v>
      </c>
      <c r="L88" s="43" t="n">
        <f aca="false">MIN(K88,Ordem!$L$8)</f>
        <v>0</v>
      </c>
      <c r="M88" s="43" t="n">
        <f aca="false">MAX(0,MIN(K88-L88,$B88-(E88+I88)))</f>
        <v>0</v>
      </c>
      <c r="N88" s="43" t="n">
        <f aca="false">MAX(0,K88-L88-M88)</f>
        <v>0</v>
      </c>
      <c r="O88" s="43" t="n">
        <f aca="false">IF(R87&gt;0.005,R87*(1+Ordem!$K$9),0)</f>
        <v>0</v>
      </c>
      <c r="P88" s="43" t="n">
        <f aca="false">MIN(O88,Ordem!$L$9)</f>
        <v>0</v>
      </c>
      <c r="Q88" s="43" t="n">
        <f aca="false">MAX(0,MIN(O88-P88,$B88-(E88+I88+M88)))</f>
        <v>0</v>
      </c>
      <c r="R88" s="43" t="n">
        <f aca="false">MAX(0,O88-P88-Q88)</f>
        <v>0</v>
      </c>
      <c r="S88" s="43" t="n">
        <f aca="false">IF(V87&gt;0.005,V87*(1+Ordem!$K$10),0)</f>
        <v>0</v>
      </c>
      <c r="T88" s="43" t="n">
        <f aca="false">MIN(S88,Ordem!$L$10)</f>
        <v>0</v>
      </c>
      <c r="U88" s="43" t="n">
        <f aca="false">MAX(0,MIN(S88-T88,$B88-(E88+I88+M88+Q88)))</f>
        <v>0</v>
      </c>
      <c r="V88" s="43" t="n">
        <f aca="false">MAX(0,S88-T88-U88)</f>
        <v>0</v>
      </c>
      <c r="W88" s="43" t="n">
        <f aca="false">IF(Z87&gt;0.005,Z87*(1+Ordem!$K$11),0)</f>
        <v>0</v>
      </c>
      <c r="X88" s="43" t="n">
        <f aca="false">MIN(W88,Ordem!$L$11)</f>
        <v>0</v>
      </c>
      <c r="Y88" s="43" t="n">
        <f aca="false">MAX(0,MIN(W88-X88,$B88-(E88+I88+M88+Q88+U88)))</f>
        <v>0</v>
      </c>
      <c r="Z88" s="43" t="n">
        <f aca="false">MAX(0,W88-X88-Y88)</f>
        <v>0</v>
      </c>
      <c r="AA88" s="43" t="n">
        <f aca="false">IF(AD87&gt;0.005,AD87*(1+Ordem!$K$12),0)</f>
        <v>0</v>
      </c>
      <c r="AB88" s="43" t="n">
        <f aca="false">MIN(AA88,Ordem!$L$12)</f>
        <v>0</v>
      </c>
      <c r="AC88" s="43" t="n">
        <f aca="false">MAX(0,MIN(AA88-AB88,$B88-(E88+I88+M88+Q88+U88+Y88)))</f>
        <v>0</v>
      </c>
      <c r="AD88" s="43" t="n">
        <f aca="false">MAX(0,AA88-AB88-AC88)</f>
        <v>0</v>
      </c>
      <c r="AE88" s="43" t="n">
        <f aca="false">IF(AH87&gt;0.005,AH87*(1+Ordem!$K$13),0)</f>
        <v>0</v>
      </c>
      <c r="AF88" s="43" t="n">
        <f aca="false">MIN(AE88,Ordem!$L$13)</f>
        <v>0</v>
      </c>
      <c r="AG88" s="43" t="n">
        <f aca="false">MAX(0,MIN(AE88-AF88,$B88-(E88+I88+M88+Q88+U88+Y88+AC88)))</f>
        <v>0</v>
      </c>
      <c r="AH88" s="43" t="n">
        <f aca="false">MAX(0,AE88-AF88-AG88)</f>
        <v>0</v>
      </c>
      <c r="AI88" s="43" t="n">
        <f aca="false">IF(AL87&gt;0.005,AL87*(1+Ordem!$K$14),0)</f>
        <v>0</v>
      </c>
      <c r="AJ88" s="43" t="n">
        <f aca="false">MIN(AI88,Ordem!$L$14)</f>
        <v>0</v>
      </c>
      <c r="AK88" s="43" t="n">
        <f aca="false">MAX(0,MIN(AI88-AJ88,$B88-(E88+I88+M88+Q88+U88+Y88+AC88+AG88)))</f>
        <v>0</v>
      </c>
      <c r="AL88" s="43" t="n">
        <f aca="false">MAX(0,AI88-AJ88-AK88)</f>
        <v>0</v>
      </c>
      <c r="AM88" s="43" t="n">
        <f aca="false">IF(AP87&gt;0.005,AP87*(1+Ordem!$K$15),0)</f>
        <v>0</v>
      </c>
      <c r="AN88" s="43" t="n">
        <f aca="false">MIN(AM88,Ordem!$L$15)</f>
        <v>0</v>
      </c>
      <c r="AO88" s="43" t="n">
        <f aca="false">MAX(0,MIN(AM88-AN88,$B88-(E88+I88+M88+Q88+U88+Y88+AC88+AG88+AK88)))</f>
        <v>0</v>
      </c>
      <c r="AP88" s="43" t="n">
        <f aca="false">MAX(0,AM88-AN88-AO88)</f>
        <v>0</v>
      </c>
      <c r="AQ88" s="43" t="n">
        <f aca="false">F88+J88+N88+R88+V88+Z88+AD88+AH88+AL88+AP88</f>
        <v>0</v>
      </c>
      <c r="AR88" s="43" t="n">
        <f aca="false">D88+E88+H88+I88+L88+M88+P88+Q88+T88+U88+X88+Y88+AB88+AC88+AF88+AG88+AJ88+AK88+AN88+AO88</f>
        <v>0</v>
      </c>
    </row>
    <row r="89" customFormat="false" ht="15" hidden="false" customHeight="false" outlineLevel="0" collapsed="false">
      <c r="A89" s="0" t="n">
        <v>85</v>
      </c>
      <c r="B89" s="43" t="n">
        <f aca="false">MAX(0,Dívidas!$C$20-(D89+H89+L89+P89+T89+X89+AB89+AF89+AJ89+AN89))</f>
        <v>1450</v>
      </c>
      <c r="C89" s="43" t="n">
        <f aca="false">IF(F88&gt;0.005,F88*(1+Ordem!$K$6),0)</f>
        <v>0</v>
      </c>
      <c r="D89" s="43" t="n">
        <f aca="false">MIN(C89,Ordem!$L$6)</f>
        <v>0</v>
      </c>
      <c r="E89" s="43" t="n">
        <f aca="false">MAX(0,MIN(C89-D89,$B89-(0)))</f>
        <v>0</v>
      </c>
      <c r="F89" s="43" t="n">
        <f aca="false">MAX(0,C89-D89-E89)</f>
        <v>0</v>
      </c>
      <c r="G89" s="43" t="n">
        <f aca="false">IF(J88&gt;0.005,J88*(1+Ordem!$K$7),0)</f>
        <v>0</v>
      </c>
      <c r="H89" s="43" t="n">
        <f aca="false">MIN(G89,Ordem!$L$7)</f>
        <v>0</v>
      </c>
      <c r="I89" s="43" t="n">
        <f aca="false">MAX(0,MIN(G89-H89,$B89-(E89)))</f>
        <v>0</v>
      </c>
      <c r="J89" s="43" t="n">
        <f aca="false">MAX(0,G89-H89-I89)</f>
        <v>0</v>
      </c>
      <c r="K89" s="43" t="n">
        <f aca="false">IF(N88&gt;0.005,N88*(1+Ordem!$K$8),0)</f>
        <v>0</v>
      </c>
      <c r="L89" s="43" t="n">
        <f aca="false">MIN(K89,Ordem!$L$8)</f>
        <v>0</v>
      </c>
      <c r="M89" s="43" t="n">
        <f aca="false">MAX(0,MIN(K89-L89,$B89-(E89+I89)))</f>
        <v>0</v>
      </c>
      <c r="N89" s="43" t="n">
        <f aca="false">MAX(0,K89-L89-M89)</f>
        <v>0</v>
      </c>
      <c r="O89" s="43" t="n">
        <f aca="false">IF(R88&gt;0.005,R88*(1+Ordem!$K$9),0)</f>
        <v>0</v>
      </c>
      <c r="P89" s="43" t="n">
        <f aca="false">MIN(O89,Ordem!$L$9)</f>
        <v>0</v>
      </c>
      <c r="Q89" s="43" t="n">
        <f aca="false">MAX(0,MIN(O89-P89,$B89-(E89+I89+M89)))</f>
        <v>0</v>
      </c>
      <c r="R89" s="43" t="n">
        <f aca="false">MAX(0,O89-P89-Q89)</f>
        <v>0</v>
      </c>
      <c r="S89" s="43" t="n">
        <f aca="false">IF(V88&gt;0.005,V88*(1+Ordem!$K$10),0)</f>
        <v>0</v>
      </c>
      <c r="T89" s="43" t="n">
        <f aca="false">MIN(S89,Ordem!$L$10)</f>
        <v>0</v>
      </c>
      <c r="U89" s="43" t="n">
        <f aca="false">MAX(0,MIN(S89-T89,$B89-(E89+I89+M89+Q89)))</f>
        <v>0</v>
      </c>
      <c r="V89" s="43" t="n">
        <f aca="false">MAX(0,S89-T89-U89)</f>
        <v>0</v>
      </c>
      <c r="W89" s="43" t="n">
        <f aca="false">IF(Z88&gt;0.005,Z88*(1+Ordem!$K$11),0)</f>
        <v>0</v>
      </c>
      <c r="X89" s="43" t="n">
        <f aca="false">MIN(W89,Ordem!$L$11)</f>
        <v>0</v>
      </c>
      <c r="Y89" s="43" t="n">
        <f aca="false">MAX(0,MIN(W89-X89,$B89-(E89+I89+M89+Q89+U89)))</f>
        <v>0</v>
      </c>
      <c r="Z89" s="43" t="n">
        <f aca="false">MAX(0,W89-X89-Y89)</f>
        <v>0</v>
      </c>
      <c r="AA89" s="43" t="n">
        <f aca="false">IF(AD88&gt;0.005,AD88*(1+Ordem!$K$12),0)</f>
        <v>0</v>
      </c>
      <c r="AB89" s="43" t="n">
        <f aca="false">MIN(AA89,Ordem!$L$12)</f>
        <v>0</v>
      </c>
      <c r="AC89" s="43" t="n">
        <f aca="false">MAX(0,MIN(AA89-AB89,$B89-(E89+I89+M89+Q89+U89+Y89)))</f>
        <v>0</v>
      </c>
      <c r="AD89" s="43" t="n">
        <f aca="false">MAX(0,AA89-AB89-AC89)</f>
        <v>0</v>
      </c>
      <c r="AE89" s="43" t="n">
        <f aca="false">IF(AH88&gt;0.005,AH88*(1+Ordem!$K$13),0)</f>
        <v>0</v>
      </c>
      <c r="AF89" s="43" t="n">
        <f aca="false">MIN(AE89,Ordem!$L$13)</f>
        <v>0</v>
      </c>
      <c r="AG89" s="43" t="n">
        <f aca="false">MAX(0,MIN(AE89-AF89,$B89-(E89+I89+M89+Q89+U89+Y89+AC89)))</f>
        <v>0</v>
      </c>
      <c r="AH89" s="43" t="n">
        <f aca="false">MAX(0,AE89-AF89-AG89)</f>
        <v>0</v>
      </c>
      <c r="AI89" s="43" t="n">
        <f aca="false">IF(AL88&gt;0.005,AL88*(1+Ordem!$K$14),0)</f>
        <v>0</v>
      </c>
      <c r="AJ89" s="43" t="n">
        <f aca="false">MIN(AI89,Ordem!$L$14)</f>
        <v>0</v>
      </c>
      <c r="AK89" s="43" t="n">
        <f aca="false">MAX(0,MIN(AI89-AJ89,$B89-(E89+I89+M89+Q89+U89+Y89+AC89+AG89)))</f>
        <v>0</v>
      </c>
      <c r="AL89" s="43" t="n">
        <f aca="false">MAX(0,AI89-AJ89-AK89)</f>
        <v>0</v>
      </c>
      <c r="AM89" s="43" t="n">
        <f aca="false">IF(AP88&gt;0.005,AP88*(1+Ordem!$K$15),0)</f>
        <v>0</v>
      </c>
      <c r="AN89" s="43" t="n">
        <f aca="false">MIN(AM89,Ordem!$L$15)</f>
        <v>0</v>
      </c>
      <c r="AO89" s="43" t="n">
        <f aca="false">MAX(0,MIN(AM89-AN89,$B89-(E89+I89+M89+Q89+U89+Y89+AC89+AG89+AK89)))</f>
        <v>0</v>
      </c>
      <c r="AP89" s="43" t="n">
        <f aca="false">MAX(0,AM89-AN89-AO89)</f>
        <v>0</v>
      </c>
      <c r="AQ89" s="43" t="n">
        <f aca="false">F89+J89+N89+R89+V89+Z89+AD89+AH89+AL89+AP89</f>
        <v>0</v>
      </c>
      <c r="AR89" s="43" t="n">
        <f aca="false">D89+E89+H89+I89+L89+M89+P89+Q89+T89+U89+X89+Y89+AB89+AC89+AF89+AG89+AJ89+AK89+AN89+AO89</f>
        <v>0</v>
      </c>
    </row>
    <row r="90" customFormat="false" ht="15" hidden="false" customHeight="false" outlineLevel="0" collapsed="false">
      <c r="A90" s="0" t="n">
        <v>86</v>
      </c>
      <c r="B90" s="43" t="n">
        <f aca="false">MAX(0,Dívidas!$C$20-(D90+H90+L90+P90+T90+X90+AB90+AF90+AJ90+AN90))</f>
        <v>1450</v>
      </c>
      <c r="C90" s="43" t="n">
        <f aca="false">IF(F89&gt;0.005,F89*(1+Ordem!$K$6),0)</f>
        <v>0</v>
      </c>
      <c r="D90" s="43" t="n">
        <f aca="false">MIN(C90,Ordem!$L$6)</f>
        <v>0</v>
      </c>
      <c r="E90" s="43" t="n">
        <f aca="false">MAX(0,MIN(C90-D90,$B90-(0)))</f>
        <v>0</v>
      </c>
      <c r="F90" s="43" t="n">
        <f aca="false">MAX(0,C90-D90-E90)</f>
        <v>0</v>
      </c>
      <c r="G90" s="43" t="n">
        <f aca="false">IF(J89&gt;0.005,J89*(1+Ordem!$K$7),0)</f>
        <v>0</v>
      </c>
      <c r="H90" s="43" t="n">
        <f aca="false">MIN(G90,Ordem!$L$7)</f>
        <v>0</v>
      </c>
      <c r="I90" s="43" t="n">
        <f aca="false">MAX(0,MIN(G90-H90,$B90-(E90)))</f>
        <v>0</v>
      </c>
      <c r="J90" s="43" t="n">
        <f aca="false">MAX(0,G90-H90-I90)</f>
        <v>0</v>
      </c>
      <c r="K90" s="43" t="n">
        <f aca="false">IF(N89&gt;0.005,N89*(1+Ordem!$K$8),0)</f>
        <v>0</v>
      </c>
      <c r="L90" s="43" t="n">
        <f aca="false">MIN(K90,Ordem!$L$8)</f>
        <v>0</v>
      </c>
      <c r="M90" s="43" t="n">
        <f aca="false">MAX(0,MIN(K90-L90,$B90-(E90+I90)))</f>
        <v>0</v>
      </c>
      <c r="N90" s="43" t="n">
        <f aca="false">MAX(0,K90-L90-M90)</f>
        <v>0</v>
      </c>
      <c r="O90" s="43" t="n">
        <f aca="false">IF(R89&gt;0.005,R89*(1+Ordem!$K$9),0)</f>
        <v>0</v>
      </c>
      <c r="P90" s="43" t="n">
        <f aca="false">MIN(O90,Ordem!$L$9)</f>
        <v>0</v>
      </c>
      <c r="Q90" s="43" t="n">
        <f aca="false">MAX(0,MIN(O90-P90,$B90-(E90+I90+M90)))</f>
        <v>0</v>
      </c>
      <c r="R90" s="43" t="n">
        <f aca="false">MAX(0,O90-P90-Q90)</f>
        <v>0</v>
      </c>
      <c r="S90" s="43" t="n">
        <f aca="false">IF(V89&gt;0.005,V89*(1+Ordem!$K$10),0)</f>
        <v>0</v>
      </c>
      <c r="T90" s="43" t="n">
        <f aca="false">MIN(S90,Ordem!$L$10)</f>
        <v>0</v>
      </c>
      <c r="U90" s="43" t="n">
        <f aca="false">MAX(0,MIN(S90-T90,$B90-(E90+I90+M90+Q90)))</f>
        <v>0</v>
      </c>
      <c r="V90" s="43" t="n">
        <f aca="false">MAX(0,S90-T90-U90)</f>
        <v>0</v>
      </c>
      <c r="W90" s="43" t="n">
        <f aca="false">IF(Z89&gt;0.005,Z89*(1+Ordem!$K$11),0)</f>
        <v>0</v>
      </c>
      <c r="X90" s="43" t="n">
        <f aca="false">MIN(W90,Ordem!$L$11)</f>
        <v>0</v>
      </c>
      <c r="Y90" s="43" t="n">
        <f aca="false">MAX(0,MIN(W90-X90,$B90-(E90+I90+M90+Q90+U90)))</f>
        <v>0</v>
      </c>
      <c r="Z90" s="43" t="n">
        <f aca="false">MAX(0,W90-X90-Y90)</f>
        <v>0</v>
      </c>
      <c r="AA90" s="43" t="n">
        <f aca="false">IF(AD89&gt;0.005,AD89*(1+Ordem!$K$12),0)</f>
        <v>0</v>
      </c>
      <c r="AB90" s="43" t="n">
        <f aca="false">MIN(AA90,Ordem!$L$12)</f>
        <v>0</v>
      </c>
      <c r="AC90" s="43" t="n">
        <f aca="false">MAX(0,MIN(AA90-AB90,$B90-(E90+I90+M90+Q90+U90+Y90)))</f>
        <v>0</v>
      </c>
      <c r="AD90" s="43" t="n">
        <f aca="false">MAX(0,AA90-AB90-AC90)</f>
        <v>0</v>
      </c>
      <c r="AE90" s="43" t="n">
        <f aca="false">IF(AH89&gt;0.005,AH89*(1+Ordem!$K$13),0)</f>
        <v>0</v>
      </c>
      <c r="AF90" s="43" t="n">
        <f aca="false">MIN(AE90,Ordem!$L$13)</f>
        <v>0</v>
      </c>
      <c r="AG90" s="43" t="n">
        <f aca="false">MAX(0,MIN(AE90-AF90,$B90-(E90+I90+M90+Q90+U90+Y90+AC90)))</f>
        <v>0</v>
      </c>
      <c r="AH90" s="43" t="n">
        <f aca="false">MAX(0,AE90-AF90-AG90)</f>
        <v>0</v>
      </c>
      <c r="AI90" s="43" t="n">
        <f aca="false">IF(AL89&gt;0.005,AL89*(1+Ordem!$K$14),0)</f>
        <v>0</v>
      </c>
      <c r="AJ90" s="43" t="n">
        <f aca="false">MIN(AI90,Ordem!$L$14)</f>
        <v>0</v>
      </c>
      <c r="AK90" s="43" t="n">
        <f aca="false">MAX(0,MIN(AI90-AJ90,$B90-(E90+I90+M90+Q90+U90+Y90+AC90+AG90)))</f>
        <v>0</v>
      </c>
      <c r="AL90" s="43" t="n">
        <f aca="false">MAX(0,AI90-AJ90-AK90)</f>
        <v>0</v>
      </c>
      <c r="AM90" s="43" t="n">
        <f aca="false">IF(AP89&gt;0.005,AP89*(1+Ordem!$K$15),0)</f>
        <v>0</v>
      </c>
      <c r="AN90" s="43" t="n">
        <f aca="false">MIN(AM90,Ordem!$L$15)</f>
        <v>0</v>
      </c>
      <c r="AO90" s="43" t="n">
        <f aca="false">MAX(0,MIN(AM90-AN90,$B90-(E90+I90+M90+Q90+U90+Y90+AC90+AG90+AK90)))</f>
        <v>0</v>
      </c>
      <c r="AP90" s="43" t="n">
        <f aca="false">MAX(0,AM90-AN90-AO90)</f>
        <v>0</v>
      </c>
      <c r="AQ90" s="43" t="n">
        <f aca="false">F90+J90+N90+R90+V90+Z90+AD90+AH90+AL90+AP90</f>
        <v>0</v>
      </c>
      <c r="AR90" s="43" t="n">
        <f aca="false">D90+E90+H90+I90+L90+M90+P90+Q90+T90+U90+X90+Y90+AB90+AC90+AF90+AG90+AJ90+AK90+AN90+AO90</f>
        <v>0</v>
      </c>
    </row>
    <row r="91" customFormat="false" ht="15" hidden="false" customHeight="false" outlineLevel="0" collapsed="false">
      <c r="A91" s="0" t="n">
        <v>87</v>
      </c>
      <c r="B91" s="43" t="n">
        <f aca="false">MAX(0,Dívidas!$C$20-(D91+H91+L91+P91+T91+X91+AB91+AF91+AJ91+AN91))</f>
        <v>1450</v>
      </c>
      <c r="C91" s="43" t="n">
        <f aca="false">IF(F90&gt;0.005,F90*(1+Ordem!$K$6),0)</f>
        <v>0</v>
      </c>
      <c r="D91" s="43" t="n">
        <f aca="false">MIN(C91,Ordem!$L$6)</f>
        <v>0</v>
      </c>
      <c r="E91" s="43" t="n">
        <f aca="false">MAX(0,MIN(C91-D91,$B91-(0)))</f>
        <v>0</v>
      </c>
      <c r="F91" s="43" t="n">
        <f aca="false">MAX(0,C91-D91-E91)</f>
        <v>0</v>
      </c>
      <c r="G91" s="43" t="n">
        <f aca="false">IF(J90&gt;0.005,J90*(1+Ordem!$K$7),0)</f>
        <v>0</v>
      </c>
      <c r="H91" s="43" t="n">
        <f aca="false">MIN(G91,Ordem!$L$7)</f>
        <v>0</v>
      </c>
      <c r="I91" s="43" t="n">
        <f aca="false">MAX(0,MIN(G91-H91,$B91-(E91)))</f>
        <v>0</v>
      </c>
      <c r="J91" s="43" t="n">
        <f aca="false">MAX(0,G91-H91-I91)</f>
        <v>0</v>
      </c>
      <c r="K91" s="43" t="n">
        <f aca="false">IF(N90&gt;0.005,N90*(1+Ordem!$K$8),0)</f>
        <v>0</v>
      </c>
      <c r="L91" s="43" t="n">
        <f aca="false">MIN(K91,Ordem!$L$8)</f>
        <v>0</v>
      </c>
      <c r="M91" s="43" t="n">
        <f aca="false">MAX(0,MIN(K91-L91,$B91-(E91+I91)))</f>
        <v>0</v>
      </c>
      <c r="N91" s="43" t="n">
        <f aca="false">MAX(0,K91-L91-M91)</f>
        <v>0</v>
      </c>
      <c r="O91" s="43" t="n">
        <f aca="false">IF(R90&gt;0.005,R90*(1+Ordem!$K$9),0)</f>
        <v>0</v>
      </c>
      <c r="P91" s="43" t="n">
        <f aca="false">MIN(O91,Ordem!$L$9)</f>
        <v>0</v>
      </c>
      <c r="Q91" s="43" t="n">
        <f aca="false">MAX(0,MIN(O91-P91,$B91-(E91+I91+M91)))</f>
        <v>0</v>
      </c>
      <c r="R91" s="43" t="n">
        <f aca="false">MAX(0,O91-P91-Q91)</f>
        <v>0</v>
      </c>
      <c r="S91" s="43" t="n">
        <f aca="false">IF(V90&gt;0.005,V90*(1+Ordem!$K$10),0)</f>
        <v>0</v>
      </c>
      <c r="T91" s="43" t="n">
        <f aca="false">MIN(S91,Ordem!$L$10)</f>
        <v>0</v>
      </c>
      <c r="U91" s="43" t="n">
        <f aca="false">MAX(0,MIN(S91-T91,$B91-(E91+I91+M91+Q91)))</f>
        <v>0</v>
      </c>
      <c r="V91" s="43" t="n">
        <f aca="false">MAX(0,S91-T91-U91)</f>
        <v>0</v>
      </c>
      <c r="W91" s="43" t="n">
        <f aca="false">IF(Z90&gt;0.005,Z90*(1+Ordem!$K$11),0)</f>
        <v>0</v>
      </c>
      <c r="X91" s="43" t="n">
        <f aca="false">MIN(W91,Ordem!$L$11)</f>
        <v>0</v>
      </c>
      <c r="Y91" s="43" t="n">
        <f aca="false">MAX(0,MIN(W91-X91,$B91-(E91+I91+M91+Q91+U91)))</f>
        <v>0</v>
      </c>
      <c r="Z91" s="43" t="n">
        <f aca="false">MAX(0,W91-X91-Y91)</f>
        <v>0</v>
      </c>
      <c r="AA91" s="43" t="n">
        <f aca="false">IF(AD90&gt;0.005,AD90*(1+Ordem!$K$12),0)</f>
        <v>0</v>
      </c>
      <c r="AB91" s="43" t="n">
        <f aca="false">MIN(AA91,Ordem!$L$12)</f>
        <v>0</v>
      </c>
      <c r="AC91" s="43" t="n">
        <f aca="false">MAX(0,MIN(AA91-AB91,$B91-(E91+I91+M91+Q91+U91+Y91)))</f>
        <v>0</v>
      </c>
      <c r="AD91" s="43" t="n">
        <f aca="false">MAX(0,AA91-AB91-AC91)</f>
        <v>0</v>
      </c>
      <c r="AE91" s="43" t="n">
        <f aca="false">IF(AH90&gt;0.005,AH90*(1+Ordem!$K$13),0)</f>
        <v>0</v>
      </c>
      <c r="AF91" s="43" t="n">
        <f aca="false">MIN(AE91,Ordem!$L$13)</f>
        <v>0</v>
      </c>
      <c r="AG91" s="43" t="n">
        <f aca="false">MAX(0,MIN(AE91-AF91,$B91-(E91+I91+M91+Q91+U91+Y91+AC91)))</f>
        <v>0</v>
      </c>
      <c r="AH91" s="43" t="n">
        <f aca="false">MAX(0,AE91-AF91-AG91)</f>
        <v>0</v>
      </c>
      <c r="AI91" s="43" t="n">
        <f aca="false">IF(AL90&gt;0.005,AL90*(1+Ordem!$K$14),0)</f>
        <v>0</v>
      </c>
      <c r="AJ91" s="43" t="n">
        <f aca="false">MIN(AI91,Ordem!$L$14)</f>
        <v>0</v>
      </c>
      <c r="AK91" s="43" t="n">
        <f aca="false">MAX(0,MIN(AI91-AJ91,$B91-(E91+I91+M91+Q91+U91+Y91+AC91+AG91)))</f>
        <v>0</v>
      </c>
      <c r="AL91" s="43" t="n">
        <f aca="false">MAX(0,AI91-AJ91-AK91)</f>
        <v>0</v>
      </c>
      <c r="AM91" s="43" t="n">
        <f aca="false">IF(AP90&gt;0.005,AP90*(1+Ordem!$K$15),0)</f>
        <v>0</v>
      </c>
      <c r="AN91" s="43" t="n">
        <f aca="false">MIN(AM91,Ordem!$L$15)</f>
        <v>0</v>
      </c>
      <c r="AO91" s="43" t="n">
        <f aca="false">MAX(0,MIN(AM91-AN91,$B91-(E91+I91+M91+Q91+U91+Y91+AC91+AG91+AK91)))</f>
        <v>0</v>
      </c>
      <c r="AP91" s="43" t="n">
        <f aca="false">MAX(0,AM91-AN91-AO91)</f>
        <v>0</v>
      </c>
      <c r="AQ91" s="43" t="n">
        <f aca="false">F91+J91+N91+R91+V91+Z91+AD91+AH91+AL91+AP91</f>
        <v>0</v>
      </c>
      <c r="AR91" s="43" t="n">
        <f aca="false">D91+E91+H91+I91+L91+M91+P91+Q91+T91+U91+X91+Y91+AB91+AC91+AF91+AG91+AJ91+AK91+AN91+AO91</f>
        <v>0</v>
      </c>
    </row>
    <row r="92" customFormat="false" ht="15" hidden="false" customHeight="false" outlineLevel="0" collapsed="false">
      <c r="A92" s="0" t="n">
        <v>88</v>
      </c>
      <c r="B92" s="43" t="n">
        <f aca="false">MAX(0,Dívidas!$C$20-(D92+H92+L92+P92+T92+X92+AB92+AF92+AJ92+AN92))</f>
        <v>1450</v>
      </c>
      <c r="C92" s="43" t="n">
        <f aca="false">IF(F91&gt;0.005,F91*(1+Ordem!$K$6),0)</f>
        <v>0</v>
      </c>
      <c r="D92" s="43" t="n">
        <f aca="false">MIN(C92,Ordem!$L$6)</f>
        <v>0</v>
      </c>
      <c r="E92" s="43" t="n">
        <f aca="false">MAX(0,MIN(C92-D92,$B92-(0)))</f>
        <v>0</v>
      </c>
      <c r="F92" s="43" t="n">
        <f aca="false">MAX(0,C92-D92-E92)</f>
        <v>0</v>
      </c>
      <c r="G92" s="43" t="n">
        <f aca="false">IF(J91&gt;0.005,J91*(1+Ordem!$K$7),0)</f>
        <v>0</v>
      </c>
      <c r="H92" s="43" t="n">
        <f aca="false">MIN(G92,Ordem!$L$7)</f>
        <v>0</v>
      </c>
      <c r="I92" s="43" t="n">
        <f aca="false">MAX(0,MIN(G92-H92,$B92-(E92)))</f>
        <v>0</v>
      </c>
      <c r="J92" s="43" t="n">
        <f aca="false">MAX(0,G92-H92-I92)</f>
        <v>0</v>
      </c>
      <c r="K92" s="43" t="n">
        <f aca="false">IF(N91&gt;0.005,N91*(1+Ordem!$K$8),0)</f>
        <v>0</v>
      </c>
      <c r="L92" s="43" t="n">
        <f aca="false">MIN(K92,Ordem!$L$8)</f>
        <v>0</v>
      </c>
      <c r="M92" s="43" t="n">
        <f aca="false">MAX(0,MIN(K92-L92,$B92-(E92+I92)))</f>
        <v>0</v>
      </c>
      <c r="N92" s="43" t="n">
        <f aca="false">MAX(0,K92-L92-M92)</f>
        <v>0</v>
      </c>
      <c r="O92" s="43" t="n">
        <f aca="false">IF(R91&gt;0.005,R91*(1+Ordem!$K$9),0)</f>
        <v>0</v>
      </c>
      <c r="P92" s="43" t="n">
        <f aca="false">MIN(O92,Ordem!$L$9)</f>
        <v>0</v>
      </c>
      <c r="Q92" s="43" t="n">
        <f aca="false">MAX(0,MIN(O92-P92,$B92-(E92+I92+M92)))</f>
        <v>0</v>
      </c>
      <c r="R92" s="43" t="n">
        <f aca="false">MAX(0,O92-P92-Q92)</f>
        <v>0</v>
      </c>
      <c r="S92" s="43" t="n">
        <f aca="false">IF(V91&gt;0.005,V91*(1+Ordem!$K$10),0)</f>
        <v>0</v>
      </c>
      <c r="T92" s="43" t="n">
        <f aca="false">MIN(S92,Ordem!$L$10)</f>
        <v>0</v>
      </c>
      <c r="U92" s="43" t="n">
        <f aca="false">MAX(0,MIN(S92-T92,$B92-(E92+I92+M92+Q92)))</f>
        <v>0</v>
      </c>
      <c r="V92" s="43" t="n">
        <f aca="false">MAX(0,S92-T92-U92)</f>
        <v>0</v>
      </c>
      <c r="W92" s="43" t="n">
        <f aca="false">IF(Z91&gt;0.005,Z91*(1+Ordem!$K$11),0)</f>
        <v>0</v>
      </c>
      <c r="X92" s="43" t="n">
        <f aca="false">MIN(W92,Ordem!$L$11)</f>
        <v>0</v>
      </c>
      <c r="Y92" s="43" t="n">
        <f aca="false">MAX(0,MIN(W92-X92,$B92-(E92+I92+M92+Q92+U92)))</f>
        <v>0</v>
      </c>
      <c r="Z92" s="43" t="n">
        <f aca="false">MAX(0,W92-X92-Y92)</f>
        <v>0</v>
      </c>
      <c r="AA92" s="43" t="n">
        <f aca="false">IF(AD91&gt;0.005,AD91*(1+Ordem!$K$12),0)</f>
        <v>0</v>
      </c>
      <c r="AB92" s="43" t="n">
        <f aca="false">MIN(AA92,Ordem!$L$12)</f>
        <v>0</v>
      </c>
      <c r="AC92" s="43" t="n">
        <f aca="false">MAX(0,MIN(AA92-AB92,$B92-(E92+I92+M92+Q92+U92+Y92)))</f>
        <v>0</v>
      </c>
      <c r="AD92" s="43" t="n">
        <f aca="false">MAX(0,AA92-AB92-AC92)</f>
        <v>0</v>
      </c>
      <c r="AE92" s="43" t="n">
        <f aca="false">IF(AH91&gt;0.005,AH91*(1+Ordem!$K$13),0)</f>
        <v>0</v>
      </c>
      <c r="AF92" s="43" t="n">
        <f aca="false">MIN(AE92,Ordem!$L$13)</f>
        <v>0</v>
      </c>
      <c r="AG92" s="43" t="n">
        <f aca="false">MAX(0,MIN(AE92-AF92,$B92-(E92+I92+M92+Q92+U92+Y92+AC92)))</f>
        <v>0</v>
      </c>
      <c r="AH92" s="43" t="n">
        <f aca="false">MAX(0,AE92-AF92-AG92)</f>
        <v>0</v>
      </c>
      <c r="AI92" s="43" t="n">
        <f aca="false">IF(AL91&gt;0.005,AL91*(1+Ordem!$K$14),0)</f>
        <v>0</v>
      </c>
      <c r="AJ92" s="43" t="n">
        <f aca="false">MIN(AI92,Ordem!$L$14)</f>
        <v>0</v>
      </c>
      <c r="AK92" s="43" t="n">
        <f aca="false">MAX(0,MIN(AI92-AJ92,$B92-(E92+I92+M92+Q92+U92+Y92+AC92+AG92)))</f>
        <v>0</v>
      </c>
      <c r="AL92" s="43" t="n">
        <f aca="false">MAX(0,AI92-AJ92-AK92)</f>
        <v>0</v>
      </c>
      <c r="AM92" s="43" t="n">
        <f aca="false">IF(AP91&gt;0.005,AP91*(1+Ordem!$K$15),0)</f>
        <v>0</v>
      </c>
      <c r="AN92" s="43" t="n">
        <f aca="false">MIN(AM92,Ordem!$L$15)</f>
        <v>0</v>
      </c>
      <c r="AO92" s="43" t="n">
        <f aca="false">MAX(0,MIN(AM92-AN92,$B92-(E92+I92+M92+Q92+U92+Y92+AC92+AG92+AK92)))</f>
        <v>0</v>
      </c>
      <c r="AP92" s="43" t="n">
        <f aca="false">MAX(0,AM92-AN92-AO92)</f>
        <v>0</v>
      </c>
      <c r="AQ92" s="43" t="n">
        <f aca="false">F92+J92+N92+R92+V92+Z92+AD92+AH92+AL92+AP92</f>
        <v>0</v>
      </c>
      <c r="AR92" s="43" t="n">
        <f aca="false">D92+E92+H92+I92+L92+M92+P92+Q92+T92+U92+X92+Y92+AB92+AC92+AF92+AG92+AJ92+AK92+AN92+AO92</f>
        <v>0</v>
      </c>
    </row>
    <row r="93" customFormat="false" ht="15" hidden="false" customHeight="false" outlineLevel="0" collapsed="false">
      <c r="A93" s="0" t="n">
        <v>89</v>
      </c>
      <c r="B93" s="43" t="n">
        <f aca="false">MAX(0,Dívidas!$C$20-(D93+H93+L93+P93+T93+X93+AB93+AF93+AJ93+AN93))</f>
        <v>1450</v>
      </c>
      <c r="C93" s="43" t="n">
        <f aca="false">IF(F92&gt;0.005,F92*(1+Ordem!$K$6),0)</f>
        <v>0</v>
      </c>
      <c r="D93" s="43" t="n">
        <f aca="false">MIN(C93,Ordem!$L$6)</f>
        <v>0</v>
      </c>
      <c r="E93" s="43" t="n">
        <f aca="false">MAX(0,MIN(C93-D93,$B93-(0)))</f>
        <v>0</v>
      </c>
      <c r="F93" s="43" t="n">
        <f aca="false">MAX(0,C93-D93-E93)</f>
        <v>0</v>
      </c>
      <c r="G93" s="43" t="n">
        <f aca="false">IF(J92&gt;0.005,J92*(1+Ordem!$K$7),0)</f>
        <v>0</v>
      </c>
      <c r="H93" s="43" t="n">
        <f aca="false">MIN(G93,Ordem!$L$7)</f>
        <v>0</v>
      </c>
      <c r="I93" s="43" t="n">
        <f aca="false">MAX(0,MIN(G93-H93,$B93-(E93)))</f>
        <v>0</v>
      </c>
      <c r="J93" s="43" t="n">
        <f aca="false">MAX(0,G93-H93-I93)</f>
        <v>0</v>
      </c>
      <c r="K93" s="43" t="n">
        <f aca="false">IF(N92&gt;0.005,N92*(1+Ordem!$K$8),0)</f>
        <v>0</v>
      </c>
      <c r="L93" s="43" t="n">
        <f aca="false">MIN(K93,Ordem!$L$8)</f>
        <v>0</v>
      </c>
      <c r="M93" s="43" t="n">
        <f aca="false">MAX(0,MIN(K93-L93,$B93-(E93+I93)))</f>
        <v>0</v>
      </c>
      <c r="N93" s="43" t="n">
        <f aca="false">MAX(0,K93-L93-M93)</f>
        <v>0</v>
      </c>
      <c r="O93" s="43" t="n">
        <f aca="false">IF(R92&gt;0.005,R92*(1+Ordem!$K$9),0)</f>
        <v>0</v>
      </c>
      <c r="P93" s="43" t="n">
        <f aca="false">MIN(O93,Ordem!$L$9)</f>
        <v>0</v>
      </c>
      <c r="Q93" s="43" t="n">
        <f aca="false">MAX(0,MIN(O93-P93,$B93-(E93+I93+M93)))</f>
        <v>0</v>
      </c>
      <c r="R93" s="43" t="n">
        <f aca="false">MAX(0,O93-P93-Q93)</f>
        <v>0</v>
      </c>
      <c r="S93" s="43" t="n">
        <f aca="false">IF(V92&gt;0.005,V92*(1+Ordem!$K$10),0)</f>
        <v>0</v>
      </c>
      <c r="T93" s="43" t="n">
        <f aca="false">MIN(S93,Ordem!$L$10)</f>
        <v>0</v>
      </c>
      <c r="U93" s="43" t="n">
        <f aca="false">MAX(0,MIN(S93-T93,$B93-(E93+I93+M93+Q93)))</f>
        <v>0</v>
      </c>
      <c r="V93" s="43" t="n">
        <f aca="false">MAX(0,S93-T93-U93)</f>
        <v>0</v>
      </c>
      <c r="W93" s="43" t="n">
        <f aca="false">IF(Z92&gt;0.005,Z92*(1+Ordem!$K$11),0)</f>
        <v>0</v>
      </c>
      <c r="X93" s="43" t="n">
        <f aca="false">MIN(W93,Ordem!$L$11)</f>
        <v>0</v>
      </c>
      <c r="Y93" s="43" t="n">
        <f aca="false">MAX(0,MIN(W93-X93,$B93-(E93+I93+M93+Q93+U93)))</f>
        <v>0</v>
      </c>
      <c r="Z93" s="43" t="n">
        <f aca="false">MAX(0,W93-X93-Y93)</f>
        <v>0</v>
      </c>
      <c r="AA93" s="43" t="n">
        <f aca="false">IF(AD92&gt;0.005,AD92*(1+Ordem!$K$12),0)</f>
        <v>0</v>
      </c>
      <c r="AB93" s="43" t="n">
        <f aca="false">MIN(AA93,Ordem!$L$12)</f>
        <v>0</v>
      </c>
      <c r="AC93" s="43" t="n">
        <f aca="false">MAX(0,MIN(AA93-AB93,$B93-(E93+I93+M93+Q93+U93+Y93)))</f>
        <v>0</v>
      </c>
      <c r="AD93" s="43" t="n">
        <f aca="false">MAX(0,AA93-AB93-AC93)</f>
        <v>0</v>
      </c>
      <c r="AE93" s="43" t="n">
        <f aca="false">IF(AH92&gt;0.005,AH92*(1+Ordem!$K$13),0)</f>
        <v>0</v>
      </c>
      <c r="AF93" s="43" t="n">
        <f aca="false">MIN(AE93,Ordem!$L$13)</f>
        <v>0</v>
      </c>
      <c r="AG93" s="43" t="n">
        <f aca="false">MAX(0,MIN(AE93-AF93,$B93-(E93+I93+M93+Q93+U93+Y93+AC93)))</f>
        <v>0</v>
      </c>
      <c r="AH93" s="43" t="n">
        <f aca="false">MAX(0,AE93-AF93-AG93)</f>
        <v>0</v>
      </c>
      <c r="AI93" s="43" t="n">
        <f aca="false">IF(AL92&gt;0.005,AL92*(1+Ordem!$K$14),0)</f>
        <v>0</v>
      </c>
      <c r="AJ93" s="43" t="n">
        <f aca="false">MIN(AI93,Ordem!$L$14)</f>
        <v>0</v>
      </c>
      <c r="AK93" s="43" t="n">
        <f aca="false">MAX(0,MIN(AI93-AJ93,$B93-(E93+I93+M93+Q93+U93+Y93+AC93+AG93)))</f>
        <v>0</v>
      </c>
      <c r="AL93" s="43" t="n">
        <f aca="false">MAX(0,AI93-AJ93-AK93)</f>
        <v>0</v>
      </c>
      <c r="AM93" s="43" t="n">
        <f aca="false">IF(AP92&gt;0.005,AP92*(1+Ordem!$K$15),0)</f>
        <v>0</v>
      </c>
      <c r="AN93" s="43" t="n">
        <f aca="false">MIN(AM93,Ordem!$L$15)</f>
        <v>0</v>
      </c>
      <c r="AO93" s="43" t="n">
        <f aca="false">MAX(0,MIN(AM93-AN93,$B93-(E93+I93+M93+Q93+U93+Y93+AC93+AG93+AK93)))</f>
        <v>0</v>
      </c>
      <c r="AP93" s="43" t="n">
        <f aca="false">MAX(0,AM93-AN93-AO93)</f>
        <v>0</v>
      </c>
      <c r="AQ93" s="43" t="n">
        <f aca="false">F93+J93+N93+R93+V93+Z93+AD93+AH93+AL93+AP93</f>
        <v>0</v>
      </c>
      <c r="AR93" s="43" t="n">
        <f aca="false">D93+E93+H93+I93+L93+M93+P93+Q93+T93+U93+X93+Y93+AB93+AC93+AF93+AG93+AJ93+AK93+AN93+AO93</f>
        <v>0</v>
      </c>
    </row>
    <row r="94" customFormat="false" ht="15" hidden="false" customHeight="false" outlineLevel="0" collapsed="false">
      <c r="A94" s="0" t="n">
        <v>90</v>
      </c>
      <c r="B94" s="43" t="n">
        <f aca="false">MAX(0,Dívidas!$C$20-(D94+H94+L94+P94+T94+X94+AB94+AF94+AJ94+AN94))</f>
        <v>1450</v>
      </c>
      <c r="C94" s="43" t="n">
        <f aca="false">IF(F93&gt;0.005,F93*(1+Ordem!$K$6),0)</f>
        <v>0</v>
      </c>
      <c r="D94" s="43" t="n">
        <f aca="false">MIN(C94,Ordem!$L$6)</f>
        <v>0</v>
      </c>
      <c r="E94" s="43" t="n">
        <f aca="false">MAX(0,MIN(C94-D94,$B94-(0)))</f>
        <v>0</v>
      </c>
      <c r="F94" s="43" t="n">
        <f aca="false">MAX(0,C94-D94-E94)</f>
        <v>0</v>
      </c>
      <c r="G94" s="43" t="n">
        <f aca="false">IF(J93&gt;0.005,J93*(1+Ordem!$K$7),0)</f>
        <v>0</v>
      </c>
      <c r="H94" s="43" t="n">
        <f aca="false">MIN(G94,Ordem!$L$7)</f>
        <v>0</v>
      </c>
      <c r="I94" s="43" t="n">
        <f aca="false">MAX(0,MIN(G94-H94,$B94-(E94)))</f>
        <v>0</v>
      </c>
      <c r="J94" s="43" t="n">
        <f aca="false">MAX(0,G94-H94-I94)</f>
        <v>0</v>
      </c>
      <c r="K94" s="43" t="n">
        <f aca="false">IF(N93&gt;0.005,N93*(1+Ordem!$K$8),0)</f>
        <v>0</v>
      </c>
      <c r="L94" s="43" t="n">
        <f aca="false">MIN(K94,Ordem!$L$8)</f>
        <v>0</v>
      </c>
      <c r="M94" s="43" t="n">
        <f aca="false">MAX(0,MIN(K94-L94,$B94-(E94+I94)))</f>
        <v>0</v>
      </c>
      <c r="N94" s="43" t="n">
        <f aca="false">MAX(0,K94-L94-M94)</f>
        <v>0</v>
      </c>
      <c r="O94" s="43" t="n">
        <f aca="false">IF(R93&gt;0.005,R93*(1+Ordem!$K$9),0)</f>
        <v>0</v>
      </c>
      <c r="P94" s="43" t="n">
        <f aca="false">MIN(O94,Ordem!$L$9)</f>
        <v>0</v>
      </c>
      <c r="Q94" s="43" t="n">
        <f aca="false">MAX(0,MIN(O94-P94,$B94-(E94+I94+M94)))</f>
        <v>0</v>
      </c>
      <c r="R94" s="43" t="n">
        <f aca="false">MAX(0,O94-P94-Q94)</f>
        <v>0</v>
      </c>
      <c r="S94" s="43" t="n">
        <f aca="false">IF(V93&gt;0.005,V93*(1+Ordem!$K$10),0)</f>
        <v>0</v>
      </c>
      <c r="T94" s="43" t="n">
        <f aca="false">MIN(S94,Ordem!$L$10)</f>
        <v>0</v>
      </c>
      <c r="U94" s="43" t="n">
        <f aca="false">MAX(0,MIN(S94-T94,$B94-(E94+I94+M94+Q94)))</f>
        <v>0</v>
      </c>
      <c r="V94" s="43" t="n">
        <f aca="false">MAX(0,S94-T94-U94)</f>
        <v>0</v>
      </c>
      <c r="W94" s="43" t="n">
        <f aca="false">IF(Z93&gt;0.005,Z93*(1+Ordem!$K$11),0)</f>
        <v>0</v>
      </c>
      <c r="X94" s="43" t="n">
        <f aca="false">MIN(W94,Ordem!$L$11)</f>
        <v>0</v>
      </c>
      <c r="Y94" s="43" t="n">
        <f aca="false">MAX(0,MIN(W94-X94,$B94-(E94+I94+M94+Q94+U94)))</f>
        <v>0</v>
      </c>
      <c r="Z94" s="43" t="n">
        <f aca="false">MAX(0,W94-X94-Y94)</f>
        <v>0</v>
      </c>
      <c r="AA94" s="43" t="n">
        <f aca="false">IF(AD93&gt;0.005,AD93*(1+Ordem!$K$12),0)</f>
        <v>0</v>
      </c>
      <c r="AB94" s="43" t="n">
        <f aca="false">MIN(AA94,Ordem!$L$12)</f>
        <v>0</v>
      </c>
      <c r="AC94" s="43" t="n">
        <f aca="false">MAX(0,MIN(AA94-AB94,$B94-(E94+I94+M94+Q94+U94+Y94)))</f>
        <v>0</v>
      </c>
      <c r="AD94" s="43" t="n">
        <f aca="false">MAX(0,AA94-AB94-AC94)</f>
        <v>0</v>
      </c>
      <c r="AE94" s="43" t="n">
        <f aca="false">IF(AH93&gt;0.005,AH93*(1+Ordem!$K$13),0)</f>
        <v>0</v>
      </c>
      <c r="AF94" s="43" t="n">
        <f aca="false">MIN(AE94,Ordem!$L$13)</f>
        <v>0</v>
      </c>
      <c r="AG94" s="43" t="n">
        <f aca="false">MAX(0,MIN(AE94-AF94,$B94-(E94+I94+M94+Q94+U94+Y94+AC94)))</f>
        <v>0</v>
      </c>
      <c r="AH94" s="43" t="n">
        <f aca="false">MAX(0,AE94-AF94-AG94)</f>
        <v>0</v>
      </c>
      <c r="AI94" s="43" t="n">
        <f aca="false">IF(AL93&gt;0.005,AL93*(1+Ordem!$K$14),0)</f>
        <v>0</v>
      </c>
      <c r="AJ94" s="43" t="n">
        <f aca="false">MIN(AI94,Ordem!$L$14)</f>
        <v>0</v>
      </c>
      <c r="AK94" s="43" t="n">
        <f aca="false">MAX(0,MIN(AI94-AJ94,$B94-(E94+I94+M94+Q94+U94+Y94+AC94+AG94)))</f>
        <v>0</v>
      </c>
      <c r="AL94" s="43" t="n">
        <f aca="false">MAX(0,AI94-AJ94-AK94)</f>
        <v>0</v>
      </c>
      <c r="AM94" s="43" t="n">
        <f aca="false">IF(AP93&gt;0.005,AP93*(1+Ordem!$K$15),0)</f>
        <v>0</v>
      </c>
      <c r="AN94" s="43" t="n">
        <f aca="false">MIN(AM94,Ordem!$L$15)</f>
        <v>0</v>
      </c>
      <c r="AO94" s="43" t="n">
        <f aca="false">MAX(0,MIN(AM94-AN94,$B94-(E94+I94+M94+Q94+U94+Y94+AC94+AG94+AK94)))</f>
        <v>0</v>
      </c>
      <c r="AP94" s="43" t="n">
        <f aca="false">MAX(0,AM94-AN94-AO94)</f>
        <v>0</v>
      </c>
      <c r="AQ94" s="43" t="n">
        <f aca="false">F94+J94+N94+R94+V94+Z94+AD94+AH94+AL94+AP94</f>
        <v>0</v>
      </c>
      <c r="AR94" s="43" t="n">
        <f aca="false">D94+E94+H94+I94+L94+M94+P94+Q94+T94+U94+X94+Y94+AB94+AC94+AF94+AG94+AJ94+AK94+AN94+AO94</f>
        <v>0</v>
      </c>
    </row>
    <row r="95" customFormat="false" ht="15" hidden="false" customHeight="false" outlineLevel="0" collapsed="false">
      <c r="A95" s="0" t="n">
        <v>91</v>
      </c>
      <c r="B95" s="43" t="n">
        <f aca="false">MAX(0,Dívidas!$C$20-(D95+H95+L95+P95+T95+X95+AB95+AF95+AJ95+AN95))</f>
        <v>1450</v>
      </c>
      <c r="C95" s="43" t="n">
        <f aca="false">IF(F94&gt;0.005,F94*(1+Ordem!$K$6),0)</f>
        <v>0</v>
      </c>
      <c r="D95" s="43" t="n">
        <f aca="false">MIN(C95,Ordem!$L$6)</f>
        <v>0</v>
      </c>
      <c r="E95" s="43" t="n">
        <f aca="false">MAX(0,MIN(C95-D95,$B95-(0)))</f>
        <v>0</v>
      </c>
      <c r="F95" s="43" t="n">
        <f aca="false">MAX(0,C95-D95-E95)</f>
        <v>0</v>
      </c>
      <c r="G95" s="43" t="n">
        <f aca="false">IF(J94&gt;0.005,J94*(1+Ordem!$K$7),0)</f>
        <v>0</v>
      </c>
      <c r="H95" s="43" t="n">
        <f aca="false">MIN(G95,Ordem!$L$7)</f>
        <v>0</v>
      </c>
      <c r="I95" s="43" t="n">
        <f aca="false">MAX(0,MIN(G95-H95,$B95-(E95)))</f>
        <v>0</v>
      </c>
      <c r="J95" s="43" t="n">
        <f aca="false">MAX(0,G95-H95-I95)</f>
        <v>0</v>
      </c>
      <c r="K95" s="43" t="n">
        <f aca="false">IF(N94&gt;0.005,N94*(1+Ordem!$K$8),0)</f>
        <v>0</v>
      </c>
      <c r="L95" s="43" t="n">
        <f aca="false">MIN(K95,Ordem!$L$8)</f>
        <v>0</v>
      </c>
      <c r="M95" s="43" t="n">
        <f aca="false">MAX(0,MIN(K95-L95,$B95-(E95+I95)))</f>
        <v>0</v>
      </c>
      <c r="N95" s="43" t="n">
        <f aca="false">MAX(0,K95-L95-M95)</f>
        <v>0</v>
      </c>
      <c r="O95" s="43" t="n">
        <f aca="false">IF(R94&gt;0.005,R94*(1+Ordem!$K$9),0)</f>
        <v>0</v>
      </c>
      <c r="P95" s="43" t="n">
        <f aca="false">MIN(O95,Ordem!$L$9)</f>
        <v>0</v>
      </c>
      <c r="Q95" s="43" t="n">
        <f aca="false">MAX(0,MIN(O95-P95,$B95-(E95+I95+M95)))</f>
        <v>0</v>
      </c>
      <c r="R95" s="43" t="n">
        <f aca="false">MAX(0,O95-P95-Q95)</f>
        <v>0</v>
      </c>
      <c r="S95" s="43" t="n">
        <f aca="false">IF(V94&gt;0.005,V94*(1+Ordem!$K$10),0)</f>
        <v>0</v>
      </c>
      <c r="T95" s="43" t="n">
        <f aca="false">MIN(S95,Ordem!$L$10)</f>
        <v>0</v>
      </c>
      <c r="U95" s="43" t="n">
        <f aca="false">MAX(0,MIN(S95-T95,$B95-(E95+I95+M95+Q95)))</f>
        <v>0</v>
      </c>
      <c r="V95" s="43" t="n">
        <f aca="false">MAX(0,S95-T95-U95)</f>
        <v>0</v>
      </c>
      <c r="W95" s="43" t="n">
        <f aca="false">IF(Z94&gt;0.005,Z94*(1+Ordem!$K$11),0)</f>
        <v>0</v>
      </c>
      <c r="X95" s="43" t="n">
        <f aca="false">MIN(W95,Ordem!$L$11)</f>
        <v>0</v>
      </c>
      <c r="Y95" s="43" t="n">
        <f aca="false">MAX(0,MIN(W95-X95,$B95-(E95+I95+M95+Q95+U95)))</f>
        <v>0</v>
      </c>
      <c r="Z95" s="43" t="n">
        <f aca="false">MAX(0,W95-X95-Y95)</f>
        <v>0</v>
      </c>
      <c r="AA95" s="43" t="n">
        <f aca="false">IF(AD94&gt;0.005,AD94*(1+Ordem!$K$12),0)</f>
        <v>0</v>
      </c>
      <c r="AB95" s="43" t="n">
        <f aca="false">MIN(AA95,Ordem!$L$12)</f>
        <v>0</v>
      </c>
      <c r="AC95" s="43" t="n">
        <f aca="false">MAX(0,MIN(AA95-AB95,$B95-(E95+I95+M95+Q95+U95+Y95)))</f>
        <v>0</v>
      </c>
      <c r="AD95" s="43" t="n">
        <f aca="false">MAX(0,AA95-AB95-AC95)</f>
        <v>0</v>
      </c>
      <c r="AE95" s="43" t="n">
        <f aca="false">IF(AH94&gt;0.005,AH94*(1+Ordem!$K$13),0)</f>
        <v>0</v>
      </c>
      <c r="AF95" s="43" t="n">
        <f aca="false">MIN(AE95,Ordem!$L$13)</f>
        <v>0</v>
      </c>
      <c r="AG95" s="43" t="n">
        <f aca="false">MAX(0,MIN(AE95-AF95,$B95-(E95+I95+M95+Q95+U95+Y95+AC95)))</f>
        <v>0</v>
      </c>
      <c r="AH95" s="43" t="n">
        <f aca="false">MAX(0,AE95-AF95-AG95)</f>
        <v>0</v>
      </c>
      <c r="AI95" s="43" t="n">
        <f aca="false">IF(AL94&gt;0.005,AL94*(1+Ordem!$K$14),0)</f>
        <v>0</v>
      </c>
      <c r="AJ95" s="43" t="n">
        <f aca="false">MIN(AI95,Ordem!$L$14)</f>
        <v>0</v>
      </c>
      <c r="AK95" s="43" t="n">
        <f aca="false">MAX(0,MIN(AI95-AJ95,$B95-(E95+I95+M95+Q95+U95+Y95+AC95+AG95)))</f>
        <v>0</v>
      </c>
      <c r="AL95" s="43" t="n">
        <f aca="false">MAX(0,AI95-AJ95-AK95)</f>
        <v>0</v>
      </c>
      <c r="AM95" s="43" t="n">
        <f aca="false">IF(AP94&gt;0.005,AP94*(1+Ordem!$K$15),0)</f>
        <v>0</v>
      </c>
      <c r="AN95" s="43" t="n">
        <f aca="false">MIN(AM95,Ordem!$L$15)</f>
        <v>0</v>
      </c>
      <c r="AO95" s="43" t="n">
        <f aca="false">MAX(0,MIN(AM95-AN95,$B95-(E95+I95+M95+Q95+U95+Y95+AC95+AG95+AK95)))</f>
        <v>0</v>
      </c>
      <c r="AP95" s="43" t="n">
        <f aca="false">MAX(0,AM95-AN95-AO95)</f>
        <v>0</v>
      </c>
      <c r="AQ95" s="43" t="n">
        <f aca="false">F95+J95+N95+R95+V95+Z95+AD95+AH95+AL95+AP95</f>
        <v>0</v>
      </c>
      <c r="AR95" s="43" t="n">
        <f aca="false">D95+E95+H95+I95+L95+M95+P95+Q95+T95+U95+X95+Y95+AB95+AC95+AF95+AG95+AJ95+AK95+AN95+AO95</f>
        <v>0</v>
      </c>
    </row>
    <row r="96" customFormat="false" ht="15" hidden="false" customHeight="false" outlineLevel="0" collapsed="false">
      <c r="A96" s="0" t="n">
        <v>92</v>
      </c>
      <c r="B96" s="43" t="n">
        <f aca="false">MAX(0,Dívidas!$C$20-(D96+H96+L96+P96+T96+X96+AB96+AF96+AJ96+AN96))</f>
        <v>1450</v>
      </c>
      <c r="C96" s="43" t="n">
        <f aca="false">IF(F95&gt;0.005,F95*(1+Ordem!$K$6),0)</f>
        <v>0</v>
      </c>
      <c r="D96" s="43" t="n">
        <f aca="false">MIN(C96,Ordem!$L$6)</f>
        <v>0</v>
      </c>
      <c r="E96" s="43" t="n">
        <f aca="false">MAX(0,MIN(C96-D96,$B96-(0)))</f>
        <v>0</v>
      </c>
      <c r="F96" s="43" t="n">
        <f aca="false">MAX(0,C96-D96-E96)</f>
        <v>0</v>
      </c>
      <c r="G96" s="43" t="n">
        <f aca="false">IF(J95&gt;0.005,J95*(1+Ordem!$K$7),0)</f>
        <v>0</v>
      </c>
      <c r="H96" s="43" t="n">
        <f aca="false">MIN(G96,Ordem!$L$7)</f>
        <v>0</v>
      </c>
      <c r="I96" s="43" t="n">
        <f aca="false">MAX(0,MIN(G96-H96,$B96-(E96)))</f>
        <v>0</v>
      </c>
      <c r="J96" s="43" t="n">
        <f aca="false">MAX(0,G96-H96-I96)</f>
        <v>0</v>
      </c>
      <c r="K96" s="43" t="n">
        <f aca="false">IF(N95&gt;0.005,N95*(1+Ordem!$K$8),0)</f>
        <v>0</v>
      </c>
      <c r="L96" s="43" t="n">
        <f aca="false">MIN(K96,Ordem!$L$8)</f>
        <v>0</v>
      </c>
      <c r="M96" s="43" t="n">
        <f aca="false">MAX(0,MIN(K96-L96,$B96-(E96+I96)))</f>
        <v>0</v>
      </c>
      <c r="N96" s="43" t="n">
        <f aca="false">MAX(0,K96-L96-M96)</f>
        <v>0</v>
      </c>
      <c r="O96" s="43" t="n">
        <f aca="false">IF(R95&gt;0.005,R95*(1+Ordem!$K$9),0)</f>
        <v>0</v>
      </c>
      <c r="P96" s="43" t="n">
        <f aca="false">MIN(O96,Ordem!$L$9)</f>
        <v>0</v>
      </c>
      <c r="Q96" s="43" t="n">
        <f aca="false">MAX(0,MIN(O96-P96,$B96-(E96+I96+M96)))</f>
        <v>0</v>
      </c>
      <c r="R96" s="43" t="n">
        <f aca="false">MAX(0,O96-P96-Q96)</f>
        <v>0</v>
      </c>
      <c r="S96" s="43" t="n">
        <f aca="false">IF(V95&gt;0.005,V95*(1+Ordem!$K$10),0)</f>
        <v>0</v>
      </c>
      <c r="T96" s="43" t="n">
        <f aca="false">MIN(S96,Ordem!$L$10)</f>
        <v>0</v>
      </c>
      <c r="U96" s="43" t="n">
        <f aca="false">MAX(0,MIN(S96-T96,$B96-(E96+I96+M96+Q96)))</f>
        <v>0</v>
      </c>
      <c r="V96" s="43" t="n">
        <f aca="false">MAX(0,S96-T96-U96)</f>
        <v>0</v>
      </c>
      <c r="W96" s="43" t="n">
        <f aca="false">IF(Z95&gt;0.005,Z95*(1+Ordem!$K$11),0)</f>
        <v>0</v>
      </c>
      <c r="X96" s="43" t="n">
        <f aca="false">MIN(W96,Ordem!$L$11)</f>
        <v>0</v>
      </c>
      <c r="Y96" s="43" t="n">
        <f aca="false">MAX(0,MIN(W96-X96,$B96-(E96+I96+M96+Q96+U96)))</f>
        <v>0</v>
      </c>
      <c r="Z96" s="43" t="n">
        <f aca="false">MAX(0,W96-X96-Y96)</f>
        <v>0</v>
      </c>
      <c r="AA96" s="43" t="n">
        <f aca="false">IF(AD95&gt;0.005,AD95*(1+Ordem!$K$12),0)</f>
        <v>0</v>
      </c>
      <c r="AB96" s="43" t="n">
        <f aca="false">MIN(AA96,Ordem!$L$12)</f>
        <v>0</v>
      </c>
      <c r="AC96" s="43" t="n">
        <f aca="false">MAX(0,MIN(AA96-AB96,$B96-(E96+I96+M96+Q96+U96+Y96)))</f>
        <v>0</v>
      </c>
      <c r="AD96" s="43" t="n">
        <f aca="false">MAX(0,AA96-AB96-AC96)</f>
        <v>0</v>
      </c>
      <c r="AE96" s="43" t="n">
        <f aca="false">IF(AH95&gt;0.005,AH95*(1+Ordem!$K$13),0)</f>
        <v>0</v>
      </c>
      <c r="AF96" s="43" t="n">
        <f aca="false">MIN(AE96,Ordem!$L$13)</f>
        <v>0</v>
      </c>
      <c r="AG96" s="43" t="n">
        <f aca="false">MAX(0,MIN(AE96-AF96,$B96-(E96+I96+M96+Q96+U96+Y96+AC96)))</f>
        <v>0</v>
      </c>
      <c r="AH96" s="43" t="n">
        <f aca="false">MAX(0,AE96-AF96-AG96)</f>
        <v>0</v>
      </c>
      <c r="AI96" s="43" t="n">
        <f aca="false">IF(AL95&gt;0.005,AL95*(1+Ordem!$K$14),0)</f>
        <v>0</v>
      </c>
      <c r="AJ96" s="43" t="n">
        <f aca="false">MIN(AI96,Ordem!$L$14)</f>
        <v>0</v>
      </c>
      <c r="AK96" s="43" t="n">
        <f aca="false">MAX(0,MIN(AI96-AJ96,$B96-(E96+I96+M96+Q96+U96+Y96+AC96+AG96)))</f>
        <v>0</v>
      </c>
      <c r="AL96" s="43" t="n">
        <f aca="false">MAX(0,AI96-AJ96-AK96)</f>
        <v>0</v>
      </c>
      <c r="AM96" s="43" t="n">
        <f aca="false">IF(AP95&gt;0.005,AP95*(1+Ordem!$K$15),0)</f>
        <v>0</v>
      </c>
      <c r="AN96" s="43" t="n">
        <f aca="false">MIN(AM96,Ordem!$L$15)</f>
        <v>0</v>
      </c>
      <c r="AO96" s="43" t="n">
        <f aca="false">MAX(0,MIN(AM96-AN96,$B96-(E96+I96+M96+Q96+U96+Y96+AC96+AG96+AK96)))</f>
        <v>0</v>
      </c>
      <c r="AP96" s="43" t="n">
        <f aca="false">MAX(0,AM96-AN96-AO96)</f>
        <v>0</v>
      </c>
      <c r="AQ96" s="43" t="n">
        <f aca="false">F96+J96+N96+R96+V96+Z96+AD96+AH96+AL96+AP96</f>
        <v>0</v>
      </c>
      <c r="AR96" s="43" t="n">
        <f aca="false">D96+E96+H96+I96+L96+M96+P96+Q96+T96+U96+X96+Y96+AB96+AC96+AF96+AG96+AJ96+AK96+AN96+AO96</f>
        <v>0</v>
      </c>
    </row>
    <row r="97" customFormat="false" ht="15" hidden="false" customHeight="false" outlineLevel="0" collapsed="false">
      <c r="A97" s="0" t="n">
        <v>93</v>
      </c>
      <c r="B97" s="43" t="n">
        <f aca="false">MAX(0,Dívidas!$C$20-(D97+H97+L97+P97+T97+X97+AB97+AF97+AJ97+AN97))</f>
        <v>1450</v>
      </c>
      <c r="C97" s="43" t="n">
        <f aca="false">IF(F96&gt;0.005,F96*(1+Ordem!$K$6),0)</f>
        <v>0</v>
      </c>
      <c r="D97" s="43" t="n">
        <f aca="false">MIN(C97,Ordem!$L$6)</f>
        <v>0</v>
      </c>
      <c r="E97" s="43" t="n">
        <f aca="false">MAX(0,MIN(C97-D97,$B97-(0)))</f>
        <v>0</v>
      </c>
      <c r="F97" s="43" t="n">
        <f aca="false">MAX(0,C97-D97-E97)</f>
        <v>0</v>
      </c>
      <c r="G97" s="43" t="n">
        <f aca="false">IF(J96&gt;0.005,J96*(1+Ordem!$K$7),0)</f>
        <v>0</v>
      </c>
      <c r="H97" s="43" t="n">
        <f aca="false">MIN(G97,Ordem!$L$7)</f>
        <v>0</v>
      </c>
      <c r="I97" s="43" t="n">
        <f aca="false">MAX(0,MIN(G97-H97,$B97-(E97)))</f>
        <v>0</v>
      </c>
      <c r="J97" s="43" t="n">
        <f aca="false">MAX(0,G97-H97-I97)</f>
        <v>0</v>
      </c>
      <c r="K97" s="43" t="n">
        <f aca="false">IF(N96&gt;0.005,N96*(1+Ordem!$K$8),0)</f>
        <v>0</v>
      </c>
      <c r="L97" s="43" t="n">
        <f aca="false">MIN(K97,Ordem!$L$8)</f>
        <v>0</v>
      </c>
      <c r="M97" s="43" t="n">
        <f aca="false">MAX(0,MIN(K97-L97,$B97-(E97+I97)))</f>
        <v>0</v>
      </c>
      <c r="N97" s="43" t="n">
        <f aca="false">MAX(0,K97-L97-M97)</f>
        <v>0</v>
      </c>
      <c r="O97" s="43" t="n">
        <f aca="false">IF(R96&gt;0.005,R96*(1+Ordem!$K$9),0)</f>
        <v>0</v>
      </c>
      <c r="P97" s="43" t="n">
        <f aca="false">MIN(O97,Ordem!$L$9)</f>
        <v>0</v>
      </c>
      <c r="Q97" s="43" t="n">
        <f aca="false">MAX(0,MIN(O97-P97,$B97-(E97+I97+M97)))</f>
        <v>0</v>
      </c>
      <c r="R97" s="43" t="n">
        <f aca="false">MAX(0,O97-P97-Q97)</f>
        <v>0</v>
      </c>
      <c r="S97" s="43" t="n">
        <f aca="false">IF(V96&gt;0.005,V96*(1+Ordem!$K$10),0)</f>
        <v>0</v>
      </c>
      <c r="T97" s="43" t="n">
        <f aca="false">MIN(S97,Ordem!$L$10)</f>
        <v>0</v>
      </c>
      <c r="U97" s="43" t="n">
        <f aca="false">MAX(0,MIN(S97-T97,$B97-(E97+I97+M97+Q97)))</f>
        <v>0</v>
      </c>
      <c r="V97" s="43" t="n">
        <f aca="false">MAX(0,S97-T97-U97)</f>
        <v>0</v>
      </c>
      <c r="W97" s="43" t="n">
        <f aca="false">IF(Z96&gt;0.005,Z96*(1+Ordem!$K$11),0)</f>
        <v>0</v>
      </c>
      <c r="X97" s="43" t="n">
        <f aca="false">MIN(W97,Ordem!$L$11)</f>
        <v>0</v>
      </c>
      <c r="Y97" s="43" t="n">
        <f aca="false">MAX(0,MIN(W97-X97,$B97-(E97+I97+M97+Q97+U97)))</f>
        <v>0</v>
      </c>
      <c r="Z97" s="43" t="n">
        <f aca="false">MAX(0,W97-X97-Y97)</f>
        <v>0</v>
      </c>
      <c r="AA97" s="43" t="n">
        <f aca="false">IF(AD96&gt;0.005,AD96*(1+Ordem!$K$12),0)</f>
        <v>0</v>
      </c>
      <c r="AB97" s="43" t="n">
        <f aca="false">MIN(AA97,Ordem!$L$12)</f>
        <v>0</v>
      </c>
      <c r="AC97" s="43" t="n">
        <f aca="false">MAX(0,MIN(AA97-AB97,$B97-(E97+I97+M97+Q97+U97+Y97)))</f>
        <v>0</v>
      </c>
      <c r="AD97" s="43" t="n">
        <f aca="false">MAX(0,AA97-AB97-AC97)</f>
        <v>0</v>
      </c>
      <c r="AE97" s="43" t="n">
        <f aca="false">IF(AH96&gt;0.005,AH96*(1+Ordem!$K$13),0)</f>
        <v>0</v>
      </c>
      <c r="AF97" s="43" t="n">
        <f aca="false">MIN(AE97,Ordem!$L$13)</f>
        <v>0</v>
      </c>
      <c r="AG97" s="43" t="n">
        <f aca="false">MAX(0,MIN(AE97-AF97,$B97-(E97+I97+M97+Q97+U97+Y97+AC97)))</f>
        <v>0</v>
      </c>
      <c r="AH97" s="43" t="n">
        <f aca="false">MAX(0,AE97-AF97-AG97)</f>
        <v>0</v>
      </c>
      <c r="AI97" s="43" t="n">
        <f aca="false">IF(AL96&gt;0.005,AL96*(1+Ordem!$K$14),0)</f>
        <v>0</v>
      </c>
      <c r="AJ97" s="43" t="n">
        <f aca="false">MIN(AI97,Ordem!$L$14)</f>
        <v>0</v>
      </c>
      <c r="AK97" s="43" t="n">
        <f aca="false">MAX(0,MIN(AI97-AJ97,$B97-(E97+I97+M97+Q97+U97+Y97+AC97+AG97)))</f>
        <v>0</v>
      </c>
      <c r="AL97" s="43" t="n">
        <f aca="false">MAX(0,AI97-AJ97-AK97)</f>
        <v>0</v>
      </c>
      <c r="AM97" s="43" t="n">
        <f aca="false">IF(AP96&gt;0.005,AP96*(1+Ordem!$K$15),0)</f>
        <v>0</v>
      </c>
      <c r="AN97" s="43" t="n">
        <f aca="false">MIN(AM97,Ordem!$L$15)</f>
        <v>0</v>
      </c>
      <c r="AO97" s="43" t="n">
        <f aca="false">MAX(0,MIN(AM97-AN97,$B97-(E97+I97+M97+Q97+U97+Y97+AC97+AG97+AK97)))</f>
        <v>0</v>
      </c>
      <c r="AP97" s="43" t="n">
        <f aca="false">MAX(0,AM97-AN97-AO97)</f>
        <v>0</v>
      </c>
      <c r="AQ97" s="43" t="n">
        <f aca="false">F97+J97+N97+R97+V97+Z97+AD97+AH97+AL97+AP97</f>
        <v>0</v>
      </c>
      <c r="AR97" s="43" t="n">
        <f aca="false">D97+E97+H97+I97+L97+M97+P97+Q97+T97+U97+X97+Y97+AB97+AC97+AF97+AG97+AJ97+AK97+AN97+AO97</f>
        <v>0</v>
      </c>
    </row>
    <row r="98" customFormat="false" ht="15" hidden="false" customHeight="false" outlineLevel="0" collapsed="false">
      <c r="A98" s="0" t="n">
        <v>94</v>
      </c>
      <c r="B98" s="43" t="n">
        <f aca="false">MAX(0,Dívidas!$C$20-(D98+H98+L98+P98+T98+X98+AB98+AF98+AJ98+AN98))</f>
        <v>1450</v>
      </c>
      <c r="C98" s="43" t="n">
        <f aca="false">IF(F97&gt;0.005,F97*(1+Ordem!$K$6),0)</f>
        <v>0</v>
      </c>
      <c r="D98" s="43" t="n">
        <f aca="false">MIN(C98,Ordem!$L$6)</f>
        <v>0</v>
      </c>
      <c r="E98" s="43" t="n">
        <f aca="false">MAX(0,MIN(C98-D98,$B98-(0)))</f>
        <v>0</v>
      </c>
      <c r="F98" s="43" t="n">
        <f aca="false">MAX(0,C98-D98-E98)</f>
        <v>0</v>
      </c>
      <c r="G98" s="43" t="n">
        <f aca="false">IF(J97&gt;0.005,J97*(1+Ordem!$K$7),0)</f>
        <v>0</v>
      </c>
      <c r="H98" s="43" t="n">
        <f aca="false">MIN(G98,Ordem!$L$7)</f>
        <v>0</v>
      </c>
      <c r="I98" s="43" t="n">
        <f aca="false">MAX(0,MIN(G98-H98,$B98-(E98)))</f>
        <v>0</v>
      </c>
      <c r="J98" s="43" t="n">
        <f aca="false">MAX(0,G98-H98-I98)</f>
        <v>0</v>
      </c>
      <c r="K98" s="43" t="n">
        <f aca="false">IF(N97&gt;0.005,N97*(1+Ordem!$K$8),0)</f>
        <v>0</v>
      </c>
      <c r="L98" s="43" t="n">
        <f aca="false">MIN(K98,Ordem!$L$8)</f>
        <v>0</v>
      </c>
      <c r="M98" s="43" t="n">
        <f aca="false">MAX(0,MIN(K98-L98,$B98-(E98+I98)))</f>
        <v>0</v>
      </c>
      <c r="N98" s="43" t="n">
        <f aca="false">MAX(0,K98-L98-M98)</f>
        <v>0</v>
      </c>
      <c r="O98" s="43" t="n">
        <f aca="false">IF(R97&gt;0.005,R97*(1+Ordem!$K$9),0)</f>
        <v>0</v>
      </c>
      <c r="P98" s="43" t="n">
        <f aca="false">MIN(O98,Ordem!$L$9)</f>
        <v>0</v>
      </c>
      <c r="Q98" s="43" t="n">
        <f aca="false">MAX(0,MIN(O98-P98,$B98-(E98+I98+M98)))</f>
        <v>0</v>
      </c>
      <c r="R98" s="43" t="n">
        <f aca="false">MAX(0,O98-P98-Q98)</f>
        <v>0</v>
      </c>
      <c r="S98" s="43" t="n">
        <f aca="false">IF(V97&gt;0.005,V97*(1+Ordem!$K$10),0)</f>
        <v>0</v>
      </c>
      <c r="T98" s="43" t="n">
        <f aca="false">MIN(S98,Ordem!$L$10)</f>
        <v>0</v>
      </c>
      <c r="U98" s="43" t="n">
        <f aca="false">MAX(0,MIN(S98-T98,$B98-(E98+I98+M98+Q98)))</f>
        <v>0</v>
      </c>
      <c r="V98" s="43" t="n">
        <f aca="false">MAX(0,S98-T98-U98)</f>
        <v>0</v>
      </c>
      <c r="W98" s="43" t="n">
        <f aca="false">IF(Z97&gt;0.005,Z97*(1+Ordem!$K$11),0)</f>
        <v>0</v>
      </c>
      <c r="X98" s="43" t="n">
        <f aca="false">MIN(W98,Ordem!$L$11)</f>
        <v>0</v>
      </c>
      <c r="Y98" s="43" t="n">
        <f aca="false">MAX(0,MIN(W98-X98,$B98-(E98+I98+M98+Q98+U98)))</f>
        <v>0</v>
      </c>
      <c r="Z98" s="43" t="n">
        <f aca="false">MAX(0,W98-X98-Y98)</f>
        <v>0</v>
      </c>
      <c r="AA98" s="43" t="n">
        <f aca="false">IF(AD97&gt;0.005,AD97*(1+Ordem!$K$12),0)</f>
        <v>0</v>
      </c>
      <c r="AB98" s="43" t="n">
        <f aca="false">MIN(AA98,Ordem!$L$12)</f>
        <v>0</v>
      </c>
      <c r="AC98" s="43" t="n">
        <f aca="false">MAX(0,MIN(AA98-AB98,$B98-(E98+I98+M98+Q98+U98+Y98)))</f>
        <v>0</v>
      </c>
      <c r="AD98" s="43" t="n">
        <f aca="false">MAX(0,AA98-AB98-AC98)</f>
        <v>0</v>
      </c>
      <c r="AE98" s="43" t="n">
        <f aca="false">IF(AH97&gt;0.005,AH97*(1+Ordem!$K$13),0)</f>
        <v>0</v>
      </c>
      <c r="AF98" s="43" t="n">
        <f aca="false">MIN(AE98,Ordem!$L$13)</f>
        <v>0</v>
      </c>
      <c r="AG98" s="43" t="n">
        <f aca="false">MAX(0,MIN(AE98-AF98,$B98-(E98+I98+M98+Q98+U98+Y98+AC98)))</f>
        <v>0</v>
      </c>
      <c r="AH98" s="43" t="n">
        <f aca="false">MAX(0,AE98-AF98-AG98)</f>
        <v>0</v>
      </c>
      <c r="AI98" s="43" t="n">
        <f aca="false">IF(AL97&gt;0.005,AL97*(1+Ordem!$K$14),0)</f>
        <v>0</v>
      </c>
      <c r="AJ98" s="43" t="n">
        <f aca="false">MIN(AI98,Ordem!$L$14)</f>
        <v>0</v>
      </c>
      <c r="AK98" s="43" t="n">
        <f aca="false">MAX(0,MIN(AI98-AJ98,$B98-(E98+I98+M98+Q98+U98+Y98+AC98+AG98)))</f>
        <v>0</v>
      </c>
      <c r="AL98" s="43" t="n">
        <f aca="false">MAX(0,AI98-AJ98-AK98)</f>
        <v>0</v>
      </c>
      <c r="AM98" s="43" t="n">
        <f aca="false">IF(AP97&gt;0.005,AP97*(1+Ordem!$K$15),0)</f>
        <v>0</v>
      </c>
      <c r="AN98" s="43" t="n">
        <f aca="false">MIN(AM98,Ordem!$L$15)</f>
        <v>0</v>
      </c>
      <c r="AO98" s="43" t="n">
        <f aca="false">MAX(0,MIN(AM98-AN98,$B98-(E98+I98+M98+Q98+U98+Y98+AC98+AG98+AK98)))</f>
        <v>0</v>
      </c>
      <c r="AP98" s="43" t="n">
        <f aca="false">MAX(0,AM98-AN98-AO98)</f>
        <v>0</v>
      </c>
      <c r="AQ98" s="43" t="n">
        <f aca="false">F98+J98+N98+R98+V98+Z98+AD98+AH98+AL98+AP98</f>
        <v>0</v>
      </c>
      <c r="AR98" s="43" t="n">
        <f aca="false">D98+E98+H98+I98+L98+M98+P98+Q98+T98+U98+X98+Y98+AB98+AC98+AF98+AG98+AJ98+AK98+AN98+AO98</f>
        <v>0</v>
      </c>
    </row>
    <row r="99" customFormat="false" ht="15" hidden="false" customHeight="false" outlineLevel="0" collapsed="false">
      <c r="A99" s="0" t="n">
        <v>95</v>
      </c>
      <c r="B99" s="43" t="n">
        <f aca="false">MAX(0,Dívidas!$C$20-(D99+H99+L99+P99+T99+X99+AB99+AF99+AJ99+AN99))</f>
        <v>1450</v>
      </c>
      <c r="C99" s="43" t="n">
        <f aca="false">IF(F98&gt;0.005,F98*(1+Ordem!$K$6),0)</f>
        <v>0</v>
      </c>
      <c r="D99" s="43" t="n">
        <f aca="false">MIN(C99,Ordem!$L$6)</f>
        <v>0</v>
      </c>
      <c r="E99" s="43" t="n">
        <f aca="false">MAX(0,MIN(C99-D99,$B99-(0)))</f>
        <v>0</v>
      </c>
      <c r="F99" s="43" t="n">
        <f aca="false">MAX(0,C99-D99-E99)</f>
        <v>0</v>
      </c>
      <c r="G99" s="43" t="n">
        <f aca="false">IF(J98&gt;0.005,J98*(1+Ordem!$K$7),0)</f>
        <v>0</v>
      </c>
      <c r="H99" s="43" t="n">
        <f aca="false">MIN(G99,Ordem!$L$7)</f>
        <v>0</v>
      </c>
      <c r="I99" s="43" t="n">
        <f aca="false">MAX(0,MIN(G99-H99,$B99-(E99)))</f>
        <v>0</v>
      </c>
      <c r="J99" s="43" t="n">
        <f aca="false">MAX(0,G99-H99-I99)</f>
        <v>0</v>
      </c>
      <c r="K99" s="43" t="n">
        <f aca="false">IF(N98&gt;0.005,N98*(1+Ordem!$K$8),0)</f>
        <v>0</v>
      </c>
      <c r="L99" s="43" t="n">
        <f aca="false">MIN(K99,Ordem!$L$8)</f>
        <v>0</v>
      </c>
      <c r="M99" s="43" t="n">
        <f aca="false">MAX(0,MIN(K99-L99,$B99-(E99+I99)))</f>
        <v>0</v>
      </c>
      <c r="N99" s="43" t="n">
        <f aca="false">MAX(0,K99-L99-M99)</f>
        <v>0</v>
      </c>
      <c r="O99" s="43" t="n">
        <f aca="false">IF(R98&gt;0.005,R98*(1+Ordem!$K$9),0)</f>
        <v>0</v>
      </c>
      <c r="P99" s="43" t="n">
        <f aca="false">MIN(O99,Ordem!$L$9)</f>
        <v>0</v>
      </c>
      <c r="Q99" s="43" t="n">
        <f aca="false">MAX(0,MIN(O99-P99,$B99-(E99+I99+M99)))</f>
        <v>0</v>
      </c>
      <c r="R99" s="43" t="n">
        <f aca="false">MAX(0,O99-P99-Q99)</f>
        <v>0</v>
      </c>
      <c r="S99" s="43" t="n">
        <f aca="false">IF(V98&gt;0.005,V98*(1+Ordem!$K$10),0)</f>
        <v>0</v>
      </c>
      <c r="T99" s="43" t="n">
        <f aca="false">MIN(S99,Ordem!$L$10)</f>
        <v>0</v>
      </c>
      <c r="U99" s="43" t="n">
        <f aca="false">MAX(0,MIN(S99-T99,$B99-(E99+I99+M99+Q99)))</f>
        <v>0</v>
      </c>
      <c r="V99" s="43" t="n">
        <f aca="false">MAX(0,S99-T99-U99)</f>
        <v>0</v>
      </c>
      <c r="W99" s="43" t="n">
        <f aca="false">IF(Z98&gt;0.005,Z98*(1+Ordem!$K$11),0)</f>
        <v>0</v>
      </c>
      <c r="X99" s="43" t="n">
        <f aca="false">MIN(W99,Ordem!$L$11)</f>
        <v>0</v>
      </c>
      <c r="Y99" s="43" t="n">
        <f aca="false">MAX(0,MIN(W99-X99,$B99-(E99+I99+M99+Q99+U99)))</f>
        <v>0</v>
      </c>
      <c r="Z99" s="43" t="n">
        <f aca="false">MAX(0,W99-X99-Y99)</f>
        <v>0</v>
      </c>
      <c r="AA99" s="43" t="n">
        <f aca="false">IF(AD98&gt;0.005,AD98*(1+Ordem!$K$12),0)</f>
        <v>0</v>
      </c>
      <c r="AB99" s="43" t="n">
        <f aca="false">MIN(AA99,Ordem!$L$12)</f>
        <v>0</v>
      </c>
      <c r="AC99" s="43" t="n">
        <f aca="false">MAX(0,MIN(AA99-AB99,$B99-(E99+I99+M99+Q99+U99+Y99)))</f>
        <v>0</v>
      </c>
      <c r="AD99" s="43" t="n">
        <f aca="false">MAX(0,AA99-AB99-AC99)</f>
        <v>0</v>
      </c>
      <c r="AE99" s="43" t="n">
        <f aca="false">IF(AH98&gt;0.005,AH98*(1+Ordem!$K$13),0)</f>
        <v>0</v>
      </c>
      <c r="AF99" s="43" t="n">
        <f aca="false">MIN(AE99,Ordem!$L$13)</f>
        <v>0</v>
      </c>
      <c r="AG99" s="43" t="n">
        <f aca="false">MAX(0,MIN(AE99-AF99,$B99-(E99+I99+M99+Q99+U99+Y99+AC99)))</f>
        <v>0</v>
      </c>
      <c r="AH99" s="43" t="n">
        <f aca="false">MAX(0,AE99-AF99-AG99)</f>
        <v>0</v>
      </c>
      <c r="AI99" s="43" t="n">
        <f aca="false">IF(AL98&gt;0.005,AL98*(1+Ordem!$K$14),0)</f>
        <v>0</v>
      </c>
      <c r="AJ99" s="43" t="n">
        <f aca="false">MIN(AI99,Ordem!$L$14)</f>
        <v>0</v>
      </c>
      <c r="AK99" s="43" t="n">
        <f aca="false">MAX(0,MIN(AI99-AJ99,$B99-(E99+I99+M99+Q99+U99+Y99+AC99+AG99)))</f>
        <v>0</v>
      </c>
      <c r="AL99" s="43" t="n">
        <f aca="false">MAX(0,AI99-AJ99-AK99)</f>
        <v>0</v>
      </c>
      <c r="AM99" s="43" t="n">
        <f aca="false">IF(AP98&gt;0.005,AP98*(1+Ordem!$K$15),0)</f>
        <v>0</v>
      </c>
      <c r="AN99" s="43" t="n">
        <f aca="false">MIN(AM99,Ordem!$L$15)</f>
        <v>0</v>
      </c>
      <c r="AO99" s="43" t="n">
        <f aca="false">MAX(0,MIN(AM99-AN99,$B99-(E99+I99+M99+Q99+U99+Y99+AC99+AG99+AK99)))</f>
        <v>0</v>
      </c>
      <c r="AP99" s="43" t="n">
        <f aca="false">MAX(0,AM99-AN99-AO99)</f>
        <v>0</v>
      </c>
      <c r="AQ99" s="43" t="n">
        <f aca="false">F99+J99+N99+R99+V99+Z99+AD99+AH99+AL99+AP99</f>
        <v>0</v>
      </c>
      <c r="AR99" s="43" t="n">
        <f aca="false">D99+E99+H99+I99+L99+M99+P99+Q99+T99+U99+X99+Y99+AB99+AC99+AF99+AG99+AJ99+AK99+AN99+AO99</f>
        <v>0</v>
      </c>
    </row>
    <row r="100" customFormat="false" ht="15" hidden="false" customHeight="false" outlineLevel="0" collapsed="false">
      <c r="A100" s="0" t="n">
        <v>96</v>
      </c>
      <c r="B100" s="43" t="n">
        <f aca="false">MAX(0,Dívidas!$C$20-(D100+H100+L100+P100+T100+X100+AB100+AF100+AJ100+AN100))</f>
        <v>1450</v>
      </c>
      <c r="C100" s="43" t="n">
        <f aca="false">IF(F99&gt;0.005,F99*(1+Ordem!$K$6),0)</f>
        <v>0</v>
      </c>
      <c r="D100" s="43" t="n">
        <f aca="false">MIN(C100,Ordem!$L$6)</f>
        <v>0</v>
      </c>
      <c r="E100" s="43" t="n">
        <f aca="false">MAX(0,MIN(C100-D100,$B100-(0)))</f>
        <v>0</v>
      </c>
      <c r="F100" s="43" t="n">
        <f aca="false">MAX(0,C100-D100-E100)</f>
        <v>0</v>
      </c>
      <c r="G100" s="43" t="n">
        <f aca="false">IF(J99&gt;0.005,J99*(1+Ordem!$K$7),0)</f>
        <v>0</v>
      </c>
      <c r="H100" s="43" t="n">
        <f aca="false">MIN(G100,Ordem!$L$7)</f>
        <v>0</v>
      </c>
      <c r="I100" s="43" t="n">
        <f aca="false">MAX(0,MIN(G100-H100,$B100-(E100)))</f>
        <v>0</v>
      </c>
      <c r="J100" s="43" t="n">
        <f aca="false">MAX(0,G100-H100-I100)</f>
        <v>0</v>
      </c>
      <c r="K100" s="43" t="n">
        <f aca="false">IF(N99&gt;0.005,N99*(1+Ordem!$K$8),0)</f>
        <v>0</v>
      </c>
      <c r="L100" s="43" t="n">
        <f aca="false">MIN(K100,Ordem!$L$8)</f>
        <v>0</v>
      </c>
      <c r="M100" s="43" t="n">
        <f aca="false">MAX(0,MIN(K100-L100,$B100-(E100+I100)))</f>
        <v>0</v>
      </c>
      <c r="N100" s="43" t="n">
        <f aca="false">MAX(0,K100-L100-M100)</f>
        <v>0</v>
      </c>
      <c r="O100" s="43" t="n">
        <f aca="false">IF(R99&gt;0.005,R99*(1+Ordem!$K$9),0)</f>
        <v>0</v>
      </c>
      <c r="P100" s="43" t="n">
        <f aca="false">MIN(O100,Ordem!$L$9)</f>
        <v>0</v>
      </c>
      <c r="Q100" s="43" t="n">
        <f aca="false">MAX(0,MIN(O100-P100,$B100-(E100+I100+M100)))</f>
        <v>0</v>
      </c>
      <c r="R100" s="43" t="n">
        <f aca="false">MAX(0,O100-P100-Q100)</f>
        <v>0</v>
      </c>
      <c r="S100" s="43" t="n">
        <f aca="false">IF(V99&gt;0.005,V99*(1+Ordem!$K$10),0)</f>
        <v>0</v>
      </c>
      <c r="T100" s="43" t="n">
        <f aca="false">MIN(S100,Ordem!$L$10)</f>
        <v>0</v>
      </c>
      <c r="U100" s="43" t="n">
        <f aca="false">MAX(0,MIN(S100-T100,$B100-(E100+I100+M100+Q100)))</f>
        <v>0</v>
      </c>
      <c r="V100" s="43" t="n">
        <f aca="false">MAX(0,S100-T100-U100)</f>
        <v>0</v>
      </c>
      <c r="W100" s="43" t="n">
        <f aca="false">IF(Z99&gt;0.005,Z99*(1+Ordem!$K$11),0)</f>
        <v>0</v>
      </c>
      <c r="X100" s="43" t="n">
        <f aca="false">MIN(W100,Ordem!$L$11)</f>
        <v>0</v>
      </c>
      <c r="Y100" s="43" t="n">
        <f aca="false">MAX(0,MIN(W100-X100,$B100-(E100+I100+M100+Q100+U100)))</f>
        <v>0</v>
      </c>
      <c r="Z100" s="43" t="n">
        <f aca="false">MAX(0,W100-X100-Y100)</f>
        <v>0</v>
      </c>
      <c r="AA100" s="43" t="n">
        <f aca="false">IF(AD99&gt;0.005,AD99*(1+Ordem!$K$12),0)</f>
        <v>0</v>
      </c>
      <c r="AB100" s="43" t="n">
        <f aca="false">MIN(AA100,Ordem!$L$12)</f>
        <v>0</v>
      </c>
      <c r="AC100" s="43" t="n">
        <f aca="false">MAX(0,MIN(AA100-AB100,$B100-(E100+I100+M100+Q100+U100+Y100)))</f>
        <v>0</v>
      </c>
      <c r="AD100" s="43" t="n">
        <f aca="false">MAX(0,AA100-AB100-AC100)</f>
        <v>0</v>
      </c>
      <c r="AE100" s="43" t="n">
        <f aca="false">IF(AH99&gt;0.005,AH99*(1+Ordem!$K$13),0)</f>
        <v>0</v>
      </c>
      <c r="AF100" s="43" t="n">
        <f aca="false">MIN(AE100,Ordem!$L$13)</f>
        <v>0</v>
      </c>
      <c r="AG100" s="43" t="n">
        <f aca="false">MAX(0,MIN(AE100-AF100,$B100-(E100+I100+M100+Q100+U100+Y100+AC100)))</f>
        <v>0</v>
      </c>
      <c r="AH100" s="43" t="n">
        <f aca="false">MAX(0,AE100-AF100-AG100)</f>
        <v>0</v>
      </c>
      <c r="AI100" s="43" t="n">
        <f aca="false">IF(AL99&gt;0.005,AL99*(1+Ordem!$K$14),0)</f>
        <v>0</v>
      </c>
      <c r="AJ100" s="43" t="n">
        <f aca="false">MIN(AI100,Ordem!$L$14)</f>
        <v>0</v>
      </c>
      <c r="AK100" s="43" t="n">
        <f aca="false">MAX(0,MIN(AI100-AJ100,$B100-(E100+I100+M100+Q100+U100+Y100+AC100+AG100)))</f>
        <v>0</v>
      </c>
      <c r="AL100" s="43" t="n">
        <f aca="false">MAX(0,AI100-AJ100-AK100)</f>
        <v>0</v>
      </c>
      <c r="AM100" s="43" t="n">
        <f aca="false">IF(AP99&gt;0.005,AP99*(1+Ordem!$K$15),0)</f>
        <v>0</v>
      </c>
      <c r="AN100" s="43" t="n">
        <f aca="false">MIN(AM100,Ordem!$L$15)</f>
        <v>0</v>
      </c>
      <c r="AO100" s="43" t="n">
        <f aca="false">MAX(0,MIN(AM100-AN100,$B100-(E100+I100+M100+Q100+U100+Y100+AC100+AG100+AK100)))</f>
        <v>0</v>
      </c>
      <c r="AP100" s="43" t="n">
        <f aca="false">MAX(0,AM100-AN100-AO100)</f>
        <v>0</v>
      </c>
      <c r="AQ100" s="43" t="n">
        <f aca="false">F100+J100+N100+R100+V100+Z100+AD100+AH100+AL100+AP100</f>
        <v>0</v>
      </c>
      <c r="AR100" s="43" t="n">
        <f aca="false">D100+E100+H100+I100+L100+M100+P100+Q100+T100+U100+X100+Y100+AB100+AC100+AF100+AG100+AJ100+AK100+AN100+AO100</f>
        <v>0</v>
      </c>
    </row>
    <row r="101" customFormat="false" ht="15" hidden="false" customHeight="false" outlineLevel="0" collapsed="false">
      <c r="A101" s="0" t="n">
        <v>97</v>
      </c>
      <c r="B101" s="43" t="n">
        <f aca="false">MAX(0,Dívidas!$C$20-(D101+H101+L101+P101+T101+X101+AB101+AF101+AJ101+AN101))</f>
        <v>1450</v>
      </c>
      <c r="C101" s="43" t="n">
        <f aca="false">IF(F100&gt;0.005,F100*(1+Ordem!$K$6),0)</f>
        <v>0</v>
      </c>
      <c r="D101" s="43" t="n">
        <f aca="false">MIN(C101,Ordem!$L$6)</f>
        <v>0</v>
      </c>
      <c r="E101" s="43" t="n">
        <f aca="false">MAX(0,MIN(C101-D101,$B101-(0)))</f>
        <v>0</v>
      </c>
      <c r="F101" s="43" t="n">
        <f aca="false">MAX(0,C101-D101-E101)</f>
        <v>0</v>
      </c>
      <c r="G101" s="43" t="n">
        <f aca="false">IF(J100&gt;0.005,J100*(1+Ordem!$K$7),0)</f>
        <v>0</v>
      </c>
      <c r="H101" s="43" t="n">
        <f aca="false">MIN(G101,Ordem!$L$7)</f>
        <v>0</v>
      </c>
      <c r="I101" s="43" t="n">
        <f aca="false">MAX(0,MIN(G101-H101,$B101-(E101)))</f>
        <v>0</v>
      </c>
      <c r="J101" s="43" t="n">
        <f aca="false">MAX(0,G101-H101-I101)</f>
        <v>0</v>
      </c>
      <c r="K101" s="43" t="n">
        <f aca="false">IF(N100&gt;0.005,N100*(1+Ordem!$K$8),0)</f>
        <v>0</v>
      </c>
      <c r="L101" s="43" t="n">
        <f aca="false">MIN(K101,Ordem!$L$8)</f>
        <v>0</v>
      </c>
      <c r="M101" s="43" t="n">
        <f aca="false">MAX(0,MIN(K101-L101,$B101-(E101+I101)))</f>
        <v>0</v>
      </c>
      <c r="N101" s="43" t="n">
        <f aca="false">MAX(0,K101-L101-M101)</f>
        <v>0</v>
      </c>
      <c r="O101" s="43" t="n">
        <f aca="false">IF(R100&gt;0.005,R100*(1+Ordem!$K$9),0)</f>
        <v>0</v>
      </c>
      <c r="P101" s="43" t="n">
        <f aca="false">MIN(O101,Ordem!$L$9)</f>
        <v>0</v>
      </c>
      <c r="Q101" s="43" t="n">
        <f aca="false">MAX(0,MIN(O101-P101,$B101-(E101+I101+M101)))</f>
        <v>0</v>
      </c>
      <c r="R101" s="43" t="n">
        <f aca="false">MAX(0,O101-P101-Q101)</f>
        <v>0</v>
      </c>
      <c r="S101" s="43" t="n">
        <f aca="false">IF(V100&gt;0.005,V100*(1+Ordem!$K$10),0)</f>
        <v>0</v>
      </c>
      <c r="T101" s="43" t="n">
        <f aca="false">MIN(S101,Ordem!$L$10)</f>
        <v>0</v>
      </c>
      <c r="U101" s="43" t="n">
        <f aca="false">MAX(0,MIN(S101-T101,$B101-(E101+I101+M101+Q101)))</f>
        <v>0</v>
      </c>
      <c r="V101" s="43" t="n">
        <f aca="false">MAX(0,S101-T101-U101)</f>
        <v>0</v>
      </c>
      <c r="W101" s="43" t="n">
        <f aca="false">IF(Z100&gt;0.005,Z100*(1+Ordem!$K$11),0)</f>
        <v>0</v>
      </c>
      <c r="X101" s="43" t="n">
        <f aca="false">MIN(W101,Ordem!$L$11)</f>
        <v>0</v>
      </c>
      <c r="Y101" s="43" t="n">
        <f aca="false">MAX(0,MIN(W101-X101,$B101-(E101+I101+M101+Q101+U101)))</f>
        <v>0</v>
      </c>
      <c r="Z101" s="43" t="n">
        <f aca="false">MAX(0,W101-X101-Y101)</f>
        <v>0</v>
      </c>
      <c r="AA101" s="43" t="n">
        <f aca="false">IF(AD100&gt;0.005,AD100*(1+Ordem!$K$12),0)</f>
        <v>0</v>
      </c>
      <c r="AB101" s="43" t="n">
        <f aca="false">MIN(AA101,Ordem!$L$12)</f>
        <v>0</v>
      </c>
      <c r="AC101" s="43" t="n">
        <f aca="false">MAX(0,MIN(AA101-AB101,$B101-(E101+I101+M101+Q101+U101+Y101)))</f>
        <v>0</v>
      </c>
      <c r="AD101" s="43" t="n">
        <f aca="false">MAX(0,AA101-AB101-AC101)</f>
        <v>0</v>
      </c>
      <c r="AE101" s="43" t="n">
        <f aca="false">IF(AH100&gt;0.005,AH100*(1+Ordem!$K$13),0)</f>
        <v>0</v>
      </c>
      <c r="AF101" s="43" t="n">
        <f aca="false">MIN(AE101,Ordem!$L$13)</f>
        <v>0</v>
      </c>
      <c r="AG101" s="43" t="n">
        <f aca="false">MAX(0,MIN(AE101-AF101,$B101-(E101+I101+M101+Q101+U101+Y101+AC101)))</f>
        <v>0</v>
      </c>
      <c r="AH101" s="43" t="n">
        <f aca="false">MAX(0,AE101-AF101-AG101)</f>
        <v>0</v>
      </c>
      <c r="AI101" s="43" t="n">
        <f aca="false">IF(AL100&gt;0.005,AL100*(1+Ordem!$K$14),0)</f>
        <v>0</v>
      </c>
      <c r="AJ101" s="43" t="n">
        <f aca="false">MIN(AI101,Ordem!$L$14)</f>
        <v>0</v>
      </c>
      <c r="AK101" s="43" t="n">
        <f aca="false">MAX(0,MIN(AI101-AJ101,$B101-(E101+I101+M101+Q101+U101+Y101+AC101+AG101)))</f>
        <v>0</v>
      </c>
      <c r="AL101" s="43" t="n">
        <f aca="false">MAX(0,AI101-AJ101-AK101)</f>
        <v>0</v>
      </c>
      <c r="AM101" s="43" t="n">
        <f aca="false">IF(AP100&gt;0.005,AP100*(1+Ordem!$K$15),0)</f>
        <v>0</v>
      </c>
      <c r="AN101" s="43" t="n">
        <f aca="false">MIN(AM101,Ordem!$L$15)</f>
        <v>0</v>
      </c>
      <c r="AO101" s="43" t="n">
        <f aca="false">MAX(0,MIN(AM101-AN101,$B101-(E101+I101+M101+Q101+U101+Y101+AC101+AG101+AK101)))</f>
        <v>0</v>
      </c>
      <c r="AP101" s="43" t="n">
        <f aca="false">MAX(0,AM101-AN101-AO101)</f>
        <v>0</v>
      </c>
      <c r="AQ101" s="43" t="n">
        <f aca="false">F101+J101+N101+R101+V101+Z101+AD101+AH101+AL101+AP101</f>
        <v>0</v>
      </c>
      <c r="AR101" s="43" t="n">
        <f aca="false">D101+E101+H101+I101+L101+M101+P101+Q101+T101+U101+X101+Y101+AB101+AC101+AF101+AG101+AJ101+AK101+AN101+AO101</f>
        <v>0</v>
      </c>
    </row>
    <row r="102" customFormat="false" ht="15" hidden="false" customHeight="false" outlineLevel="0" collapsed="false">
      <c r="A102" s="0" t="n">
        <v>98</v>
      </c>
      <c r="B102" s="43" t="n">
        <f aca="false">MAX(0,Dívidas!$C$20-(D102+H102+L102+P102+T102+X102+AB102+AF102+AJ102+AN102))</f>
        <v>1450</v>
      </c>
      <c r="C102" s="43" t="n">
        <f aca="false">IF(F101&gt;0.005,F101*(1+Ordem!$K$6),0)</f>
        <v>0</v>
      </c>
      <c r="D102" s="43" t="n">
        <f aca="false">MIN(C102,Ordem!$L$6)</f>
        <v>0</v>
      </c>
      <c r="E102" s="43" t="n">
        <f aca="false">MAX(0,MIN(C102-D102,$B102-(0)))</f>
        <v>0</v>
      </c>
      <c r="F102" s="43" t="n">
        <f aca="false">MAX(0,C102-D102-E102)</f>
        <v>0</v>
      </c>
      <c r="G102" s="43" t="n">
        <f aca="false">IF(J101&gt;0.005,J101*(1+Ordem!$K$7),0)</f>
        <v>0</v>
      </c>
      <c r="H102" s="43" t="n">
        <f aca="false">MIN(G102,Ordem!$L$7)</f>
        <v>0</v>
      </c>
      <c r="I102" s="43" t="n">
        <f aca="false">MAX(0,MIN(G102-H102,$B102-(E102)))</f>
        <v>0</v>
      </c>
      <c r="J102" s="43" t="n">
        <f aca="false">MAX(0,G102-H102-I102)</f>
        <v>0</v>
      </c>
      <c r="K102" s="43" t="n">
        <f aca="false">IF(N101&gt;0.005,N101*(1+Ordem!$K$8),0)</f>
        <v>0</v>
      </c>
      <c r="L102" s="43" t="n">
        <f aca="false">MIN(K102,Ordem!$L$8)</f>
        <v>0</v>
      </c>
      <c r="M102" s="43" t="n">
        <f aca="false">MAX(0,MIN(K102-L102,$B102-(E102+I102)))</f>
        <v>0</v>
      </c>
      <c r="N102" s="43" t="n">
        <f aca="false">MAX(0,K102-L102-M102)</f>
        <v>0</v>
      </c>
      <c r="O102" s="43" t="n">
        <f aca="false">IF(R101&gt;0.005,R101*(1+Ordem!$K$9),0)</f>
        <v>0</v>
      </c>
      <c r="P102" s="43" t="n">
        <f aca="false">MIN(O102,Ordem!$L$9)</f>
        <v>0</v>
      </c>
      <c r="Q102" s="43" t="n">
        <f aca="false">MAX(0,MIN(O102-P102,$B102-(E102+I102+M102)))</f>
        <v>0</v>
      </c>
      <c r="R102" s="43" t="n">
        <f aca="false">MAX(0,O102-P102-Q102)</f>
        <v>0</v>
      </c>
      <c r="S102" s="43" t="n">
        <f aca="false">IF(V101&gt;0.005,V101*(1+Ordem!$K$10),0)</f>
        <v>0</v>
      </c>
      <c r="T102" s="43" t="n">
        <f aca="false">MIN(S102,Ordem!$L$10)</f>
        <v>0</v>
      </c>
      <c r="U102" s="43" t="n">
        <f aca="false">MAX(0,MIN(S102-T102,$B102-(E102+I102+M102+Q102)))</f>
        <v>0</v>
      </c>
      <c r="V102" s="43" t="n">
        <f aca="false">MAX(0,S102-T102-U102)</f>
        <v>0</v>
      </c>
      <c r="W102" s="43" t="n">
        <f aca="false">IF(Z101&gt;0.005,Z101*(1+Ordem!$K$11),0)</f>
        <v>0</v>
      </c>
      <c r="X102" s="43" t="n">
        <f aca="false">MIN(W102,Ordem!$L$11)</f>
        <v>0</v>
      </c>
      <c r="Y102" s="43" t="n">
        <f aca="false">MAX(0,MIN(W102-X102,$B102-(E102+I102+M102+Q102+U102)))</f>
        <v>0</v>
      </c>
      <c r="Z102" s="43" t="n">
        <f aca="false">MAX(0,W102-X102-Y102)</f>
        <v>0</v>
      </c>
      <c r="AA102" s="43" t="n">
        <f aca="false">IF(AD101&gt;0.005,AD101*(1+Ordem!$K$12),0)</f>
        <v>0</v>
      </c>
      <c r="AB102" s="43" t="n">
        <f aca="false">MIN(AA102,Ordem!$L$12)</f>
        <v>0</v>
      </c>
      <c r="AC102" s="43" t="n">
        <f aca="false">MAX(0,MIN(AA102-AB102,$B102-(E102+I102+M102+Q102+U102+Y102)))</f>
        <v>0</v>
      </c>
      <c r="AD102" s="43" t="n">
        <f aca="false">MAX(0,AA102-AB102-AC102)</f>
        <v>0</v>
      </c>
      <c r="AE102" s="43" t="n">
        <f aca="false">IF(AH101&gt;0.005,AH101*(1+Ordem!$K$13),0)</f>
        <v>0</v>
      </c>
      <c r="AF102" s="43" t="n">
        <f aca="false">MIN(AE102,Ordem!$L$13)</f>
        <v>0</v>
      </c>
      <c r="AG102" s="43" t="n">
        <f aca="false">MAX(0,MIN(AE102-AF102,$B102-(E102+I102+M102+Q102+U102+Y102+AC102)))</f>
        <v>0</v>
      </c>
      <c r="AH102" s="43" t="n">
        <f aca="false">MAX(0,AE102-AF102-AG102)</f>
        <v>0</v>
      </c>
      <c r="AI102" s="43" t="n">
        <f aca="false">IF(AL101&gt;0.005,AL101*(1+Ordem!$K$14),0)</f>
        <v>0</v>
      </c>
      <c r="AJ102" s="43" t="n">
        <f aca="false">MIN(AI102,Ordem!$L$14)</f>
        <v>0</v>
      </c>
      <c r="AK102" s="43" t="n">
        <f aca="false">MAX(0,MIN(AI102-AJ102,$B102-(E102+I102+M102+Q102+U102+Y102+AC102+AG102)))</f>
        <v>0</v>
      </c>
      <c r="AL102" s="43" t="n">
        <f aca="false">MAX(0,AI102-AJ102-AK102)</f>
        <v>0</v>
      </c>
      <c r="AM102" s="43" t="n">
        <f aca="false">IF(AP101&gt;0.005,AP101*(1+Ordem!$K$15),0)</f>
        <v>0</v>
      </c>
      <c r="AN102" s="43" t="n">
        <f aca="false">MIN(AM102,Ordem!$L$15)</f>
        <v>0</v>
      </c>
      <c r="AO102" s="43" t="n">
        <f aca="false">MAX(0,MIN(AM102-AN102,$B102-(E102+I102+M102+Q102+U102+Y102+AC102+AG102+AK102)))</f>
        <v>0</v>
      </c>
      <c r="AP102" s="43" t="n">
        <f aca="false">MAX(0,AM102-AN102-AO102)</f>
        <v>0</v>
      </c>
      <c r="AQ102" s="43" t="n">
        <f aca="false">F102+J102+N102+R102+V102+Z102+AD102+AH102+AL102+AP102</f>
        <v>0</v>
      </c>
      <c r="AR102" s="43" t="n">
        <f aca="false">D102+E102+H102+I102+L102+M102+P102+Q102+T102+U102+X102+Y102+AB102+AC102+AF102+AG102+AJ102+AK102+AN102+AO102</f>
        <v>0</v>
      </c>
    </row>
    <row r="103" customFormat="false" ht="15" hidden="false" customHeight="false" outlineLevel="0" collapsed="false">
      <c r="A103" s="0" t="n">
        <v>99</v>
      </c>
      <c r="B103" s="43" t="n">
        <f aca="false">MAX(0,Dívidas!$C$20-(D103+H103+L103+P103+T103+X103+AB103+AF103+AJ103+AN103))</f>
        <v>1450</v>
      </c>
      <c r="C103" s="43" t="n">
        <f aca="false">IF(F102&gt;0.005,F102*(1+Ordem!$K$6),0)</f>
        <v>0</v>
      </c>
      <c r="D103" s="43" t="n">
        <f aca="false">MIN(C103,Ordem!$L$6)</f>
        <v>0</v>
      </c>
      <c r="E103" s="43" t="n">
        <f aca="false">MAX(0,MIN(C103-D103,$B103-(0)))</f>
        <v>0</v>
      </c>
      <c r="F103" s="43" t="n">
        <f aca="false">MAX(0,C103-D103-E103)</f>
        <v>0</v>
      </c>
      <c r="G103" s="43" t="n">
        <f aca="false">IF(J102&gt;0.005,J102*(1+Ordem!$K$7),0)</f>
        <v>0</v>
      </c>
      <c r="H103" s="43" t="n">
        <f aca="false">MIN(G103,Ordem!$L$7)</f>
        <v>0</v>
      </c>
      <c r="I103" s="43" t="n">
        <f aca="false">MAX(0,MIN(G103-H103,$B103-(E103)))</f>
        <v>0</v>
      </c>
      <c r="J103" s="43" t="n">
        <f aca="false">MAX(0,G103-H103-I103)</f>
        <v>0</v>
      </c>
      <c r="K103" s="43" t="n">
        <f aca="false">IF(N102&gt;0.005,N102*(1+Ordem!$K$8),0)</f>
        <v>0</v>
      </c>
      <c r="L103" s="43" t="n">
        <f aca="false">MIN(K103,Ordem!$L$8)</f>
        <v>0</v>
      </c>
      <c r="M103" s="43" t="n">
        <f aca="false">MAX(0,MIN(K103-L103,$B103-(E103+I103)))</f>
        <v>0</v>
      </c>
      <c r="N103" s="43" t="n">
        <f aca="false">MAX(0,K103-L103-M103)</f>
        <v>0</v>
      </c>
      <c r="O103" s="43" t="n">
        <f aca="false">IF(R102&gt;0.005,R102*(1+Ordem!$K$9),0)</f>
        <v>0</v>
      </c>
      <c r="P103" s="43" t="n">
        <f aca="false">MIN(O103,Ordem!$L$9)</f>
        <v>0</v>
      </c>
      <c r="Q103" s="43" t="n">
        <f aca="false">MAX(0,MIN(O103-P103,$B103-(E103+I103+M103)))</f>
        <v>0</v>
      </c>
      <c r="R103" s="43" t="n">
        <f aca="false">MAX(0,O103-P103-Q103)</f>
        <v>0</v>
      </c>
      <c r="S103" s="43" t="n">
        <f aca="false">IF(V102&gt;0.005,V102*(1+Ordem!$K$10),0)</f>
        <v>0</v>
      </c>
      <c r="T103" s="43" t="n">
        <f aca="false">MIN(S103,Ordem!$L$10)</f>
        <v>0</v>
      </c>
      <c r="U103" s="43" t="n">
        <f aca="false">MAX(0,MIN(S103-T103,$B103-(E103+I103+M103+Q103)))</f>
        <v>0</v>
      </c>
      <c r="V103" s="43" t="n">
        <f aca="false">MAX(0,S103-T103-U103)</f>
        <v>0</v>
      </c>
      <c r="W103" s="43" t="n">
        <f aca="false">IF(Z102&gt;0.005,Z102*(1+Ordem!$K$11),0)</f>
        <v>0</v>
      </c>
      <c r="X103" s="43" t="n">
        <f aca="false">MIN(W103,Ordem!$L$11)</f>
        <v>0</v>
      </c>
      <c r="Y103" s="43" t="n">
        <f aca="false">MAX(0,MIN(W103-X103,$B103-(E103+I103+M103+Q103+U103)))</f>
        <v>0</v>
      </c>
      <c r="Z103" s="43" t="n">
        <f aca="false">MAX(0,W103-X103-Y103)</f>
        <v>0</v>
      </c>
      <c r="AA103" s="43" t="n">
        <f aca="false">IF(AD102&gt;0.005,AD102*(1+Ordem!$K$12),0)</f>
        <v>0</v>
      </c>
      <c r="AB103" s="43" t="n">
        <f aca="false">MIN(AA103,Ordem!$L$12)</f>
        <v>0</v>
      </c>
      <c r="AC103" s="43" t="n">
        <f aca="false">MAX(0,MIN(AA103-AB103,$B103-(E103+I103+M103+Q103+U103+Y103)))</f>
        <v>0</v>
      </c>
      <c r="AD103" s="43" t="n">
        <f aca="false">MAX(0,AA103-AB103-AC103)</f>
        <v>0</v>
      </c>
      <c r="AE103" s="43" t="n">
        <f aca="false">IF(AH102&gt;0.005,AH102*(1+Ordem!$K$13),0)</f>
        <v>0</v>
      </c>
      <c r="AF103" s="43" t="n">
        <f aca="false">MIN(AE103,Ordem!$L$13)</f>
        <v>0</v>
      </c>
      <c r="AG103" s="43" t="n">
        <f aca="false">MAX(0,MIN(AE103-AF103,$B103-(E103+I103+M103+Q103+U103+Y103+AC103)))</f>
        <v>0</v>
      </c>
      <c r="AH103" s="43" t="n">
        <f aca="false">MAX(0,AE103-AF103-AG103)</f>
        <v>0</v>
      </c>
      <c r="AI103" s="43" t="n">
        <f aca="false">IF(AL102&gt;0.005,AL102*(1+Ordem!$K$14),0)</f>
        <v>0</v>
      </c>
      <c r="AJ103" s="43" t="n">
        <f aca="false">MIN(AI103,Ordem!$L$14)</f>
        <v>0</v>
      </c>
      <c r="AK103" s="43" t="n">
        <f aca="false">MAX(0,MIN(AI103-AJ103,$B103-(E103+I103+M103+Q103+U103+Y103+AC103+AG103)))</f>
        <v>0</v>
      </c>
      <c r="AL103" s="43" t="n">
        <f aca="false">MAX(0,AI103-AJ103-AK103)</f>
        <v>0</v>
      </c>
      <c r="AM103" s="43" t="n">
        <f aca="false">IF(AP102&gt;0.005,AP102*(1+Ordem!$K$15),0)</f>
        <v>0</v>
      </c>
      <c r="AN103" s="43" t="n">
        <f aca="false">MIN(AM103,Ordem!$L$15)</f>
        <v>0</v>
      </c>
      <c r="AO103" s="43" t="n">
        <f aca="false">MAX(0,MIN(AM103-AN103,$B103-(E103+I103+M103+Q103+U103+Y103+AC103+AG103+AK103)))</f>
        <v>0</v>
      </c>
      <c r="AP103" s="43" t="n">
        <f aca="false">MAX(0,AM103-AN103-AO103)</f>
        <v>0</v>
      </c>
      <c r="AQ103" s="43" t="n">
        <f aca="false">F103+J103+N103+R103+V103+Z103+AD103+AH103+AL103+AP103</f>
        <v>0</v>
      </c>
      <c r="AR103" s="43" t="n">
        <f aca="false">D103+E103+H103+I103+L103+M103+P103+Q103+T103+U103+X103+Y103+AB103+AC103+AF103+AG103+AJ103+AK103+AN103+AO103</f>
        <v>0</v>
      </c>
    </row>
    <row r="104" customFormat="false" ht="15" hidden="false" customHeight="false" outlineLevel="0" collapsed="false">
      <c r="A104" s="0" t="n">
        <v>100</v>
      </c>
      <c r="B104" s="43" t="n">
        <f aca="false">MAX(0,Dívidas!$C$20-(D104+H104+L104+P104+T104+X104+AB104+AF104+AJ104+AN104))</f>
        <v>1450</v>
      </c>
      <c r="C104" s="43" t="n">
        <f aca="false">IF(F103&gt;0.005,F103*(1+Ordem!$K$6),0)</f>
        <v>0</v>
      </c>
      <c r="D104" s="43" t="n">
        <f aca="false">MIN(C104,Ordem!$L$6)</f>
        <v>0</v>
      </c>
      <c r="E104" s="43" t="n">
        <f aca="false">MAX(0,MIN(C104-D104,$B104-(0)))</f>
        <v>0</v>
      </c>
      <c r="F104" s="43" t="n">
        <f aca="false">MAX(0,C104-D104-E104)</f>
        <v>0</v>
      </c>
      <c r="G104" s="43" t="n">
        <f aca="false">IF(J103&gt;0.005,J103*(1+Ordem!$K$7),0)</f>
        <v>0</v>
      </c>
      <c r="H104" s="43" t="n">
        <f aca="false">MIN(G104,Ordem!$L$7)</f>
        <v>0</v>
      </c>
      <c r="I104" s="43" t="n">
        <f aca="false">MAX(0,MIN(G104-H104,$B104-(E104)))</f>
        <v>0</v>
      </c>
      <c r="J104" s="43" t="n">
        <f aca="false">MAX(0,G104-H104-I104)</f>
        <v>0</v>
      </c>
      <c r="K104" s="43" t="n">
        <f aca="false">IF(N103&gt;0.005,N103*(1+Ordem!$K$8),0)</f>
        <v>0</v>
      </c>
      <c r="L104" s="43" t="n">
        <f aca="false">MIN(K104,Ordem!$L$8)</f>
        <v>0</v>
      </c>
      <c r="M104" s="43" t="n">
        <f aca="false">MAX(0,MIN(K104-L104,$B104-(E104+I104)))</f>
        <v>0</v>
      </c>
      <c r="N104" s="43" t="n">
        <f aca="false">MAX(0,K104-L104-M104)</f>
        <v>0</v>
      </c>
      <c r="O104" s="43" t="n">
        <f aca="false">IF(R103&gt;0.005,R103*(1+Ordem!$K$9),0)</f>
        <v>0</v>
      </c>
      <c r="P104" s="43" t="n">
        <f aca="false">MIN(O104,Ordem!$L$9)</f>
        <v>0</v>
      </c>
      <c r="Q104" s="43" t="n">
        <f aca="false">MAX(0,MIN(O104-P104,$B104-(E104+I104+M104)))</f>
        <v>0</v>
      </c>
      <c r="R104" s="43" t="n">
        <f aca="false">MAX(0,O104-P104-Q104)</f>
        <v>0</v>
      </c>
      <c r="S104" s="43" t="n">
        <f aca="false">IF(V103&gt;0.005,V103*(1+Ordem!$K$10),0)</f>
        <v>0</v>
      </c>
      <c r="T104" s="43" t="n">
        <f aca="false">MIN(S104,Ordem!$L$10)</f>
        <v>0</v>
      </c>
      <c r="U104" s="43" t="n">
        <f aca="false">MAX(0,MIN(S104-T104,$B104-(E104+I104+M104+Q104)))</f>
        <v>0</v>
      </c>
      <c r="V104" s="43" t="n">
        <f aca="false">MAX(0,S104-T104-U104)</f>
        <v>0</v>
      </c>
      <c r="W104" s="43" t="n">
        <f aca="false">IF(Z103&gt;0.005,Z103*(1+Ordem!$K$11),0)</f>
        <v>0</v>
      </c>
      <c r="X104" s="43" t="n">
        <f aca="false">MIN(W104,Ordem!$L$11)</f>
        <v>0</v>
      </c>
      <c r="Y104" s="43" t="n">
        <f aca="false">MAX(0,MIN(W104-X104,$B104-(E104+I104+M104+Q104+U104)))</f>
        <v>0</v>
      </c>
      <c r="Z104" s="43" t="n">
        <f aca="false">MAX(0,W104-X104-Y104)</f>
        <v>0</v>
      </c>
      <c r="AA104" s="43" t="n">
        <f aca="false">IF(AD103&gt;0.005,AD103*(1+Ordem!$K$12),0)</f>
        <v>0</v>
      </c>
      <c r="AB104" s="43" t="n">
        <f aca="false">MIN(AA104,Ordem!$L$12)</f>
        <v>0</v>
      </c>
      <c r="AC104" s="43" t="n">
        <f aca="false">MAX(0,MIN(AA104-AB104,$B104-(E104+I104+M104+Q104+U104+Y104)))</f>
        <v>0</v>
      </c>
      <c r="AD104" s="43" t="n">
        <f aca="false">MAX(0,AA104-AB104-AC104)</f>
        <v>0</v>
      </c>
      <c r="AE104" s="43" t="n">
        <f aca="false">IF(AH103&gt;0.005,AH103*(1+Ordem!$K$13),0)</f>
        <v>0</v>
      </c>
      <c r="AF104" s="43" t="n">
        <f aca="false">MIN(AE104,Ordem!$L$13)</f>
        <v>0</v>
      </c>
      <c r="AG104" s="43" t="n">
        <f aca="false">MAX(0,MIN(AE104-AF104,$B104-(E104+I104+M104+Q104+U104+Y104+AC104)))</f>
        <v>0</v>
      </c>
      <c r="AH104" s="43" t="n">
        <f aca="false">MAX(0,AE104-AF104-AG104)</f>
        <v>0</v>
      </c>
      <c r="AI104" s="43" t="n">
        <f aca="false">IF(AL103&gt;0.005,AL103*(1+Ordem!$K$14),0)</f>
        <v>0</v>
      </c>
      <c r="AJ104" s="43" t="n">
        <f aca="false">MIN(AI104,Ordem!$L$14)</f>
        <v>0</v>
      </c>
      <c r="AK104" s="43" t="n">
        <f aca="false">MAX(0,MIN(AI104-AJ104,$B104-(E104+I104+M104+Q104+U104+Y104+AC104+AG104)))</f>
        <v>0</v>
      </c>
      <c r="AL104" s="43" t="n">
        <f aca="false">MAX(0,AI104-AJ104-AK104)</f>
        <v>0</v>
      </c>
      <c r="AM104" s="43" t="n">
        <f aca="false">IF(AP103&gt;0.005,AP103*(1+Ordem!$K$15),0)</f>
        <v>0</v>
      </c>
      <c r="AN104" s="43" t="n">
        <f aca="false">MIN(AM104,Ordem!$L$15)</f>
        <v>0</v>
      </c>
      <c r="AO104" s="43" t="n">
        <f aca="false">MAX(0,MIN(AM104-AN104,$B104-(E104+I104+M104+Q104+U104+Y104+AC104+AG104+AK104)))</f>
        <v>0</v>
      </c>
      <c r="AP104" s="43" t="n">
        <f aca="false">MAX(0,AM104-AN104-AO104)</f>
        <v>0</v>
      </c>
      <c r="AQ104" s="43" t="n">
        <f aca="false">F104+J104+N104+R104+V104+Z104+AD104+AH104+AL104+AP104</f>
        <v>0</v>
      </c>
      <c r="AR104" s="43" t="n">
        <f aca="false">D104+E104+H104+I104+L104+M104+P104+Q104+T104+U104+X104+Y104+AB104+AC104+AF104+AG104+AJ104+AK104+AN104+AO104</f>
        <v>0</v>
      </c>
    </row>
    <row r="105" customFormat="false" ht="15" hidden="false" customHeight="false" outlineLevel="0" collapsed="false">
      <c r="A105" s="0" t="n">
        <v>101</v>
      </c>
      <c r="B105" s="43" t="n">
        <f aca="false">MAX(0,Dívidas!$C$20-(D105+H105+L105+P105+T105+X105+AB105+AF105+AJ105+AN105))</f>
        <v>1450</v>
      </c>
      <c r="C105" s="43" t="n">
        <f aca="false">IF(F104&gt;0.005,F104*(1+Ordem!$K$6),0)</f>
        <v>0</v>
      </c>
      <c r="D105" s="43" t="n">
        <f aca="false">MIN(C105,Ordem!$L$6)</f>
        <v>0</v>
      </c>
      <c r="E105" s="43" t="n">
        <f aca="false">MAX(0,MIN(C105-D105,$B105-(0)))</f>
        <v>0</v>
      </c>
      <c r="F105" s="43" t="n">
        <f aca="false">MAX(0,C105-D105-E105)</f>
        <v>0</v>
      </c>
      <c r="G105" s="43" t="n">
        <f aca="false">IF(J104&gt;0.005,J104*(1+Ordem!$K$7),0)</f>
        <v>0</v>
      </c>
      <c r="H105" s="43" t="n">
        <f aca="false">MIN(G105,Ordem!$L$7)</f>
        <v>0</v>
      </c>
      <c r="I105" s="43" t="n">
        <f aca="false">MAX(0,MIN(G105-H105,$B105-(E105)))</f>
        <v>0</v>
      </c>
      <c r="J105" s="43" t="n">
        <f aca="false">MAX(0,G105-H105-I105)</f>
        <v>0</v>
      </c>
      <c r="K105" s="43" t="n">
        <f aca="false">IF(N104&gt;0.005,N104*(1+Ordem!$K$8),0)</f>
        <v>0</v>
      </c>
      <c r="L105" s="43" t="n">
        <f aca="false">MIN(K105,Ordem!$L$8)</f>
        <v>0</v>
      </c>
      <c r="M105" s="43" t="n">
        <f aca="false">MAX(0,MIN(K105-L105,$B105-(E105+I105)))</f>
        <v>0</v>
      </c>
      <c r="N105" s="43" t="n">
        <f aca="false">MAX(0,K105-L105-M105)</f>
        <v>0</v>
      </c>
      <c r="O105" s="43" t="n">
        <f aca="false">IF(R104&gt;0.005,R104*(1+Ordem!$K$9),0)</f>
        <v>0</v>
      </c>
      <c r="P105" s="43" t="n">
        <f aca="false">MIN(O105,Ordem!$L$9)</f>
        <v>0</v>
      </c>
      <c r="Q105" s="43" t="n">
        <f aca="false">MAX(0,MIN(O105-P105,$B105-(E105+I105+M105)))</f>
        <v>0</v>
      </c>
      <c r="R105" s="43" t="n">
        <f aca="false">MAX(0,O105-P105-Q105)</f>
        <v>0</v>
      </c>
      <c r="S105" s="43" t="n">
        <f aca="false">IF(V104&gt;0.005,V104*(1+Ordem!$K$10),0)</f>
        <v>0</v>
      </c>
      <c r="T105" s="43" t="n">
        <f aca="false">MIN(S105,Ordem!$L$10)</f>
        <v>0</v>
      </c>
      <c r="U105" s="43" t="n">
        <f aca="false">MAX(0,MIN(S105-T105,$B105-(E105+I105+M105+Q105)))</f>
        <v>0</v>
      </c>
      <c r="V105" s="43" t="n">
        <f aca="false">MAX(0,S105-T105-U105)</f>
        <v>0</v>
      </c>
      <c r="W105" s="43" t="n">
        <f aca="false">IF(Z104&gt;0.005,Z104*(1+Ordem!$K$11),0)</f>
        <v>0</v>
      </c>
      <c r="X105" s="43" t="n">
        <f aca="false">MIN(W105,Ordem!$L$11)</f>
        <v>0</v>
      </c>
      <c r="Y105" s="43" t="n">
        <f aca="false">MAX(0,MIN(W105-X105,$B105-(E105+I105+M105+Q105+U105)))</f>
        <v>0</v>
      </c>
      <c r="Z105" s="43" t="n">
        <f aca="false">MAX(0,W105-X105-Y105)</f>
        <v>0</v>
      </c>
      <c r="AA105" s="43" t="n">
        <f aca="false">IF(AD104&gt;0.005,AD104*(1+Ordem!$K$12),0)</f>
        <v>0</v>
      </c>
      <c r="AB105" s="43" t="n">
        <f aca="false">MIN(AA105,Ordem!$L$12)</f>
        <v>0</v>
      </c>
      <c r="AC105" s="43" t="n">
        <f aca="false">MAX(0,MIN(AA105-AB105,$B105-(E105+I105+M105+Q105+U105+Y105)))</f>
        <v>0</v>
      </c>
      <c r="AD105" s="43" t="n">
        <f aca="false">MAX(0,AA105-AB105-AC105)</f>
        <v>0</v>
      </c>
      <c r="AE105" s="43" t="n">
        <f aca="false">IF(AH104&gt;0.005,AH104*(1+Ordem!$K$13),0)</f>
        <v>0</v>
      </c>
      <c r="AF105" s="43" t="n">
        <f aca="false">MIN(AE105,Ordem!$L$13)</f>
        <v>0</v>
      </c>
      <c r="AG105" s="43" t="n">
        <f aca="false">MAX(0,MIN(AE105-AF105,$B105-(E105+I105+M105+Q105+U105+Y105+AC105)))</f>
        <v>0</v>
      </c>
      <c r="AH105" s="43" t="n">
        <f aca="false">MAX(0,AE105-AF105-AG105)</f>
        <v>0</v>
      </c>
      <c r="AI105" s="43" t="n">
        <f aca="false">IF(AL104&gt;0.005,AL104*(1+Ordem!$K$14),0)</f>
        <v>0</v>
      </c>
      <c r="AJ105" s="43" t="n">
        <f aca="false">MIN(AI105,Ordem!$L$14)</f>
        <v>0</v>
      </c>
      <c r="AK105" s="43" t="n">
        <f aca="false">MAX(0,MIN(AI105-AJ105,$B105-(E105+I105+M105+Q105+U105+Y105+AC105+AG105)))</f>
        <v>0</v>
      </c>
      <c r="AL105" s="43" t="n">
        <f aca="false">MAX(0,AI105-AJ105-AK105)</f>
        <v>0</v>
      </c>
      <c r="AM105" s="43" t="n">
        <f aca="false">IF(AP104&gt;0.005,AP104*(1+Ordem!$K$15),0)</f>
        <v>0</v>
      </c>
      <c r="AN105" s="43" t="n">
        <f aca="false">MIN(AM105,Ordem!$L$15)</f>
        <v>0</v>
      </c>
      <c r="AO105" s="43" t="n">
        <f aca="false">MAX(0,MIN(AM105-AN105,$B105-(E105+I105+M105+Q105+U105+Y105+AC105+AG105+AK105)))</f>
        <v>0</v>
      </c>
      <c r="AP105" s="43" t="n">
        <f aca="false">MAX(0,AM105-AN105-AO105)</f>
        <v>0</v>
      </c>
      <c r="AQ105" s="43" t="n">
        <f aca="false">F105+J105+N105+R105+V105+Z105+AD105+AH105+AL105+AP105</f>
        <v>0</v>
      </c>
      <c r="AR105" s="43" t="n">
        <f aca="false">D105+E105+H105+I105+L105+M105+P105+Q105+T105+U105+X105+Y105+AB105+AC105+AF105+AG105+AJ105+AK105+AN105+AO105</f>
        <v>0</v>
      </c>
    </row>
    <row r="106" customFormat="false" ht="15" hidden="false" customHeight="false" outlineLevel="0" collapsed="false">
      <c r="A106" s="0" t="n">
        <v>102</v>
      </c>
      <c r="B106" s="43" t="n">
        <f aca="false">MAX(0,Dívidas!$C$20-(D106+H106+L106+P106+T106+X106+AB106+AF106+AJ106+AN106))</f>
        <v>1450</v>
      </c>
      <c r="C106" s="43" t="n">
        <f aca="false">IF(F105&gt;0.005,F105*(1+Ordem!$K$6),0)</f>
        <v>0</v>
      </c>
      <c r="D106" s="43" t="n">
        <f aca="false">MIN(C106,Ordem!$L$6)</f>
        <v>0</v>
      </c>
      <c r="E106" s="43" t="n">
        <f aca="false">MAX(0,MIN(C106-D106,$B106-(0)))</f>
        <v>0</v>
      </c>
      <c r="F106" s="43" t="n">
        <f aca="false">MAX(0,C106-D106-E106)</f>
        <v>0</v>
      </c>
      <c r="G106" s="43" t="n">
        <f aca="false">IF(J105&gt;0.005,J105*(1+Ordem!$K$7),0)</f>
        <v>0</v>
      </c>
      <c r="H106" s="43" t="n">
        <f aca="false">MIN(G106,Ordem!$L$7)</f>
        <v>0</v>
      </c>
      <c r="I106" s="43" t="n">
        <f aca="false">MAX(0,MIN(G106-H106,$B106-(E106)))</f>
        <v>0</v>
      </c>
      <c r="J106" s="43" t="n">
        <f aca="false">MAX(0,G106-H106-I106)</f>
        <v>0</v>
      </c>
      <c r="K106" s="43" t="n">
        <f aca="false">IF(N105&gt;0.005,N105*(1+Ordem!$K$8),0)</f>
        <v>0</v>
      </c>
      <c r="L106" s="43" t="n">
        <f aca="false">MIN(K106,Ordem!$L$8)</f>
        <v>0</v>
      </c>
      <c r="M106" s="43" t="n">
        <f aca="false">MAX(0,MIN(K106-L106,$B106-(E106+I106)))</f>
        <v>0</v>
      </c>
      <c r="N106" s="43" t="n">
        <f aca="false">MAX(0,K106-L106-M106)</f>
        <v>0</v>
      </c>
      <c r="O106" s="43" t="n">
        <f aca="false">IF(R105&gt;0.005,R105*(1+Ordem!$K$9),0)</f>
        <v>0</v>
      </c>
      <c r="P106" s="43" t="n">
        <f aca="false">MIN(O106,Ordem!$L$9)</f>
        <v>0</v>
      </c>
      <c r="Q106" s="43" t="n">
        <f aca="false">MAX(0,MIN(O106-P106,$B106-(E106+I106+M106)))</f>
        <v>0</v>
      </c>
      <c r="R106" s="43" t="n">
        <f aca="false">MAX(0,O106-P106-Q106)</f>
        <v>0</v>
      </c>
      <c r="S106" s="43" t="n">
        <f aca="false">IF(V105&gt;0.005,V105*(1+Ordem!$K$10),0)</f>
        <v>0</v>
      </c>
      <c r="T106" s="43" t="n">
        <f aca="false">MIN(S106,Ordem!$L$10)</f>
        <v>0</v>
      </c>
      <c r="U106" s="43" t="n">
        <f aca="false">MAX(0,MIN(S106-T106,$B106-(E106+I106+M106+Q106)))</f>
        <v>0</v>
      </c>
      <c r="V106" s="43" t="n">
        <f aca="false">MAX(0,S106-T106-U106)</f>
        <v>0</v>
      </c>
      <c r="W106" s="43" t="n">
        <f aca="false">IF(Z105&gt;0.005,Z105*(1+Ordem!$K$11),0)</f>
        <v>0</v>
      </c>
      <c r="X106" s="43" t="n">
        <f aca="false">MIN(W106,Ordem!$L$11)</f>
        <v>0</v>
      </c>
      <c r="Y106" s="43" t="n">
        <f aca="false">MAX(0,MIN(W106-X106,$B106-(E106+I106+M106+Q106+U106)))</f>
        <v>0</v>
      </c>
      <c r="Z106" s="43" t="n">
        <f aca="false">MAX(0,W106-X106-Y106)</f>
        <v>0</v>
      </c>
      <c r="AA106" s="43" t="n">
        <f aca="false">IF(AD105&gt;0.005,AD105*(1+Ordem!$K$12),0)</f>
        <v>0</v>
      </c>
      <c r="AB106" s="43" t="n">
        <f aca="false">MIN(AA106,Ordem!$L$12)</f>
        <v>0</v>
      </c>
      <c r="AC106" s="43" t="n">
        <f aca="false">MAX(0,MIN(AA106-AB106,$B106-(E106+I106+M106+Q106+U106+Y106)))</f>
        <v>0</v>
      </c>
      <c r="AD106" s="43" t="n">
        <f aca="false">MAX(0,AA106-AB106-AC106)</f>
        <v>0</v>
      </c>
      <c r="AE106" s="43" t="n">
        <f aca="false">IF(AH105&gt;0.005,AH105*(1+Ordem!$K$13),0)</f>
        <v>0</v>
      </c>
      <c r="AF106" s="43" t="n">
        <f aca="false">MIN(AE106,Ordem!$L$13)</f>
        <v>0</v>
      </c>
      <c r="AG106" s="43" t="n">
        <f aca="false">MAX(0,MIN(AE106-AF106,$B106-(E106+I106+M106+Q106+U106+Y106+AC106)))</f>
        <v>0</v>
      </c>
      <c r="AH106" s="43" t="n">
        <f aca="false">MAX(0,AE106-AF106-AG106)</f>
        <v>0</v>
      </c>
      <c r="AI106" s="43" t="n">
        <f aca="false">IF(AL105&gt;0.005,AL105*(1+Ordem!$K$14),0)</f>
        <v>0</v>
      </c>
      <c r="AJ106" s="43" t="n">
        <f aca="false">MIN(AI106,Ordem!$L$14)</f>
        <v>0</v>
      </c>
      <c r="AK106" s="43" t="n">
        <f aca="false">MAX(0,MIN(AI106-AJ106,$B106-(E106+I106+M106+Q106+U106+Y106+AC106+AG106)))</f>
        <v>0</v>
      </c>
      <c r="AL106" s="43" t="n">
        <f aca="false">MAX(0,AI106-AJ106-AK106)</f>
        <v>0</v>
      </c>
      <c r="AM106" s="43" t="n">
        <f aca="false">IF(AP105&gt;0.005,AP105*(1+Ordem!$K$15),0)</f>
        <v>0</v>
      </c>
      <c r="AN106" s="43" t="n">
        <f aca="false">MIN(AM106,Ordem!$L$15)</f>
        <v>0</v>
      </c>
      <c r="AO106" s="43" t="n">
        <f aca="false">MAX(0,MIN(AM106-AN106,$B106-(E106+I106+M106+Q106+U106+Y106+AC106+AG106+AK106)))</f>
        <v>0</v>
      </c>
      <c r="AP106" s="43" t="n">
        <f aca="false">MAX(0,AM106-AN106-AO106)</f>
        <v>0</v>
      </c>
      <c r="AQ106" s="43" t="n">
        <f aca="false">F106+J106+N106+R106+V106+Z106+AD106+AH106+AL106+AP106</f>
        <v>0</v>
      </c>
      <c r="AR106" s="43" t="n">
        <f aca="false">D106+E106+H106+I106+L106+M106+P106+Q106+T106+U106+X106+Y106+AB106+AC106+AF106+AG106+AJ106+AK106+AN106+AO106</f>
        <v>0</v>
      </c>
    </row>
    <row r="107" customFormat="false" ht="15" hidden="false" customHeight="false" outlineLevel="0" collapsed="false">
      <c r="A107" s="0" t="n">
        <v>103</v>
      </c>
      <c r="B107" s="43" t="n">
        <f aca="false">MAX(0,Dívidas!$C$20-(D107+H107+L107+P107+T107+X107+AB107+AF107+AJ107+AN107))</f>
        <v>1450</v>
      </c>
      <c r="C107" s="43" t="n">
        <f aca="false">IF(F106&gt;0.005,F106*(1+Ordem!$K$6),0)</f>
        <v>0</v>
      </c>
      <c r="D107" s="43" t="n">
        <f aca="false">MIN(C107,Ordem!$L$6)</f>
        <v>0</v>
      </c>
      <c r="E107" s="43" t="n">
        <f aca="false">MAX(0,MIN(C107-D107,$B107-(0)))</f>
        <v>0</v>
      </c>
      <c r="F107" s="43" t="n">
        <f aca="false">MAX(0,C107-D107-E107)</f>
        <v>0</v>
      </c>
      <c r="G107" s="43" t="n">
        <f aca="false">IF(J106&gt;0.005,J106*(1+Ordem!$K$7),0)</f>
        <v>0</v>
      </c>
      <c r="H107" s="43" t="n">
        <f aca="false">MIN(G107,Ordem!$L$7)</f>
        <v>0</v>
      </c>
      <c r="I107" s="43" t="n">
        <f aca="false">MAX(0,MIN(G107-H107,$B107-(E107)))</f>
        <v>0</v>
      </c>
      <c r="J107" s="43" t="n">
        <f aca="false">MAX(0,G107-H107-I107)</f>
        <v>0</v>
      </c>
      <c r="K107" s="43" t="n">
        <f aca="false">IF(N106&gt;0.005,N106*(1+Ordem!$K$8),0)</f>
        <v>0</v>
      </c>
      <c r="L107" s="43" t="n">
        <f aca="false">MIN(K107,Ordem!$L$8)</f>
        <v>0</v>
      </c>
      <c r="M107" s="43" t="n">
        <f aca="false">MAX(0,MIN(K107-L107,$B107-(E107+I107)))</f>
        <v>0</v>
      </c>
      <c r="N107" s="43" t="n">
        <f aca="false">MAX(0,K107-L107-M107)</f>
        <v>0</v>
      </c>
      <c r="O107" s="43" t="n">
        <f aca="false">IF(R106&gt;0.005,R106*(1+Ordem!$K$9),0)</f>
        <v>0</v>
      </c>
      <c r="P107" s="43" t="n">
        <f aca="false">MIN(O107,Ordem!$L$9)</f>
        <v>0</v>
      </c>
      <c r="Q107" s="43" t="n">
        <f aca="false">MAX(0,MIN(O107-P107,$B107-(E107+I107+M107)))</f>
        <v>0</v>
      </c>
      <c r="R107" s="43" t="n">
        <f aca="false">MAX(0,O107-P107-Q107)</f>
        <v>0</v>
      </c>
      <c r="S107" s="43" t="n">
        <f aca="false">IF(V106&gt;0.005,V106*(1+Ordem!$K$10),0)</f>
        <v>0</v>
      </c>
      <c r="T107" s="43" t="n">
        <f aca="false">MIN(S107,Ordem!$L$10)</f>
        <v>0</v>
      </c>
      <c r="U107" s="43" t="n">
        <f aca="false">MAX(0,MIN(S107-T107,$B107-(E107+I107+M107+Q107)))</f>
        <v>0</v>
      </c>
      <c r="V107" s="43" t="n">
        <f aca="false">MAX(0,S107-T107-U107)</f>
        <v>0</v>
      </c>
      <c r="W107" s="43" t="n">
        <f aca="false">IF(Z106&gt;0.005,Z106*(1+Ordem!$K$11),0)</f>
        <v>0</v>
      </c>
      <c r="X107" s="43" t="n">
        <f aca="false">MIN(W107,Ordem!$L$11)</f>
        <v>0</v>
      </c>
      <c r="Y107" s="43" t="n">
        <f aca="false">MAX(0,MIN(W107-X107,$B107-(E107+I107+M107+Q107+U107)))</f>
        <v>0</v>
      </c>
      <c r="Z107" s="43" t="n">
        <f aca="false">MAX(0,W107-X107-Y107)</f>
        <v>0</v>
      </c>
      <c r="AA107" s="43" t="n">
        <f aca="false">IF(AD106&gt;0.005,AD106*(1+Ordem!$K$12),0)</f>
        <v>0</v>
      </c>
      <c r="AB107" s="43" t="n">
        <f aca="false">MIN(AA107,Ordem!$L$12)</f>
        <v>0</v>
      </c>
      <c r="AC107" s="43" t="n">
        <f aca="false">MAX(0,MIN(AA107-AB107,$B107-(E107+I107+M107+Q107+U107+Y107)))</f>
        <v>0</v>
      </c>
      <c r="AD107" s="43" t="n">
        <f aca="false">MAX(0,AA107-AB107-AC107)</f>
        <v>0</v>
      </c>
      <c r="AE107" s="43" t="n">
        <f aca="false">IF(AH106&gt;0.005,AH106*(1+Ordem!$K$13),0)</f>
        <v>0</v>
      </c>
      <c r="AF107" s="43" t="n">
        <f aca="false">MIN(AE107,Ordem!$L$13)</f>
        <v>0</v>
      </c>
      <c r="AG107" s="43" t="n">
        <f aca="false">MAX(0,MIN(AE107-AF107,$B107-(E107+I107+M107+Q107+U107+Y107+AC107)))</f>
        <v>0</v>
      </c>
      <c r="AH107" s="43" t="n">
        <f aca="false">MAX(0,AE107-AF107-AG107)</f>
        <v>0</v>
      </c>
      <c r="AI107" s="43" t="n">
        <f aca="false">IF(AL106&gt;0.005,AL106*(1+Ordem!$K$14),0)</f>
        <v>0</v>
      </c>
      <c r="AJ107" s="43" t="n">
        <f aca="false">MIN(AI107,Ordem!$L$14)</f>
        <v>0</v>
      </c>
      <c r="AK107" s="43" t="n">
        <f aca="false">MAX(0,MIN(AI107-AJ107,$B107-(E107+I107+M107+Q107+U107+Y107+AC107+AG107)))</f>
        <v>0</v>
      </c>
      <c r="AL107" s="43" t="n">
        <f aca="false">MAX(0,AI107-AJ107-AK107)</f>
        <v>0</v>
      </c>
      <c r="AM107" s="43" t="n">
        <f aca="false">IF(AP106&gt;0.005,AP106*(1+Ordem!$K$15),0)</f>
        <v>0</v>
      </c>
      <c r="AN107" s="43" t="n">
        <f aca="false">MIN(AM107,Ordem!$L$15)</f>
        <v>0</v>
      </c>
      <c r="AO107" s="43" t="n">
        <f aca="false">MAX(0,MIN(AM107-AN107,$B107-(E107+I107+M107+Q107+U107+Y107+AC107+AG107+AK107)))</f>
        <v>0</v>
      </c>
      <c r="AP107" s="43" t="n">
        <f aca="false">MAX(0,AM107-AN107-AO107)</f>
        <v>0</v>
      </c>
      <c r="AQ107" s="43" t="n">
        <f aca="false">F107+J107+N107+R107+V107+Z107+AD107+AH107+AL107+AP107</f>
        <v>0</v>
      </c>
      <c r="AR107" s="43" t="n">
        <f aca="false">D107+E107+H107+I107+L107+M107+P107+Q107+T107+U107+X107+Y107+AB107+AC107+AF107+AG107+AJ107+AK107+AN107+AO107</f>
        <v>0</v>
      </c>
    </row>
    <row r="108" customFormat="false" ht="15" hidden="false" customHeight="false" outlineLevel="0" collapsed="false">
      <c r="A108" s="0" t="n">
        <v>104</v>
      </c>
      <c r="B108" s="43" t="n">
        <f aca="false">MAX(0,Dívidas!$C$20-(D108+H108+L108+P108+T108+X108+AB108+AF108+AJ108+AN108))</f>
        <v>1450</v>
      </c>
      <c r="C108" s="43" t="n">
        <f aca="false">IF(F107&gt;0.005,F107*(1+Ordem!$K$6),0)</f>
        <v>0</v>
      </c>
      <c r="D108" s="43" t="n">
        <f aca="false">MIN(C108,Ordem!$L$6)</f>
        <v>0</v>
      </c>
      <c r="E108" s="43" t="n">
        <f aca="false">MAX(0,MIN(C108-D108,$B108-(0)))</f>
        <v>0</v>
      </c>
      <c r="F108" s="43" t="n">
        <f aca="false">MAX(0,C108-D108-E108)</f>
        <v>0</v>
      </c>
      <c r="G108" s="43" t="n">
        <f aca="false">IF(J107&gt;0.005,J107*(1+Ordem!$K$7),0)</f>
        <v>0</v>
      </c>
      <c r="H108" s="43" t="n">
        <f aca="false">MIN(G108,Ordem!$L$7)</f>
        <v>0</v>
      </c>
      <c r="I108" s="43" t="n">
        <f aca="false">MAX(0,MIN(G108-H108,$B108-(E108)))</f>
        <v>0</v>
      </c>
      <c r="J108" s="43" t="n">
        <f aca="false">MAX(0,G108-H108-I108)</f>
        <v>0</v>
      </c>
      <c r="K108" s="43" t="n">
        <f aca="false">IF(N107&gt;0.005,N107*(1+Ordem!$K$8),0)</f>
        <v>0</v>
      </c>
      <c r="L108" s="43" t="n">
        <f aca="false">MIN(K108,Ordem!$L$8)</f>
        <v>0</v>
      </c>
      <c r="M108" s="43" t="n">
        <f aca="false">MAX(0,MIN(K108-L108,$B108-(E108+I108)))</f>
        <v>0</v>
      </c>
      <c r="N108" s="43" t="n">
        <f aca="false">MAX(0,K108-L108-M108)</f>
        <v>0</v>
      </c>
      <c r="O108" s="43" t="n">
        <f aca="false">IF(R107&gt;0.005,R107*(1+Ordem!$K$9),0)</f>
        <v>0</v>
      </c>
      <c r="P108" s="43" t="n">
        <f aca="false">MIN(O108,Ordem!$L$9)</f>
        <v>0</v>
      </c>
      <c r="Q108" s="43" t="n">
        <f aca="false">MAX(0,MIN(O108-P108,$B108-(E108+I108+M108)))</f>
        <v>0</v>
      </c>
      <c r="R108" s="43" t="n">
        <f aca="false">MAX(0,O108-P108-Q108)</f>
        <v>0</v>
      </c>
      <c r="S108" s="43" t="n">
        <f aca="false">IF(V107&gt;0.005,V107*(1+Ordem!$K$10),0)</f>
        <v>0</v>
      </c>
      <c r="T108" s="43" t="n">
        <f aca="false">MIN(S108,Ordem!$L$10)</f>
        <v>0</v>
      </c>
      <c r="U108" s="43" t="n">
        <f aca="false">MAX(0,MIN(S108-T108,$B108-(E108+I108+M108+Q108)))</f>
        <v>0</v>
      </c>
      <c r="V108" s="43" t="n">
        <f aca="false">MAX(0,S108-T108-U108)</f>
        <v>0</v>
      </c>
      <c r="W108" s="43" t="n">
        <f aca="false">IF(Z107&gt;0.005,Z107*(1+Ordem!$K$11),0)</f>
        <v>0</v>
      </c>
      <c r="X108" s="43" t="n">
        <f aca="false">MIN(W108,Ordem!$L$11)</f>
        <v>0</v>
      </c>
      <c r="Y108" s="43" t="n">
        <f aca="false">MAX(0,MIN(W108-X108,$B108-(E108+I108+M108+Q108+U108)))</f>
        <v>0</v>
      </c>
      <c r="Z108" s="43" t="n">
        <f aca="false">MAX(0,W108-X108-Y108)</f>
        <v>0</v>
      </c>
      <c r="AA108" s="43" t="n">
        <f aca="false">IF(AD107&gt;0.005,AD107*(1+Ordem!$K$12),0)</f>
        <v>0</v>
      </c>
      <c r="AB108" s="43" t="n">
        <f aca="false">MIN(AA108,Ordem!$L$12)</f>
        <v>0</v>
      </c>
      <c r="AC108" s="43" t="n">
        <f aca="false">MAX(0,MIN(AA108-AB108,$B108-(E108+I108+M108+Q108+U108+Y108)))</f>
        <v>0</v>
      </c>
      <c r="AD108" s="43" t="n">
        <f aca="false">MAX(0,AA108-AB108-AC108)</f>
        <v>0</v>
      </c>
      <c r="AE108" s="43" t="n">
        <f aca="false">IF(AH107&gt;0.005,AH107*(1+Ordem!$K$13),0)</f>
        <v>0</v>
      </c>
      <c r="AF108" s="43" t="n">
        <f aca="false">MIN(AE108,Ordem!$L$13)</f>
        <v>0</v>
      </c>
      <c r="AG108" s="43" t="n">
        <f aca="false">MAX(0,MIN(AE108-AF108,$B108-(E108+I108+M108+Q108+U108+Y108+AC108)))</f>
        <v>0</v>
      </c>
      <c r="AH108" s="43" t="n">
        <f aca="false">MAX(0,AE108-AF108-AG108)</f>
        <v>0</v>
      </c>
      <c r="AI108" s="43" t="n">
        <f aca="false">IF(AL107&gt;0.005,AL107*(1+Ordem!$K$14),0)</f>
        <v>0</v>
      </c>
      <c r="AJ108" s="43" t="n">
        <f aca="false">MIN(AI108,Ordem!$L$14)</f>
        <v>0</v>
      </c>
      <c r="AK108" s="43" t="n">
        <f aca="false">MAX(0,MIN(AI108-AJ108,$B108-(E108+I108+M108+Q108+U108+Y108+AC108+AG108)))</f>
        <v>0</v>
      </c>
      <c r="AL108" s="43" t="n">
        <f aca="false">MAX(0,AI108-AJ108-AK108)</f>
        <v>0</v>
      </c>
      <c r="AM108" s="43" t="n">
        <f aca="false">IF(AP107&gt;0.005,AP107*(1+Ordem!$K$15),0)</f>
        <v>0</v>
      </c>
      <c r="AN108" s="43" t="n">
        <f aca="false">MIN(AM108,Ordem!$L$15)</f>
        <v>0</v>
      </c>
      <c r="AO108" s="43" t="n">
        <f aca="false">MAX(0,MIN(AM108-AN108,$B108-(E108+I108+M108+Q108+U108+Y108+AC108+AG108+AK108)))</f>
        <v>0</v>
      </c>
      <c r="AP108" s="43" t="n">
        <f aca="false">MAX(0,AM108-AN108-AO108)</f>
        <v>0</v>
      </c>
      <c r="AQ108" s="43" t="n">
        <f aca="false">F108+J108+N108+R108+V108+Z108+AD108+AH108+AL108+AP108</f>
        <v>0</v>
      </c>
      <c r="AR108" s="43" t="n">
        <f aca="false">D108+E108+H108+I108+L108+M108+P108+Q108+T108+U108+X108+Y108+AB108+AC108+AF108+AG108+AJ108+AK108+AN108+AO108</f>
        <v>0</v>
      </c>
    </row>
    <row r="109" customFormat="false" ht="15" hidden="false" customHeight="false" outlineLevel="0" collapsed="false">
      <c r="A109" s="0" t="n">
        <v>105</v>
      </c>
      <c r="B109" s="43" t="n">
        <f aca="false">MAX(0,Dívidas!$C$20-(D109+H109+L109+P109+T109+X109+AB109+AF109+AJ109+AN109))</f>
        <v>1450</v>
      </c>
      <c r="C109" s="43" t="n">
        <f aca="false">IF(F108&gt;0.005,F108*(1+Ordem!$K$6),0)</f>
        <v>0</v>
      </c>
      <c r="D109" s="43" t="n">
        <f aca="false">MIN(C109,Ordem!$L$6)</f>
        <v>0</v>
      </c>
      <c r="E109" s="43" t="n">
        <f aca="false">MAX(0,MIN(C109-D109,$B109-(0)))</f>
        <v>0</v>
      </c>
      <c r="F109" s="43" t="n">
        <f aca="false">MAX(0,C109-D109-E109)</f>
        <v>0</v>
      </c>
      <c r="G109" s="43" t="n">
        <f aca="false">IF(J108&gt;0.005,J108*(1+Ordem!$K$7),0)</f>
        <v>0</v>
      </c>
      <c r="H109" s="43" t="n">
        <f aca="false">MIN(G109,Ordem!$L$7)</f>
        <v>0</v>
      </c>
      <c r="I109" s="43" t="n">
        <f aca="false">MAX(0,MIN(G109-H109,$B109-(E109)))</f>
        <v>0</v>
      </c>
      <c r="J109" s="43" t="n">
        <f aca="false">MAX(0,G109-H109-I109)</f>
        <v>0</v>
      </c>
      <c r="K109" s="43" t="n">
        <f aca="false">IF(N108&gt;0.005,N108*(1+Ordem!$K$8),0)</f>
        <v>0</v>
      </c>
      <c r="L109" s="43" t="n">
        <f aca="false">MIN(K109,Ordem!$L$8)</f>
        <v>0</v>
      </c>
      <c r="M109" s="43" t="n">
        <f aca="false">MAX(0,MIN(K109-L109,$B109-(E109+I109)))</f>
        <v>0</v>
      </c>
      <c r="N109" s="43" t="n">
        <f aca="false">MAX(0,K109-L109-M109)</f>
        <v>0</v>
      </c>
      <c r="O109" s="43" t="n">
        <f aca="false">IF(R108&gt;0.005,R108*(1+Ordem!$K$9),0)</f>
        <v>0</v>
      </c>
      <c r="P109" s="43" t="n">
        <f aca="false">MIN(O109,Ordem!$L$9)</f>
        <v>0</v>
      </c>
      <c r="Q109" s="43" t="n">
        <f aca="false">MAX(0,MIN(O109-P109,$B109-(E109+I109+M109)))</f>
        <v>0</v>
      </c>
      <c r="R109" s="43" t="n">
        <f aca="false">MAX(0,O109-P109-Q109)</f>
        <v>0</v>
      </c>
      <c r="S109" s="43" t="n">
        <f aca="false">IF(V108&gt;0.005,V108*(1+Ordem!$K$10),0)</f>
        <v>0</v>
      </c>
      <c r="T109" s="43" t="n">
        <f aca="false">MIN(S109,Ordem!$L$10)</f>
        <v>0</v>
      </c>
      <c r="U109" s="43" t="n">
        <f aca="false">MAX(0,MIN(S109-T109,$B109-(E109+I109+M109+Q109)))</f>
        <v>0</v>
      </c>
      <c r="V109" s="43" t="n">
        <f aca="false">MAX(0,S109-T109-U109)</f>
        <v>0</v>
      </c>
      <c r="W109" s="43" t="n">
        <f aca="false">IF(Z108&gt;0.005,Z108*(1+Ordem!$K$11),0)</f>
        <v>0</v>
      </c>
      <c r="X109" s="43" t="n">
        <f aca="false">MIN(W109,Ordem!$L$11)</f>
        <v>0</v>
      </c>
      <c r="Y109" s="43" t="n">
        <f aca="false">MAX(0,MIN(W109-X109,$B109-(E109+I109+M109+Q109+U109)))</f>
        <v>0</v>
      </c>
      <c r="Z109" s="43" t="n">
        <f aca="false">MAX(0,W109-X109-Y109)</f>
        <v>0</v>
      </c>
      <c r="AA109" s="43" t="n">
        <f aca="false">IF(AD108&gt;0.005,AD108*(1+Ordem!$K$12),0)</f>
        <v>0</v>
      </c>
      <c r="AB109" s="43" t="n">
        <f aca="false">MIN(AA109,Ordem!$L$12)</f>
        <v>0</v>
      </c>
      <c r="AC109" s="43" t="n">
        <f aca="false">MAX(0,MIN(AA109-AB109,$B109-(E109+I109+M109+Q109+U109+Y109)))</f>
        <v>0</v>
      </c>
      <c r="AD109" s="43" t="n">
        <f aca="false">MAX(0,AA109-AB109-AC109)</f>
        <v>0</v>
      </c>
      <c r="AE109" s="43" t="n">
        <f aca="false">IF(AH108&gt;0.005,AH108*(1+Ordem!$K$13),0)</f>
        <v>0</v>
      </c>
      <c r="AF109" s="43" t="n">
        <f aca="false">MIN(AE109,Ordem!$L$13)</f>
        <v>0</v>
      </c>
      <c r="AG109" s="43" t="n">
        <f aca="false">MAX(0,MIN(AE109-AF109,$B109-(E109+I109+M109+Q109+U109+Y109+AC109)))</f>
        <v>0</v>
      </c>
      <c r="AH109" s="43" t="n">
        <f aca="false">MAX(0,AE109-AF109-AG109)</f>
        <v>0</v>
      </c>
      <c r="AI109" s="43" t="n">
        <f aca="false">IF(AL108&gt;0.005,AL108*(1+Ordem!$K$14),0)</f>
        <v>0</v>
      </c>
      <c r="AJ109" s="43" t="n">
        <f aca="false">MIN(AI109,Ordem!$L$14)</f>
        <v>0</v>
      </c>
      <c r="AK109" s="43" t="n">
        <f aca="false">MAX(0,MIN(AI109-AJ109,$B109-(E109+I109+M109+Q109+U109+Y109+AC109+AG109)))</f>
        <v>0</v>
      </c>
      <c r="AL109" s="43" t="n">
        <f aca="false">MAX(0,AI109-AJ109-AK109)</f>
        <v>0</v>
      </c>
      <c r="AM109" s="43" t="n">
        <f aca="false">IF(AP108&gt;0.005,AP108*(1+Ordem!$K$15),0)</f>
        <v>0</v>
      </c>
      <c r="AN109" s="43" t="n">
        <f aca="false">MIN(AM109,Ordem!$L$15)</f>
        <v>0</v>
      </c>
      <c r="AO109" s="43" t="n">
        <f aca="false">MAX(0,MIN(AM109-AN109,$B109-(E109+I109+M109+Q109+U109+Y109+AC109+AG109+AK109)))</f>
        <v>0</v>
      </c>
      <c r="AP109" s="43" t="n">
        <f aca="false">MAX(0,AM109-AN109-AO109)</f>
        <v>0</v>
      </c>
      <c r="AQ109" s="43" t="n">
        <f aca="false">F109+J109+N109+R109+V109+Z109+AD109+AH109+AL109+AP109</f>
        <v>0</v>
      </c>
      <c r="AR109" s="43" t="n">
        <f aca="false">D109+E109+H109+I109+L109+M109+P109+Q109+T109+U109+X109+Y109+AB109+AC109+AF109+AG109+AJ109+AK109+AN109+AO109</f>
        <v>0</v>
      </c>
    </row>
    <row r="110" customFormat="false" ht="15" hidden="false" customHeight="false" outlineLevel="0" collapsed="false">
      <c r="A110" s="0" t="n">
        <v>106</v>
      </c>
      <c r="B110" s="43" t="n">
        <f aca="false">MAX(0,Dívidas!$C$20-(D110+H110+L110+P110+T110+X110+AB110+AF110+AJ110+AN110))</f>
        <v>1450</v>
      </c>
      <c r="C110" s="43" t="n">
        <f aca="false">IF(F109&gt;0.005,F109*(1+Ordem!$K$6),0)</f>
        <v>0</v>
      </c>
      <c r="D110" s="43" t="n">
        <f aca="false">MIN(C110,Ordem!$L$6)</f>
        <v>0</v>
      </c>
      <c r="E110" s="43" t="n">
        <f aca="false">MAX(0,MIN(C110-D110,$B110-(0)))</f>
        <v>0</v>
      </c>
      <c r="F110" s="43" t="n">
        <f aca="false">MAX(0,C110-D110-E110)</f>
        <v>0</v>
      </c>
      <c r="G110" s="43" t="n">
        <f aca="false">IF(J109&gt;0.005,J109*(1+Ordem!$K$7),0)</f>
        <v>0</v>
      </c>
      <c r="H110" s="43" t="n">
        <f aca="false">MIN(G110,Ordem!$L$7)</f>
        <v>0</v>
      </c>
      <c r="I110" s="43" t="n">
        <f aca="false">MAX(0,MIN(G110-H110,$B110-(E110)))</f>
        <v>0</v>
      </c>
      <c r="J110" s="43" t="n">
        <f aca="false">MAX(0,G110-H110-I110)</f>
        <v>0</v>
      </c>
      <c r="K110" s="43" t="n">
        <f aca="false">IF(N109&gt;0.005,N109*(1+Ordem!$K$8),0)</f>
        <v>0</v>
      </c>
      <c r="L110" s="43" t="n">
        <f aca="false">MIN(K110,Ordem!$L$8)</f>
        <v>0</v>
      </c>
      <c r="M110" s="43" t="n">
        <f aca="false">MAX(0,MIN(K110-L110,$B110-(E110+I110)))</f>
        <v>0</v>
      </c>
      <c r="N110" s="43" t="n">
        <f aca="false">MAX(0,K110-L110-M110)</f>
        <v>0</v>
      </c>
      <c r="O110" s="43" t="n">
        <f aca="false">IF(R109&gt;0.005,R109*(1+Ordem!$K$9),0)</f>
        <v>0</v>
      </c>
      <c r="P110" s="43" t="n">
        <f aca="false">MIN(O110,Ordem!$L$9)</f>
        <v>0</v>
      </c>
      <c r="Q110" s="43" t="n">
        <f aca="false">MAX(0,MIN(O110-P110,$B110-(E110+I110+M110)))</f>
        <v>0</v>
      </c>
      <c r="R110" s="43" t="n">
        <f aca="false">MAX(0,O110-P110-Q110)</f>
        <v>0</v>
      </c>
      <c r="S110" s="43" t="n">
        <f aca="false">IF(V109&gt;0.005,V109*(1+Ordem!$K$10),0)</f>
        <v>0</v>
      </c>
      <c r="T110" s="43" t="n">
        <f aca="false">MIN(S110,Ordem!$L$10)</f>
        <v>0</v>
      </c>
      <c r="U110" s="43" t="n">
        <f aca="false">MAX(0,MIN(S110-T110,$B110-(E110+I110+M110+Q110)))</f>
        <v>0</v>
      </c>
      <c r="V110" s="43" t="n">
        <f aca="false">MAX(0,S110-T110-U110)</f>
        <v>0</v>
      </c>
      <c r="W110" s="43" t="n">
        <f aca="false">IF(Z109&gt;0.005,Z109*(1+Ordem!$K$11),0)</f>
        <v>0</v>
      </c>
      <c r="X110" s="43" t="n">
        <f aca="false">MIN(W110,Ordem!$L$11)</f>
        <v>0</v>
      </c>
      <c r="Y110" s="43" t="n">
        <f aca="false">MAX(0,MIN(W110-X110,$B110-(E110+I110+M110+Q110+U110)))</f>
        <v>0</v>
      </c>
      <c r="Z110" s="43" t="n">
        <f aca="false">MAX(0,W110-X110-Y110)</f>
        <v>0</v>
      </c>
      <c r="AA110" s="43" t="n">
        <f aca="false">IF(AD109&gt;0.005,AD109*(1+Ordem!$K$12),0)</f>
        <v>0</v>
      </c>
      <c r="AB110" s="43" t="n">
        <f aca="false">MIN(AA110,Ordem!$L$12)</f>
        <v>0</v>
      </c>
      <c r="AC110" s="43" t="n">
        <f aca="false">MAX(0,MIN(AA110-AB110,$B110-(E110+I110+M110+Q110+U110+Y110)))</f>
        <v>0</v>
      </c>
      <c r="AD110" s="43" t="n">
        <f aca="false">MAX(0,AA110-AB110-AC110)</f>
        <v>0</v>
      </c>
      <c r="AE110" s="43" t="n">
        <f aca="false">IF(AH109&gt;0.005,AH109*(1+Ordem!$K$13),0)</f>
        <v>0</v>
      </c>
      <c r="AF110" s="43" t="n">
        <f aca="false">MIN(AE110,Ordem!$L$13)</f>
        <v>0</v>
      </c>
      <c r="AG110" s="43" t="n">
        <f aca="false">MAX(0,MIN(AE110-AF110,$B110-(E110+I110+M110+Q110+U110+Y110+AC110)))</f>
        <v>0</v>
      </c>
      <c r="AH110" s="43" t="n">
        <f aca="false">MAX(0,AE110-AF110-AG110)</f>
        <v>0</v>
      </c>
      <c r="AI110" s="43" t="n">
        <f aca="false">IF(AL109&gt;0.005,AL109*(1+Ordem!$K$14),0)</f>
        <v>0</v>
      </c>
      <c r="AJ110" s="43" t="n">
        <f aca="false">MIN(AI110,Ordem!$L$14)</f>
        <v>0</v>
      </c>
      <c r="AK110" s="43" t="n">
        <f aca="false">MAX(0,MIN(AI110-AJ110,$B110-(E110+I110+M110+Q110+U110+Y110+AC110+AG110)))</f>
        <v>0</v>
      </c>
      <c r="AL110" s="43" t="n">
        <f aca="false">MAX(0,AI110-AJ110-AK110)</f>
        <v>0</v>
      </c>
      <c r="AM110" s="43" t="n">
        <f aca="false">IF(AP109&gt;0.005,AP109*(1+Ordem!$K$15),0)</f>
        <v>0</v>
      </c>
      <c r="AN110" s="43" t="n">
        <f aca="false">MIN(AM110,Ordem!$L$15)</f>
        <v>0</v>
      </c>
      <c r="AO110" s="43" t="n">
        <f aca="false">MAX(0,MIN(AM110-AN110,$B110-(E110+I110+M110+Q110+U110+Y110+AC110+AG110+AK110)))</f>
        <v>0</v>
      </c>
      <c r="AP110" s="43" t="n">
        <f aca="false">MAX(0,AM110-AN110-AO110)</f>
        <v>0</v>
      </c>
      <c r="AQ110" s="43" t="n">
        <f aca="false">F110+J110+N110+R110+V110+Z110+AD110+AH110+AL110+AP110</f>
        <v>0</v>
      </c>
      <c r="AR110" s="43" t="n">
        <f aca="false">D110+E110+H110+I110+L110+M110+P110+Q110+T110+U110+X110+Y110+AB110+AC110+AF110+AG110+AJ110+AK110+AN110+AO110</f>
        <v>0</v>
      </c>
    </row>
    <row r="111" customFormat="false" ht="15" hidden="false" customHeight="false" outlineLevel="0" collapsed="false">
      <c r="A111" s="0" t="n">
        <v>107</v>
      </c>
      <c r="B111" s="43" t="n">
        <f aca="false">MAX(0,Dívidas!$C$20-(D111+H111+L111+P111+T111+X111+AB111+AF111+AJ111+AN111))</f>
        <v>1450</v>
      </c>
      <c r="C111" s="43" t="n">
        <f aca="false">IF(F110&gt;0.005,F110*(1+Ordem!$K$6),0)</f>
        <v>0</v>
      </c>
      <c r="D111" s="43" t="n">
        <f aca="false">MIN(C111,Ordem!$L$6)</f>
        <v>0</v>
      </c>
      <c r="E111" s="43" t="n">
        <f aca="false">MAX(0,MIN(C111-D111,$B111-(0)))</f>
        <v>0</v>
      </c>
      <c r="F111" s="43" t="n">
        <f aca="false">MAX(0,C111-D111-E111)</f>
        <v>0</v>
      </c>
      <c r="G111" s="43" t="n">
        <f aca="false">IF(J110&gt;0.005,J110*(1+Ordem!$K$7),0)</f>
        <v>0</v>
      </c>
      <c r="H111" s="43" t="n">
        <f aca="false">MIN(G111,Ordem!$L$7)</f>
        <v>0</v>
      </c>
      <c r="I111" s="43" t="n">
        <f aca="false">MAX(0,MIN(G111-H111,$B111-(E111)))</f>
        <v>0</v>
      </c>
      <c r="J111" s="43" t="n">
        <f aca="false">MAX(0,G111-H111-I111)</f>
        <v>0</v>
      </c>
      <c r="K111" s="43" t="n">
        <f aca="false">IF(N110&gt;0.005,N110*(1+Ordem!$K$8),0)</f>
        <v>0</v>
      </c>
      <c r="L111" s="43" t="n">
        <f aca="false">MIN(K111,Ordem!$L$8)</f>
        <v>0</v>
      </c>
      <c r="M111" s="43" t="n">
        <f aca="false">MAX(0,MIN(K111-L111,$B111-(E111+I111)))</f>
        <v>0</v>
      </c>
      <c r="N111" s="43" t="n">
        <f aca="false">MAX(0,K111-L111-M111)</f>
        <v>0</v>
      </c>
      <c r="O111" s="43" t="n">
        <f aca="false">IF(R110&gt;0.005,R110*(1+Ordem!$K$9),0)</f>
        <v>0</v>
      </c>
      <c r="P111" s="43" t="n">
        <f aca="false">MIN(O111,Ordem!$L$9)</f>
        <v>0</v>
      </c>
      <c r="Q111" s="43" t="n">
        <f aca="false">MAX(0,MIN(O111-P111,$B111-(E111+I111+M111)))</f>
        <v>0</v>
      </c>
      <c r="R111" s="43" t="n">
        <f aca="false">MAX(0,O111-P111-Q111)</f>
        <v>0</v>
      </c>
      <c r="S111" s="43" t="n">
        <f aca="false">IF(V110&gt;0.005,V110*(1+Ordem!$K$10),0)</f>
        <v>0</v>
      </c>
      <c r="T111" s="43" t="n">
        <f aca="false">MIN(S111,Ordem!$L$10)</f>
        <v>0</v>
      </c>
      <c r="U111" s="43" t="n">
        <f aca="false">MAX(0,MIN(S111-T111,$B111-(E111+I111+M111+Q111)))</f>
        <v>0</v>
      </c>
      <c r="V111" s="43" t="n">
        <f aca="false">MAX(0,S111-T111-U111)</f>
        <v>0</v>
      </c>
      <c r="W111" s="43" t="n">
        <f aca="false">IF(Z110&gt;0.005,Z110*(1+Ordem!$K$11),0)</f>
        <v>0</v>
      </c>
      <c r="X111" s="43" t="n">
        <f aca="false">MIN(W111,Ordem!$L$11)</f>
        <v>0</v>
      </c>
      <c r="Y111" s="43" t="n">
        <f aca="false">MAX(0,MIN(W111-X111,$B111-(E111+I111+M111+Q111+U111)))</f>
        <v>0</v>
      </c>
      <c r="Z111" s="43" t="n">
        <f aca="false">MAX(0,W111-X111-Y111)</f>
        <v>0</v>
      </c>
      <c r="AA111" s="43" t="n">
        <f aca="false">IF(AD110&gt;0.005,AD110*(1+Ordem!$K$12),0)</f>
        <v>0</v>
      </c>
      <c r="AB111" s="43" t="n">
        <f aca="false">MIN(AA111,Ordem!$L$12)</f>
        <v>0</v>
      </c>
      <c r="AC111" s="43" t="n">
        <f aca="false">MAX(0,MIN(AA111-AB111,$B111-(E111+I111+M111+Q111+U111+Y111)))</f>
        <v>0</v>
      </c>
      <c r="AD111" s="43" t="n">
        <f aca="false">MAX(0,AA111-AB111-AC111)</f>
        <v>0</v>
      </c>
      <c r="AE111" s="43" t="n">
        <f aca="false">IF(AH110&gt;0.005,AH110*(1+Ordem!$K$13),0)</f>
        <v>0</v>
      </c>
      <c r="AF111" s="43" t="n">
        <f aca="false">MIN(AE111,Ordem!$L$13)</f>
        <v>0</v>
      </c>
      <c r="AG111" s="43" t="n">
        <f aca="false">MAX(0,MIN(AE111-AF111,$B111-(E111+I111+M111+Q111+U111+Y111+AC111)))</f>
        <v>0</v>
      </c>
      <c r="AH111" s="43" t="n">
        <f aca="false">MAX(0,AE111-AF111-AG111)</f>
        <v>0</v>
      </c>
      <c r="AI111" s="43" t="n">
        <f aca="false">IF(AL110&gt;0.005,AL110*(1+Ordem!$K$14),0)</f>
        <v>0</v>
      </c>
      <c r="AJ111" s="43" t="n">
        <f aca="false">MIN(AI111,Ordem!$L$14)</f>
        <v>0</v>
      </c>
      <c r="AK111" s="43" t="n">
        <f aca="false">MAX(0,MIN(AI111-AJ111,$B111-(E111+I111+M111+Q111+U111+Y111+AC111+AG111)))</f>
        <v>0</v>
      </c>
      <c r="AL111" s="43" t="n">
        <f aca="false">MAX(0,AI111-AJ111-AK111)</f>
        <v>0</v>
      </c>
      <c r="AM111" s="43" t="n">
        <f aca="false">IF(AP110&gt;0.005,AP110*(1+Ordem!$K$15),0)</f>
        <v>0</v>
      </c>
      <c r="AN111" s="43" t="n">
        <f aca="false">MIN(AM111,Ordem!$L$15)</f>
        <v>0</v>
      </c>
      <c r="AO111" s="43" t="n">
        <f aca="false">MAX(0,MIN(AM111-AN111,$B111-(E111+I111+M111+Q111+U111+Y111+AC111+AG111+AK111)))</f>
        <v>0</v>
      </c>
      <c r="AP111" s="43" t="n">
        <f aca="false">MAX(0,AM111-AN111-AO111)</f>
        <v>0</v>
      </c>
      <c r="AQ111" s="43" t="n">
        <f aca="false">F111+J111+N111+R111+V111+Z111+AD111+AH111+AL111+AP111</f>
        <v>0</v>
      </c>
      <c r="AR111" s="43" t="n">
        <f aca="false">D111+E111+H111+I111+L111+M111+P111+Q111+T111+U111+X111+Y111+AB111+AC111+AF111+AG111+AJ111+AK111+AN111+AO111</f>
        <v>0</v>
      </c>
    </row>
    <row r="112" customFormat="false" ht="15" hidden="false" customHeight="false" outlineLevel="0" collapsed="false">
      <c r="A112" s="0" t="n">
        <v>108</v>
      </c>
      <c r="B112" s="43" t="n">
        <f aca="false">MAX(0,Dívidas!$C$20-(D112+H112+L112+P112+T112+X112+AB112+AF112+AJ112+AN112))</f>
        <v>1450</v>
      </c>
      <c r="C112" s="43" t="n">
        <f aca="false">IF(F111&gt;0.005,F111*(1+Ordem!$K$6),0)</f>
        <v>0</v>
      </c>
      <c r="D112" s="43" t="n">
        <f aca="false">MIN(C112,Ordem!$L$6)</f>
        <v>0</v>
      </c>
      <c r="E112" s="43" t="n">
        <f aca="false">MAX(0,MIN(C112-D112,$B112-(0)))</f>
        <v>0</v>
      </c>
      <c r="F112" s="43" t="n">
        <f aca="false">MAX(0,C112-D112-E112)</f>
        <v>0</v>
      </c>
      <c r="G112" s="43" t="n">
        <f aca="false">IF(J111&gt;0.005,J111*(1+Ordem!$K$7),0)</f>
        <v>0</v>
      </c>
      <c r="H112" s="43" t="n">
        <f aca="false">MIN(G112,Ordem!$L$7)</f>
        <v>0</v>
      </c>
      <c r="I112" s="43" t="n">
        <f aca="false">MAX(0,MIN(G112-H112,$B112-(E112)))</f>
        <v>0</v>
      </c>
      <c r="J112" s="43" t="n">
        <f aca="false">MAX(0,G112-H112-I112)</f>
        <v>0</v>
      </c>
      <c r="K112" s="43" t="n">
        <f aca="false">IF(N111&gt;0.005,N111*(1+Ordem!$K$8),0)</f>
        <v>0</v>
      </c>
      <c r="L112" s="43" t="n">
        <f aca="false">MIN(K112,Ordem!$L$8)</f>
        <v>0</v>
      </c>
      <c r="M112" s="43" t="n">
        <f aca="false">MAX(0,MIN(K112-L112,$B112-(E112+I112)))</f>
        <v>0</v>
      </c>
      <c r="N112" s="43" t="n">
        <f aca="false">MAX(0,K112-L112-M112)</f>
        <v>0</v>
      </c>
      <c r="O112" s="43" t="n">
        <f aca="false">IF(R111&gt;0.005,R111*(1+Ordem!$K$9),0)</f>
        <v>0</v>
      </c>
      <c r="P112" s="43" t="n">
        <f aca="false">MIN(O112,Ordem!$L$9)</f>
        <v>0</v>
      </c>
      <c r="Q112" s="43" t="n">
        <f aca="false">MAX(0,MIN(O112-P112,$B112-(E112+I112+M112)))</f>
        <v>0</v>
      </c>
      <c r="R112" s="43" t="n">
        <f aca="false">MAX(0,O112-P112-Q112)</f>
        <v>0</v>
      </c>
      <c r="S112" s="43" t="n">
        <f aca="false">IF(V111&gt;0.005,V111*(1+Ordem!$K$10),0)</f>
        <v>0</v>
      </c>
      <c r="T112" s="43" t="n">
        <f aca="false">MIN(S112,Ordem!$L$10)</f>
        <v>0</v>
      </c>
      <c r="U112" s="43" t="n">
        <f aca="false">MAX(0,MIN(S112-T112,$B112-(E112+I112+M112+Q112)))</f>
        <v>0</v>
      </c>
      <c r="V112" s="43" t="n">
        <f aca="false">MAX(0,S112-T112-U112)</f>
        <v>0</v>
      </c>
      <c r="W112" s="43" t="n">
        <f aca="false">IF(Z111&gt;0.005,Z111*(1+Ordem!$K$11),0)</f>
        <v>0</v>
      </c>
      <c r="X112" s="43" t="n">
        <f aca="false">MIN(W112,Ordem!$L$11)</f>
        <v>0</v>
      </c>
      <c r="Y112" s="43" t="n">
        <f aca="false">MAX(0,MIN(W112-X112,$B112-(E112+I112+M112+Q112+U112)))</f>
        <v>0</v>
      </c>
      <c r="Z112" s="43" t="n">
        <f aca="false">MAX(0,W112-X112-Y112)</f>
        <v>0</v>
      </c>
      <c r="AA112" s="43" t="n">
        <f aca="false">IF(AD111&gt;0.005,AD111*(1+Ordem!$K$12),0)</f>
        <v>0</v>
      </c>
      <c r="AB112" s="43" t="n">
        <f aca="false">MIN(AA112,Ordem!$L$12)</f>
        <v>0</v>
      </c>
      <c r="AC112" s="43" t="n">
        <f aca="false">MAX(0,MIN(AA112-AB112,$B112-(E112+I112+M112+Q112+U112+Y112)))</f>
        <v>0</v>
      </c>
      <c r="AD112" s="43" t="n">
        <f aca="false">MAX(0,AA112-AB112-AC112)</f>
        <v>0</v>
      </c>
      <c r="AE112" s="43" t="n">
        <f aca="false">IF(AH111&gt;0.005,AH111*(1+Ordem!$K$13),0)</f>
        <v>0</v>
      </c>
      <c r="AF112" s="43" t="n">
        <f aca="false">MIN(AE112,Ordem!$L$13)</f>
        <v>0</v>
      </c>
      <c r="AG112" s="43" t="n">
        <f aca="false">MAX(0,MIN(AE112-AF112,$B112-(E112+I112+M112+Q112+U112+Y112+AC112)))</f>
        <v>0</v>
      </c>
      <c r="AH112" s="43" t="n">
        <f aca="false">MAX(0,AE112-AF112-AG112)</f>
        <v>0</v>
      </c>
      <c r="AI112" s="43" t="n">
        <f aca="false">IF(AL111&gt;0.005,AL111*(1+Ordem!$K$14),0)</f>
        <v>0</v>
      </c>
      <c r="AJ112" s="43" t="n">
        <f aca="false">MIN(AI112,Ordem!$L$14)</f>
        <v>0</v>
      </c>
      <c r="AK112" s="43" t="n">
        <f aca="false">MAX(0,MIN(AI112-AJ112,$B112-(E112+I112+M112+Q112+U112+Y112+AC112+AG112)))</f>
        <v>0</v>
      </c>
      <c r="AL112" s="43" t="n">
        <f aca="false">MAX(0,AI112-AJ112-AK112)</f>
        <v>0</v>
      </c>
      <c r="AM112" s="43" t="n">
        <f aca="false">IF(AP111&gt;0.005,AP111*(1+Ordem!$K$15),0)</f>
        <v>0</v>
      </c>
      <c r="AN112" s="43" t="n">
        <f aca="false">MIN(AM112,Ordem!$L$15)</f>
        <v>0</v>
      </c>
      <c r="AO112" s="43" t="n">
        <f aca="false">MAX(0,MIN(AM112-AN112,$B112-(E112+I112+M112+Q112+U112+Y112+AC112+AG112+AK112)))</f>
        <v>0</v>
      </c>
      <c r="AP112" s="43" t="n">
        <f aca="false">MAX(0,AM112-AN112-AO112)</f>
        <v>0</v>
      </c>
      <c r="AQ112" s="43" t="n">
        <f aca="false">F112+J112+N112+R112+V112+Z112+AD112+AH112+AL112+AP112</f>
        <v>0</v>
      </c>
      <c r="AR112" s="43" t="n">
        <f aca="false">D112+E112+H112+I112+L112+M112+P112+Q112+T112+U112+X112+Y112+AB112+AC112+AF112+AG112+AJ112+AK112+AN112+AO112</f>
        <v>0</v>
      </c>
    </row>
    <row r="113" customFormat="false" ht="15" hidden="false" customHeight="false" outlineLevel="0" collapsed="false">
      <c r="A113" s="0" t="n">
        <v>109</v>
      </c>
      <c r="B113" s="43" t="n">
        <f aca="false">MAX(0,Dívidas!$C$20-(D113+H113+L113+P113+T113+X113+AB113+AF113+AJ113+AN113))</f>
        <v>1450</v>
      </c>
      <c r="C113" s="43" t="n">
        <f aca="false">IF(F112&gt;0.005,F112*(1+Ordem!$K$6),0)</f>
        <v>0</v>
      </c>
      <c r="D113" s="43" t="n">
        <f aca="false">MIN(C113,Ordem!$L$6)</f>
        <v>0</v>
      </c>
      <c r="E113" s="43" t="n">
        <f aca="false">MAX(0,MIN(C113-D113,$B113-(0)))</f>
        <v>0</v>
      </c>
      <c r="F113" s="43" t="n">
        <f aca="false">MAX(0,C113-D113-E113)</f>
        <v>0</v>
      </c>
      <c r="G113" s="43" t="n">
        <f aca="false">IF(J112&gt;0.005,J112*(1+Ordem!$K$7),0)</f>
        <v>0</v>
      </c>
      <c r="H113" s="43" t="n">
        <f aca="false">MIN(G113,Ordem!$L$7)</f>
        <v>0</v>
      </c>
      <c r="I113" s="43" t="n">
        <f aca="false">MAX(0,MIN(G113-H113,$B113-(E113)))</f>
        <v>0</v>
      </c>
      <c r="J113" s="43" t="n">
        <f aca="false">MAX(0,G113-H113-I113)</f>
        <v>0</v>
      </c>
      <c r="K113" s="43" t="n">
        <f aca="false">IF(N112&gt;0.005,N112*(1+Ordem!$K$8),0)</f>
        <v>0</v>
      </c>
      <c r="L113" s="43" t="n">
        <f aca="false">MIN(K113,Ordem!$L$8)</f>
        <v>0</v>
      </c>
      <c r="M113" s="43" t="n">
        <f aca="false">MAX(0,MIN(K113-L113,$B113-(E113+I113)))</f>
        <v>0</v>
      </c>
      <c r="N113" s="43" t="n">
        <f aca="false">MAX(0,K113-L113-M113)</f>
        <v>0</v>
      </c>
      <c r="O113" s="43" t="n">
        <f aca="false">IF(R112&gt;0.005,R112*(1+Ordem!$K$9),0)</f>
        <v>0</v>
      </c>
      <c r="P113" s="43" t="n">
        <f aca="false">MIN(O113,Ordem!$L$9)</f>
        <v>0</v>
      </c>
      <c r="Q113" s="43" t="n">
        <f aca="false">MAX(0,MIN(O113-P113,$B113-(E113+I113+M113)))</f>
        <v>0</v>
      </c>
      <c r="R113" s="43" t="n">
        <f aca="false">MAX(0,O113-P113-Q113)</f>
        <v>0</v>
      </c>
      <c r="S113" s="43" t="n">
        <f aca="false">IF(V112&gt;0.005,V112*(1+Ordem!$K$10),0)</f>
        <v>0</v>
      </c>
      <c r="T113" s="43" t="n">
        <f aca="false">MIN(S113,Ordem!$L$10)</f>
        <v>0</v>
      </c>
      <c r="U113" s="43" t="n">
        <f aca="false">MAX(0,MIN(S113-T113,$B113-(E113+I113+M113+Q113)))</f>
        <v>0</v>
      </c>
      <c r="V113" s="43" t="n">
        <f aca="false">MAX(0,S113-T113-U113)</f>
        <v>0</v>
      </c>
      <c r="W113" s="43" t="n">
        <f aca="false">IF(Z112&gt;0.005,Z112*(1+Ordem!$K$11),0)</f>
        <v>0</v>
      </c>
      <c r="X113" s="43" t="n">
        <f aca="false">MIN(W113,Ordem!$L$11)</f>
        <v>0</v>
      </c>
      <c r="Y113" s="43" t="n">
        <f aca="false">MAX(0,MIN(W113-X113,$B113-(E113+I113+M113+Q113+U113)))</f>
        <v>0</v>
      </c>
      <c r="Z113" s="43" t="n">
        <f aca="false">MAX(0,W113-X113-Y113)</f>
        <v>0</v>
      </c>
      <c r="AA113" s="43" t="n">
        <f aca="false">IF(AD112&gt;0.005,AD112*(1+Ordem!$K$12),0)</f>
        <v>0</v>
      </c>
      <c r="AB113" s="43" t="n">
        <f aca="false">MIN(AA113,Ordem!$L$12)</f>
        <v>0</v>
      </c>
      <c r="AC113" s="43" t="n">
        <f aca="false">MAX(0,MIN(AA113-AB113,$B113-(E113+I113+M113+Q113+U113+Y113)))</f>
        <v>0</v>
      </c>
      <c r="AD113" s="43" t="n">
        <f aca="false">MAX(0,AA113-AB113-AC113)</f>
        <v>0</v>
      </c>
      <c r="AE113" s="43" t="n">
        <f aca="false">IF(AH112&gt;0.005,AH112*(1+Ordem!$K$13),0)</f>
        <v>0</v>
      </c>
      <c r="AF113" s="43" t="n">
        <f aca="false">MIN(AE113,Ordem!$L$13)</f>
        <v>0</v>
      </c>
      <c r="AG113" s="43" t="n">
        <f aca="false">MAX(0,MIN(AE113-AF113,$B113-(E113+I113+M113+Q113+U113+Y113+AC113)))</f>
        <v>0</v>
      </c>
      <c r="AH113" s="43" t="n">
        <f aca="false">MAX(0,AE113-AF113-AG113)</f>
        <v>0</v>
      </c>
      <c r="AI113" s="43" t="n">
        <f aca="false">IF(AL112&gt;0.005,AL112*(1+Ordem!$K$14),0)</f>
        <v>0</v>
      </c>
      <c r="AJ113" s="43" t="n">
        <f aca="false">MIN(AI113,Ordem!$L$14)</f>
        <v>0</v>
      </c>
      <c r="AK113" s="43" t="n">
        <f aca="false">MAX(0,MIN(AI113-AJ113,$B113-(E113+I113+M113+Q113+U113+Y113+AC113+AG113)))</f>
        <v>0</v>
      </c>
      <c r="AL113" s="43" t="n">
        <f aca="false">MAX(0,AI113-AJ113-AK113)</f>
        <v>0</v>
      </c>
      <c r="AM113" s="43" t="n">
        <f aca="false">IF(AP112&gt;0.005,AP112*(1+Ordem!$K$15),0)</f>
        <v>0</v>
      </c>
      <c r="AN113" s="43" t="n">
        <f aca="false">MIN(AM113,Ordem!$L$15)</f>
        <v>0</v>
      </c>
      <c r="AO113" s="43" t="n">
        <f aca="false">MAX(0,MIN(AM113-AN113,$B113-(E113+I113+M113+Q113+U113+Y113+AC113+AG113+AK113)))</f>
        <v>0</v>
      </c>
      <c r="AP113" s="43" t="n">
        <f aca="false">MAX(0,AM113-AN113-AO113)</f>
        <v>0</v>
      </c>
      <c r="AQ113" s="43" t="n">
        <f aca="false">F113+J113+N113+R113+V113+Z113+AD113+AH113+AL113+AP113</f>
        <v>0</v>
      </c>
      <c r="AR113" s="43" t="n">
        <f aca="false">D113+E113+H113+I113+L113+M113+P113+Q113+T113+U113+X113+Y113+AB113+AC113+AF113+AG113+AJ113+AK113+AN113+AO113</f>
        <v>0</v>
      </c>
    </row>
    <row r="114" customFormat="false" ht="15" hidden="false" customHeight="false" outlineLevel="0" collapsed="false">
      <c r="A114" s="0" t="n">
        <v>110</v>
      </c>
      <c r="B114" s="43" t="n">
        <f aca="false">MAX(0,Dívidas!$C$20-(D114+H114+L114+P114+T114+X114+AB114+AF114+AJ114+AN114))</f>
        <v>1450</v>
      </c>
      <c r="C114" s="43" t="n">
        <f aca="false">IF(F113&gt;0.005,F113*(1+Ordem!$K$6),0)</f>
        <v>0</v>
      </c>
      <c r="D114" s="43" t="n">
        <f aca="false">MIN(C114,Ordem!$L$6)</f>
        <v>0</v>
      </c>
      <c r="E114" s="43" t="n">
        <f aca="false">MAX(0,MIN(C114-D114,$B114-(0)))</f>
        <v>0</v>
      </c>
      <c r="F114" s="43" t="n">
        <f aca="false">MAX(0,C114-D114-E114)</f>
        <v>0</v>
      </c>
      <c r="G114" s="43" t="n">
        <f aca="false">IF(J113&gt;0.005,J113*(1+Ordem!$K$7),0)</f>
        <v>0</v>
      </c>
      <c r="H114" s="43" t="n">
        <f aca="false">MIN(G114,Ordem!$L$7)</f>
        <v>0</v>
      </c>
      <c r="I114" s="43" t="n">
        <f aca="false">MAX(0,MIN(G114-H114,$B114-(E114)))</f>
        <v>0</v>
      </c>
      <c r="J114" s="43" t="n">
        <f aca="false">MAX(0,G114-H114-I114)</f>
        <v>0</v>
      </c>
      <c r="K114" s="43" t="n">
        <f aca="false">IF(N113&gt;0.005,N113*(1+Ordem!$K$8),0)</f>
        <v>0</v>
      </c>
      <c r="L114" s="43" t="n">
        <f aca="false">MIN(K114,Ordem!$L$8)</f>
        <v>0</v>
      </c>
      <c r="M114" s="43" t="n">
        <f aca="false">MAX(0,MIN(K114-L114,$B114-(E114+I114)))</f>
        <v>0</v>
      </c>
      <c r="N114" s="43" t="n">
        <f aca="false">MAX(0,K114-L114-M114)</f>
        <v>0</v>
      </c>
      <c r="O114" s="43" t="n">
        <f aca="false">IF(R113&gt;0.005,R113*(1+Ordem!$K$9),0)</f>
        <v>0</v>
      </c>
      <c r="P114" s="43" t="n">
        <f aca="false">MIN(O114,Ordem!$L$9)</f>
        <v>0</v>
      </c>
      <c r="Q114" s="43" t="n">
        <f aca="false">MAX(0,MIN(O114-P114,$B114-(E114+I114+M114)))</f>
        <v>0</v>
      </c>
      <c r="R114" s="43" t="n">
        <f aca="false">MAX(0,O114-P114-Q114)</f>
        <v>0</v>
      </c>
      <c r="S114" s="43" t="n">
        <f aca="false">IF(V113&gt;0.005,V113*(1+Ordem!$K$10),0)</f>
        <v>0</v>
      </c>
      <c r="T114" s="43" t="n">
        <f aca="false">MIN(S114,Ordem!$L$10)</f>
        <v>0</v>
      </c>
      <c r="U114" s="43" t="n">
        <f aca="false">MAX(0,MIN(S114-T114,$B114-(E114+I114+M114+Q114)))</f>
        <v>0</v>
      </c>
      <c r="V114" s="43" t="n">
        <f aca="false">MAX(0,S114-T114-U114)</f>
        <v>0</v>
      </c>
      <c r="W114" s="43" t="n">
        <f aca="false">IF(Z113&gt;0.005,Z113*(1+Ordem!$K$11),0)</f>
        <v>0</v>
      </c>
      <c r="X114" s="43" t="n">
        <f aca="false">MIN(W114,Ordem!$L$11)</f>
        <v>0</v>
      </c>
      <c r="Y114" s="43" t="n">
        <f aca="false">MAX(0,MIN(W114-X114,$B114-(E114+I114+M114+Q114+U114)))</f>
        <v>0</v>
      </c>
      <c r="Z114" s="43" t="n">
        <f aca="false">MAX(0,W114-X114-Y114)</f>
        <v>0</v>
      </c>
      <c r="AA114" s="43" t="n">
        <f aca="false">IF(AD113&gt;0.005,AD113*(1+Ordem!$K$12),0)</f>
        <v>0</v>
      </c>
      <c r="AB114" s="43" t="n">
        <f aca="false">MIN(AA114,Ordem!$L$12)</f>
        <v>0</v>
      </c>
      <c r="AC114" s="43" t="n">
        <f aca="false">MAX(0,MIN(AA114-AB114,$B114-(E114+I114+M114+Q114+U114+Y114)))</f>
        <v>0</v>
      </c>
      <c r="AD114" s="43" t="n">
        <f aca="false">MAX(0,AA114-AB114-AC114)</f>
        <v>0</v>
      </c>
      <c r="AE114" s="43" t="n">
        <f aca="false">IF(AH113&gt;0.005,AH113*(1+Ordem!$K$13),0)</f>
        <v>0</v>
      </c>
      <c r="AF114" s="43" t="n">
        <f aca="false">MIN(AE114,Ordem!$L$13)</f>
        <v>0</v>
      </c>
      <c r="AG114" s="43" t="n">
        <f aca="false">MAX(0,MIN(AE114-AF114,$B114-(E114+I114+M114+Q114+U114+Y114+AC114)))</f>
        <v>0</v>
      </c>
      <c r="AH114" s="43" t="n">
        <f aca="false">MAX(0,AE114-AF114-AG114)</f>
        <v>0</v>
      </c>
      <c r="AI114" s="43" t="n">
        <f aca="false">IF(AL113&gt;0.005,AL113*(1+Ordem!$K$14),0)</f>
        <v>0</v>
      </c>
      <c r="AJ114" s="43" t="n">
        <f aca="false">MIN(AI114,Ordem!$L$14)</f>
        <v>0</v>
      </c>
      <c r="AK114" s="43" t="n">
        <f aca="false">MAX(0,MIN(AI114-AJ114,$B114-(E114+I114+M114+Q114+U114+Y114+AC114+AG114)))</f>
        <v>0</v>
      </c>
      <c r="AL114" s="43" t="n">
        <f aca="false">MAX(0,AI114-AJ114-AK114)</f>
        <v>0</v>
      </c>
      <c r="AM114" s="43" t="n">
        <f aca="false">IF(AP113&gt;0.005,AP113*(1+Ordem!$K$15),0)</f>
        <v>0</v>
      </c>
      <c r="AN114" s="43" t="n">
        <f aca="false">MIN(AM114,Ordem!$L$15)</f>
        <v>0</v>
      </c>
      <c r="AO114" s="43" t="n">
        <f aca="false">MAX(0,MIN(AM114-AN114,$B114-(E114+I114+M114+Q114+U114+Y114+AC114+AG114+AK114)))</f>
        <v>0</v>
      </c>
      <c r="AP114" s="43" t="n">
        <f aca="false">MAX(0,AM114-AN114-AO114)</f>
        <v>0</v>
      </c>
      <c r="AQ114" s="43" t="n">
        <f aca="false">F114+J114+N114+R114+V114+Z114+AD114+AH114+AL114+AP114</f>
        <v>0</v>
      </c>
      <c r="AR114" s="43" t="n">
        <f aca="false">D114+E114+H114+I114+L114+M114+P114+Q114+T114+U114+X114+Y114+AB114+AC114+AF114+AG114+AJ114+AK114+AN114+AO114</f>
        <v>0</v>
      </c>
    </row>
    <row r="115" customFormat="false" ht="15" hidden="false" customHeight="false" outlineLevel="0" collapsed="false">
      <c r="A115" s="0" t="n">
        <v>111</v>
      </c>
      <c r="B115" s="43" t="n">
        <f aca="false">MAX(0,Dívidas!$C$20-(D115+H115+L115+P115+T115+X115+AB115+AF115+AJ115+AN115))</f>
        <v>1450</v>
      </c>
      <c r="C115" s="43" t="n">
        <f aca="false">IF(F114&gt;0.005,F114*(1+Ordem!$K$6),0)</f>
        <v>0</v>
      </c>
      <c r="D115" s="43" t="n">
        <f aca="false">MIN(C115,Ordem!$L$6)</f>
        <v>0</v>
      </c>
      <c r="E115" s="43" t="n">
        <f aca="false">MAX(0,MIN(C115-D115,$B115-(0)))</f>
        <v>0</v>
      </c>
      <c r="F115" s="43" t="n">
        <f aca="false">MAX(0,C115-D115-E115)</f>
        <v>0</v>
      </c>
      <c r="G115" s="43" t="n">
        <f aca="false">IF(J114&gt;0.005,J114*(1+Ordem!$K$7),0)</f>
        <v>0</v>
      </c>
      <c r="H115" s="43" t="n">
        <f aca="false">MIN(G115,Ordem!$L$7)</f>
        <v>0</v>
      </c>
      <c r="I115" s="43" t="n">
        <f aca="false">MAX(0,MIN(G115-H115,$B115-(E115)))</f>
        <v>0</v>
      </c>
      <c r="J115" s="43" t="n">
        <f aca="false">MAX(0,G115-H115-I115)</f>
        <v>0</v>
      </c>
      <c r="K115" s="43" t="n">
        <f aca="false">IF(N114&gt;0.005,N114*(1+Ordem!$K$8),0)</f>
        <v>0</v>
      </c>
      <c r="L115" s="43" t="n">
        <f aca="false">MIN(K115,Ordem!$L$8)</f>
        <v>0</v>
      </c>
      <c r="M115" s="43" t="n">
        <f aca="false">MAX(0,MIN(K115-L115,$B115-(E115+I115)))</f>
        <v>0</v>
      </c>
      <c r="N115" s="43" t="n">
        <f aca="false">MAX(0,K115-L115-M115)</f>
        <v>0</v>
      </c>
      <c r="O115" s="43" t="n">
        <f aca="false">IF(R114&gt;0.005,R114*(1+Ordem!$K$9),0)</f>
        <v>0</v>
      </c>
      <c r="P115" s="43" t="n">
        <f aca="false">MIN(O115,Ordem!$L$9)</f>
        <v>0</v>
      </c>
      <c r="Q115" s="43" t="n">
        <f aca="false">MAX(0,MIN(O115-P115,$B115-(E115+I115+M115)))</f>
        <v>0</v>
      </c>
      <c r="R115" s="43" t="n">
        <f aca="false">MAX(0,O115-P115-Q115)</f>
        <v>0</v>
      </c>
      <c r="S115" s="43" t="n">
        <f aca="false">IF(V114&gt;0.005,V114*(1+Ordem!$K$10),0)</f>
        <v>0</v>
      </c>
      <c r="T115" s="43" t="n">
        <f aca="false">MIN(S115,Ordem!$L$10)</f>
        <v>0</v>
      </c>
      <c r="U115" s="43" t="n">
        <f aca="false">MAX(0,MIN(S115-T115,$B115-(E115+I115+M115+Q115)))</f>
        <v>0</v>
      </c>
      <c r="V115" s="43" t="n">
        <f aca="false">MAX(0,S115-T115-U115)</f>
        <v>0</v>
      </c>
      <c r="W115" s="43" t="n">
        <f aca="false">IF(Z114&gt;0.005,Z114*(1+Ordem!$K$11),0)</f>
        <v>0</v>
      </c>
      <c r="X115" s="43" t="n">
        <f aca="false">MIN(W115,Ordem!$L$11)</f>
        <v>0</v>
      </c>
      <c r="Y115" s="43" t="n">
        <f aca="false">MAX(0,MIN(W115-X115,$B115-(E115+I115+M115+Q115+U115)))</f>
        <v>0</v>
      </c>
      <c r="Z115" s="43" t="n">
        <f aca="false">MAX(0,W115-X115-Y115)</f>
        <v>0</v>
      </c>
      <c r="AA115" s="43" t="n">
        <f aca="false">IF(AD114&gt;0.005,AD114*(1+Ordem!$K$12),0)</f>
        <v>0</v>
      </c>
      <c r="AB115" s="43" t="n">
        <f aca="false">MIN(AA115,Ordem!$L$12)</f>
        <v>0</v>
      </c>
      <c r="AC115" s="43" t="n">
        <f aca="false">MAX(0,MIN(AA115-AB115,$B115-(E115+I115+M115+Q115+U115+Y115)))</f>
        <v>0</v>
      </c>
      <c r="AD115" s="43" t="n">
        <f aca="false">MAX(0,AA115-AB115-AC115)</f>
        <v>0</v>
      </c>
      <c r="AE115" s="43" t="n">
        <f aca="false">IF(AH114&gt;0.005,AH114*(1+Ordem!$K$13),0)</f>
        <v>0</v>
      </c>
      <c r="AF115" s="43" t="n">
        <f aca="false">MIN(AE115,Ordem!$L$13)</f>
        <v>0</v>
      </c>
      <c r="AG115" s="43" t="n">
        <f aca="false">MAX(0,MIN(AE115-AF115,$B115-(E115+I115+M115+Q115+U115+Y115+AC115)))</f>
        <v>0</v>
      </c>
      <c r="AH115" s="43" t="n">
        <f aca="false">MAX(0,AE115-AF115-AG115)</f>
        <v>0</v>
      </c>
      <c r="AI115" s="43" t="n">
        <f aca="false">IF(AL114&gt;0.005,AL114*(1+Ordem!$K$14),0)</f>
        <v>0</v>
      </c>
      <c r="AJ115" s="43" t="n">
        <f aca="false">MIN(AI115,Ordem!$L$14)</f>
        <v>0</v>
      </c>
      <c r="AK115" s="43" t="n">
        <f aca="false">MAX(0,MIN(AI115-AJ115,$B115-(E115+I115+M115+Q115+U115+Y115+AC115+AG115)))</f>
        <v>0</v>
      </c>
      <c r="AL115" s="43" t="n">
        <f aca="false">MAX(0,AI115-AJ115-AK115)</f>
        <v>0</v>
      </c>
      <c r="AM115" s="43" t="n">
        <f aca="false">IF(AP114&gt;0.005,AP114*(1+Ordem!$K$15),0)</f>
        <v>0</v>
      </c>
      <c r="AN115" s="43" t="n">
        <f aca="false">MIN(AM115,Ordem!$L$15)</f>
        <v>0</v>
      </c>
      <c r="AO115" s="43" t="n">
        <f aca="false">MAX(0,MIN(AM115-AN115,$B115-(E115+I115+M115+Q115+U115+Y115+AC115+AG115+AK115)))</f>
        <v>0</v>
      </c>
      <c r="AP115" s="43" t="n">
        <f aca="false">MAX(0,AM115-AN115-AO115)</f>
        <v>0</v>
      </c>
      <c r="AQ115" s="43" t="n">
        <f aca="false">F115+J115+N115+R115+V115+Z115+AD115+AH115+AL115+AP115</f>
        <v>0</v>
      </c>
      <c r="AR115" s="43" t="n">
        <f aca="false">D115+E115+H115+I115+L115+M115+P115+Q115+T115+U115+X115+Y115+AB115+AC115+AF115+AG115+AJ115+AK115+AN115+AO115</f>
        <v>0</v>
      </c>
    </row>
    <row r="116" customFormat="false" ht="15" hidden="false" customHeight="false" outlineLevel="0" collapsed="false">
      <c r="A116" s="0" t="n">
        <v>112</v>
      </c>
      <c r="B116" s="43" t="n">
        <f aca="false">MAX(0,Dívidas!$C$20-(D116+H116+L116+P116+T116+X116+AB116+AF116+AJ116+AN116))</f>
        <v>1450</v>
      </c>
      <c r="C116" s="43" t="n">
        <f aca="false">IF(F115&gt;0.005,F115*(1+Ordem!$K$6),0)</f>
        <v>0</v>
      </c>
      <c r="D116" s="43" t="n">
        <f aca="false">MIN(C116,Ordem!$L$6)</f>
        <v>0</v>
      </c>
      <c r="E116" s="43" t="n">
        <f aca="false">MAX(0,MIN(C116-D116,$B116-(0)))</f>
        <v>0</v>
      </c>
      <c r="F116" s="43" t="n">
        <f aca="false">MAX(0,C116-D116-E116)</f>
        <v>0</v>
      </c>
      <c r="G116" s="43" t="n">
        <f aca="false">IF(J115&gt;0.005,J115*(1+Ordem!$K$7),0)</f>
        <v>0</v>
      </c>
      <c r="H116" s="43" t="n">
        <f aca="false">MIN(G116,Ordem!$L$7)</f>
        <v>0</v>
      </c>
      <c r="I116" s="43" t="n">
        <f aca="false">MAX(0,MIN(G116-H116,$B116-(E116)))</f>
        <v>0</v>
      </c>
      <c r="J116" s="43" t="n">
        <f aca="false">MAX(0,G116-H116-I116)</f>
        <v>0</v>
      </c>
      <c r="K116" s="43" t="n">
        <f aca="false">IF(N115&gt;0.005,N115*(1+Ordem!$K$8),0)</f>
        <v>0</v>
      </c>
      <c r="L116" s="43" t="n">
        <f aca="false">MIN(K116,Ordem!$L$8)</f>
        <v>0</v>
      </c>
      <c r="M116" s="43" t="n">
        <f aca="false">MAX(0,MIN(K116-L116,$B116-(E116+I116)))</f>
        <v>0</v>
      </c>
      <c r="N116" s="43" t="n">
        <f aca="false">MAX(0,K116-L116-M116)</f>
        <v>0</v>
      </c>
      <c r="O116" s="43" t="n">
        <f aca="false">IF(R115&gt;0.005,R115*(1+Ordem!$K$9),0)</f>
        <v>0</v>
      </c>
      <c r="P116" s="43" t="n">
        <f aca="false">MIN(O116,Ordem!$L$9)</f>
        <v>0</v>
      </c>
      <c r="Q116" s="43" t="n">
        <f aca="false">MAX(0,MIN(O116-P116,$B116-(E116+I116+M116)))</f>
        <v>0</v>
      </c>
      <c r="R116" s="43" t="n">
        <f aca="false">MAX(0,O116-P116-Q116)</f>
        <v>0</v>
      </c>
      <c r="S116" s="43" t="n">
        <f aca="false">IF(V115&gt;0.005,V115*(1+Ordem!$K$10),0)</f>
        <v>0</v>
      </c>
      <c r="T116" s="43" t="n">
        <f aca="false">MIN(S116,Ordem!$L$10)</f>
        <v>0</v>
      </c>
      <c r="U116" s="43" t="n">
        <f aca="false">MAX(0,MIN(S116-T116,$B116-(E116+I116+M116+Q116)))</f>
        <v>0</v>
      </c>
      <c r="V116" s="43" t="n">
        <f aca="false">MAX(0,S116-T116-U116)</f>
        <v>0</v>
      </c>
      <c r="W116" s="43" t="n">
        <f aca="false">IF(Z115&gt;0.005,Z115*(1+Ordem!$K$11),0)</f>
        <v>0</v>
      </c>
      <c r="X116" s="43" t="n">
        <f aca="false">MIN(W116,Ordem!$L$11)</f>
        <v>0</v>
      </c>
      <c r="Y116" s="43" t="n">
        <f aca="false">MAX(0,MIN(W116-X116,$B116-(E116+I116+M116+Q116+U116)))</f>
        <v>0</v>
      </c>
      <c r="Z116" s="43" t="n">
        <f aca="false">MAX(0,W116-X116-Y116)</f>
        <v>0</v>
      </c>
      <c r="AA116" s="43" t="n">
        <f aca="false">IF(AD115&gt;0.005,AD115*(1+Ordem!$K$12),0)</f>
        <v>0</v>
      </c>
      <c r="AB116" s="43" t="n">
        <f aca="false">MIN(AA116,Ordem!$L$12)</f>
        <v>0</v>
      </c>
      <c r="AC116" s="43" t="n">
        <f aca="false">MAX(0,MIN(AA116-AB116,$B116-(E116+I116+M116+Q116+U116+Y116)))</f>
        <v>0</v>
      </c>
      <c r="AD116" s="43" t="n">
        <f aca="false">MAX(0,AA116-AB116-AC116)</f>
        <v>0</v>
      </c>
      <c r="AE116" s="43" t="n">
        <f aca="false">IF(AH115&gt;0.005,AH115*(1+Ordem!$K$13),0)</f>
        <v>0</v>
      </c>
      <c r="AF116" s="43" t="n">
        <f aca="false">MIN(AE116,Ordem!$L$13)</f>
        <v>0</v>
      </c>
      <c r="AG116" s="43" t="n">
        <f aca="false">MAX(0,MIN(AE116-AF116,$B116-(E116+I116+M116+Q116+U116+Y116+AC116)))</f>
        <v>0</v>
      </c>
      <c r="AH116" s="43" t="n">
        <f aca="false">MAX(0,AE116-AF116-AG116)</f>
        <v>0</v>
      </c>
      <c r="AI116" s="43" t="n">
        <f aca="false">IF(AL115&gt;0.005,AL115*(1+Ordem!$K$14),0)</f>
        <v>0</v>
      </c>
      <c r="AJ116" s="43" t="n">
        <f aca="false">MIN(AI116,Ordem!$L$14)</f>
        <v>0</v>
      </c>
      <c r="AK116" s="43" t="n">
        <f aca="false">MAX(0,MIN(AI116-AJ116,$B116-(E116+I116+M116+Q116+U116+Y116+AC116+AG116)))</f>
        <v>0</v>
      </c>
      <c r="AL116" s="43" t="n">
        <f aca="false">MAX(0,AI116-AJ116-AK116)</f>
        <v>0</v>
      </c>
      <c r="AM116" s="43" t="n">
        <f aca="false">IF(AP115&gt;0.005,AP115*(1+Ordem!$K$15),0)</f>
        <v>0</v>
      </c>
      <c r="AN116" s="43" t="n">
        <f aca="false">MIN(AM116,Ordem!$L$15)</f>
        <v>0</v>
      </c>
      <c r="AO116" s="43" t="n">
        <f aca="false">MAX(0,MIN(AM116-AN116,$B116-(E116+I116+M116+Q116+U116+Y116+AC116+AG116+AK116)))</f>
        <v>0</v>
      </c>
      <c r="AP116" s="43" t="n">
        <f aca="false">MAX(0,AM116-AN116-AO116)</f>
        <v>0</v>
      </c>
      <c r="AQ116" s="43" t="n">
        <f aca="false">F116+J116+N116+R116+V116+Z116+AD116+AH116+AL116+AP116</f>
        <v>0</v>
      </c>
      <c r="AR116" s="43" t="n">
        <f aca="false">D116+E116+H116+I116+L116+M116+P116+Q116+T116+U116+X116+Y116+AB116+AC116+AF116+AG116+AJ116+AK116+AN116+AO116</f>
        <v>0</v>
      </c>
    </row>
    <row r="117" customFormat="false" ht="15" hidden="false" customHeight="false" outlineLevel="0" collapsed="false">
      <c r="A117" s="0" t="n">
        <v>113</v>
      </c>
      <c r="B117" s="43" t="n">
        <f aca="false">MAX(0,Dívidas!$C$20-(D117+H117+L117+P117+T117+X117+AB117+AF117+AJ117+AN117))</f>
        <v>1450</v>
      </c>
      <c r="C117" s="43" t="n">
        <f aca="false">IF(F116&gt;0.005,F116*(1+Ordem!$K$6),0)</f>
        <v>0</v>
      </c>
      <c r="D117" s="43" t="n">
        <f aca="false">MIN(C117,Ordem!$L$6)</f>
        <v>0</v>
      </c>
      <c r="E117" s="43" t="n">
        <f aca="false">MAX(0,MIN(C117-D117,$B117-(0)))</f>
        <v>0</v>
      </c>
      <c r="F117" s="43" t="n">
        <f aca="false">MAX(0,C117-D117-E117)</f>
        <v>0</v>
      </c>
      <c r="G117" s="43" t="n">
        <f aca="false">IF(J116&gt;0.005,J116*(1+Ordem!$K$7),0)</f>
        <v>0</v>
      </c>
      <c r="H117" s="43" t="n">
        <f aca="false">MIN(G117,Ordem!$L$7)</f>
        <v>0</v>
      </c>
      <c r="I117" s="43" t="n">
        <f aca="false">MAX(0,MIN(G117-H117,$B117-(E117)))</f>
        <v>0</v>
      </c>
      <c r="J117" s="43" t="n">
        <f aca="false">MAX(0,G117-H117-I117)</f>
        <v>0</v>
      </c>
      <c r="K117" s="43" t="n">
        <f aca="false">IF(N116&gt;0.005,N116*(1+Ordem!$K$8),0)</f>
        <v>0</v>
      </c>
      <c r="L117" s="43" t="n">
        <f aca="false">MIN(K117,Ordem!$L$8)</f>
        <v>0</v>
      </c>
      <c r="M117" s="43" t="n">
        <f aca="false">MAX(0,MIN(K117-L117,$B117-(E117+I117)))</f>
        <v>0</v>
      </c>
      <c r="N117" s="43" t="n">
        <f aca="false">MAX(0,K117-L117-M117)</f>
        <v>0</v>
      </c>
      <c r="O117" s="43" t="n">
        <f aca="false">IF(R116&gt;0.005,R116*(1+Ordem!$K$9),0)</f>
        <v>0</v>
      </c>
      <c r="P117" s="43" t="n">
        <f aca="false">MIN(O117,Ordem!$L$9)</f>
        <v>0</v>
      </c>
      <c r="Q117" s="43" t="n">
        <f aca="false">MAX(0,MIN(O117-P117,$B117-(E117+I117+M117)))</f>
        <v>0</v>
      </c>
      <c r="R117" s="43" t="n">
        <f aca="false">MAX(0,O117-P117-Q117)</f>
        <v>0</v>
      </c>
      <c r="S117" s="43" t="n">
        <f aca="false">IF(V116&gt;0.005,V116*(1+Ordem!$K$10),0)</f>
        <v>0</v>
      </c>
      <c r="T117" s="43" t="n">
        <f aca="false">MIN(S117,Ordem!$L$10)</f>
        <v>0</v>
      </c>
      <c r="U117" s="43" t="n">
        <f aca="false">MAX(0,MIN(S117-T117,$B117-(E117+I117+M117+Q117)))</f>
        <v>0</v>
      </c>
      <c r="V117" s="43" t="n">
        <f aca="false">MAX(0,S117-T117-U117)</f>
        <v>0</v>
      </c>
      <c r="W117" s="43" t="n">
        <f aca="false">IF(Z116&gt;0.005,Z116*(1+Ordem!$K$11),0)</f>
        <v>0</v>
      </c>
      <c r="X117" s="43" t="n">
        <f aca="false">MIN(W117,Ordem!$L$11)</f>
        <v>0</v>
      </c>
      <c r="Y117" s="43" t="n">
        <f aca="false">MAX(0,MIN(W117-X117,$B117-(E117+I117+M117+Q117+U117)))</f>
        <v>0</v>
      </c>
      <c r="Z117" s="43" t="n">
        <f aca="false">MAX(0,W117-X117-Y117)</f>
        <v>0</v>
      </c>
      <c r="AA117" s="43" t="n">
        <f aca="false">IF(AD116&gt;0.005,AD116*(1+Ordem!$K$12),0)</f>
        <v>0</v>
      </c>
      <c r="AB117" s="43" t="n">
        <f aca="false">MIN(AA117,Ordem!$L$12)</f>
        <v>0</v>
      </c>
      <c r="AC117" s="43" t="n">
        <f aca="false">MAX(0,MIN(AA117-AB117,$B117-(E117+I117+M117+Q117+U117+Y117)))</f>
        <v>0</v>
      </c>
      <c r="AD117" s="43" t="n">
        <f aca="false">MAX(0,AA117-AB117-AC117)</f>
        <v>0</v>
      </c>
      <c r="AE117" s="43" t="n">
        <f aca="false">IF(AH116&gt;0.005,AH116*(1+Ordem!$K$13),0)</f>
        <v>0</v>
      </c>
      <c r="AF117" s="43" t="n">
        <f aca="false">MIN(AE117,Ordem!$L$13)</f>
        <v>0</v>
      </c>
      <c r="AG117" s="43" t="n">
        <f aca="false">MAX(0,MIN(AE117-AF117,$B117-(E117+I117+M117+Q117+U117+Y117+AC117)))</f>
        <v>0</v>
      </c>
      <c r="AH117" s="43" t="n">
        <f aca="false">MAX(0,AE117-AF117-AG117)</f>
        <v>0</v>
      </c>
      <c r="AI117" s="43" t="n">
        <f aca="false">IF(AL116&gt;0.005,AL116*(1+Ordem!$K$14),0)</f>
        <v>0</v>
      </c>
      <c r="AJ117" s="43" t="n">
        <f aca="false">MIN(AI117,Ordem!$L$14)</f>
        <v>0</v>
      </c>
      <c r="AK117" s="43" t="n">
        <f aca="false">MAX(0,MIN(AI117-AJ117,$B117-(E117+I117+M117+Q117+U117+Y117+AC117+AG117)))</f>
        <v>0</v>
      </c>
      <c r="AL117" s="43" t="n">
        <f aca="false">MAX(0,AI117-AJ117-AK117)</f>
        <v>0</v>
      </c>
      <c r="AM117" s="43" t="n">
        <f aca="false">IF(AP116&gt;0.005,AP116*(1+Ordem!$K$15),0)</f>
        <v>0</v>
      </c>
      <c r="AN117" s="43" t="n">
        <f aca="false">MIN(AM117,Ordem!$L$15)</f>
        <v>0</v>
      </c>
      <c r="AO117" s="43" t="n">
        <f aca="false">MAX(0,MIN(AM117-AN117,$B117-(E117+I117+M117+Q117+U117+Y117+AC117+AG117+AK117)))</f>
        <v>0</v>
      </c>
      <c r="AP117" s="43" t="n">
        <f aca="false">MAX(0,AM117-AN117-AO117)</f>
        <v>0</v>
      </c>
      <c r="AQ117" s="43" t="n">
        <f aca="false">F117+J117+N117+R117+V117+Z117+AD117+AH117+AL117+AP117</f>
        <v>0</v>
      </c>
      <c r="AR117" s="43" t="n">
        <f aca="false">D117+E117+H117+I117+L117+M117+P117+Q117+T117+U117+X117+Y117+AB117+AC117+AF117+AG117+AJ117+AK117+AN117+AO117</f>
        <v>0</v>
      </c>
    </row>
    <row r="118" customFormat="false" ht="15" hidden="false" customHeight="false" outlineLevel="0" collapsed="false">
      <c r="A118" s="0" t="n">
        <v>114</v>
      </c>
      <c r="B118" s="43" t="n">
        <f aca="false">MAX(0,Dívidas!$C$20-(D118+H118+L118+P118+T118+X118+AB118+AF118+AJ118+AN118))</f>
        <v>1450</v>
      </c>
      <c r="C118" s="43" t="n">
        <f aca="false">IF(F117&gt;0.005,F117*(1+Ordem!$K$6),0)</f>
        <v>0</v>
      </c>
      <c r="D118" s="43" t="n">
        <f aca="false">MIN(C118,Ordem!$L$6)</f>
        <v>0</v>
      </c>
      <c r="E118" s="43" t="n">
        <f aca="false">MAX(0,MIN(C118-D118,$B118-(0)))</f>
        <v>0</v>
      </c>
      <c r="F118" s="43" t="n">
        <f aca="false">MAX(0,C118-D118-E118)</f>
        <v>0</v>
      </c>
      <c r="G118" s="43" t="n">
        <f aca="false">IF(J117&gt;0.005,J117*(1+Ordem!$K$7),0)</f>
        <v>0</v>
      </c>
      <c r="H118" s="43" t="n">
        <f aca="false">MIN(G118,Ordem!$L$7)</f>
        <v>0</v>
      </c>
      <c r="I118" s="43" t="n">
        <f aca="false">MAX(0,MIN(G118-H118,$B118-(E118)))</f>
        <v>0</v>
      </c>
      <c r="J118" s="43" t="n">
        <f aca="false">MAX(0,G118-H118-I118)</f>
        <v>0</v>
      </c>
      <c r="K118" s="43" t="n">
        <f aca="false">IF(N117&gt;0.005,N117*(1+Ordem!$K$8),0)</f>
        <v>0</v>
      </c>
      <c r="L118" s="43" t="n">
        <f aca="false">MIN(K118,Ordem!$L$8)</f>
        <v>0</v>
      </c>
      <c r="M118" s="43" t="n">
        <f aca="false">MAX(0,MIN(K118-L118,$B118-(E118+I118)))</f>
        <v>0</v>
      </c>
      <c r="N118" s="43" t="n">
        <f aca="false">MAX(0,K118-L118-M118)</f>
        <v>0</v>
      </c>
      <c r="O118" s="43" t="n">
        <f aca="false">IF(R117&gt;0.005,R117*(1+Ordem!$K$9),0)</f>
        <v>0</v>
      </c>
      <c r="P118" s="43" t="n">
        <f aca="false">MIN(O118,Ordem!$L$9)</f>
        <v>0</v>
      </c>
      <c r="Q118" s="43" t="n">
        <f aca="false">MAX(0,MIN(O118-P118,$B118-(E118+I118+M118)))</f>
        <v>0</v>
      </c>
      <c r="R118" s="43" t="n">
        <f aca="false">MAX(0,O118-P118-Q118)</f>
        <v>0</v>
      </c>
      <c r="S118" s="43" t="n">
        <f aca="false">IF(V117&gt;0.005,V117*(1+Ordem!$K$10),0)</f>
        <v>0</v>
      </c>
      <c r="T118" s="43" t="n">
        <f aca="false">MIN(S118,Ordem!$L$10)</f>
        <v>0</v>
      </c>
      <c r="U118" s="43" t="n">
        <f aca="false">MAX(0,MIN(S118-T118,$B118-(E118+I118+M118+Q118)))</f>
        <v>0</v>
      </c>
      <c r="V118" s="43" t="n">
        <f aca="false">MAX(0,S118-T118-U118)</f>
        <v>0</v>
      </c>
      <c r="W118" s="43" t="n">
        <f aca="false">IF(Z117&gt;0.005,Z117*(1+Ordem!$K$11),0)</f>
        <v>0</v>
      </c>
      <c r="X118" s="43" t="n">
        <f aca="false">MIN(W118,Ordem!$L$11)</f>
        <v>0</v>
      </c>
      <c r="Y118" s="43" t="n">
        <f aca="false">MAX(0,MIN(W118-X118,$B118-(E118+I118+M118+Q118+U118)))</f>
        <v>0</v>
      </c>
      <c r="Z118" s="43" t="n">
        <f aca="false">MAX(0,W118-X118-Y118)</f>
        <v>0</v>
      </c>
      <c r="AA118" s="43" t="n">
        <f aca="false">IF(AD117&gt;0.005,AD117*(1+Ordem!$K$12),0)</f>
        <v>0</v>
      </c>
      <c r="AB118" s="43" t="n">
        <f aca="false">MIN(AA118,Ordem!$L$12)</f>
        <v>0</v>
      </c>
      <c r="AC118" s="43" t="n">
        <f aca="false">MAX(0,MIN(AA118-AB118,$B118-(E118+I118+M118+Q118+U118+Y118)))</f>
        <v>0</v>
      </c>
      <c r="AD118" s="43" t="n">
        <f aca="false">MAX(0,AA118-AB118-AC118)</f>
        <v>0</v>
      </c>
      <c r="AE118" s="43" t="n">
        <f aca="false">IF(AH117&gt;0.005,AH117*(1+Ordem!$K$13),0)</f>
        <v>0</v>
      </c>
      <c r="AF118" s="43" t="n">
        <f aca="false">MIN(AE118,Ordem!$L$13)</f>
        <v>0</v>
      </c>
      <c r="AG118" s="43" t="n">
        <f aca="false">MAX(0,MIN(AE118-AF118,$B118-(E118+I118+M118+Q118+U118+Y118+AC118)))</f>
        <v>0</v>
      </c>
      <c r="AH118" s="43" t="n">
        <f aca="false">MAX(0,AE118-AF118-AG118)</f>
        <v>0</v>
      </c>
      <c r="AI118" s="43" t="n">
        <f aca="false">IF(AL117&gt;0.005,AL117*(1+Ordem!$K$14),0)</f>
        <v>0</v>
      </c>
      <c r="AJ118" s="43" t="n">
        <f aca="false">MIN(AI118,Ordem!$L$14)</f>
        <v>0</v>
      </c>
      <c r="AK118" s="43" t="n">
        <f aca="false">MAX(0,MIN(AI118-AJ118,$B118-(E118+I118+M118+Q118+U118+Y118+AC118+AG118)))</f>
        <v>0</v>
      </c>
      <c r="AL118" s="43" t="n">
        <f aca="false">MAX(0,AI118-AJ118-AK118)</f>
        <v>0</v>
      </c>
      <c r="AM118" s="43" t="n">
        <f aca="false">IF(AP117&gt;0.005,AP117*(1+Ordem!$K$15),0)</f>
        <v>0</v>
      </c>
      <c r="AN118" s="43" t="n">
        <f aca="false">MIN(AM118,Ordem!$L$15)</f>
        <v>0</v>
      </c>
      <c r="AO118" s="43" t="n">
        <f aca="false">MAX(0,MIN(AM118-AN118,$B118-(E118+I118+M118+Q118+U118+Y118+AC118+AG118+AK118)))</f>
        <v>0</v>
      </c>
      <c r="AP118" s="43" t="n">
        <f aca="false">MAX(0,AM118-AN118-AO118)</f>
        <v>0</v>
      </c>
      <c r="AQ118" s="43" t="n">
        <f aca="false">F118+J118+N118+R118+V118+Z118+AD118+AH118+AL118+AP118</f>
        <v>0</v>
      </c>
      <c r="AR118" s="43" t="n">
        <f aca="false">D118+E118+H118+I118+L118+M118+P118+Q118+T118+U118+X118+Y118+AB118+AC118+AF118+AG118+AJ118+AK118+AN118+AO118</f>
        <v>0</v>
      </c>
    </row>
    <row r="119" customFormat="false" ht="15" hidden="false" customHeight="false" outlineLevel="0" collapsed="false">
      <c r="A119" s="0" t="n">
        <v>115</v>
      </c>
      <c r="B119" s="43" t="n">
        <f aca="false">MAX(0,Dívidas!$C$20-(D119+H119+L119+P119+T119+X119+AB119+AF119+AJ119+AN119))</f>
        <v>1450</v>
      </c>
      <c r="C119" s="43" t="n">
        <f aca="false">IF(F118&gt;0.005,F118*(1+Ordem!$K$6),0)</f>
        <v>0</v>
      </c>
      <c r="D119" s="43" t="n">
        <f aca="false">MIN(C119,Ordem!$L$6)</f>
        <v>0</v>
      </c>
      <c r="E119" s="43" t="n">
        <f aca="false">MAX(0,MIN(C119-D119,$B119-(0)))</f>
        <v>0</v>
      </c>
      <c r="F119" s="43" t="n">
        <f aca="false">MAX(0,C119-D119-E119)</f>
        <v>0</v>
      </c>
      <c r="G119" s="43" t="n">
        <f aca="false">IF(J118&gt;0.005,J118*(1+Ordem!$K$7),0)</f>
        <v>0</v>
      </c>
      <c r="H119" s="43" t="n">
        <f aca="false">MIN(G119,Ordem!$L$7)</f>
        <v>0</v>
      </c>
      <c r="I119" s="43" t="n">
        <f aca="false">MAX(0,MIN(G119-H119,$B119-(E119)))</f>
        <v>0</v>
      </c>
      <c r="J119" s="43" t="n">
        <f aca="false">MAX(0,G119-H119-I119)</f>
        <v>0</v>
      </c>
      <c r="K119" s="43" t="n">
        <f aca="false">IF(N118&gt;0.005,N118*(1+Ordem!$K$8),0)</f>
        <v>0</v>
      </c>
      <c r="L119" s="43" t="n">
        <f aca="false">MIN(K119,Ordem!$L$8)</f>
        <v>0</v>
      </c>
      <c r="M119" s="43" t="n">
        <f aca="false">MAX(0,MIN(K119-L119,$B119-(E119+I119)))</f>
        <v>0</v>
      </c>
      <c r="N119" s="43" t="n">
        <f aca="false">MAX(0,K119-L119-M119)</f>
        <v>0</v>
      </c>
      <c r="O119" s="43" t="n">
        <f aca="false">IF(R118&gt;0.005,R118*(1+Ordem!$K$9),0)</f>
        <v>0</v>
      </c>
      <c r="P119" s="43" t="n">
        <f aca="false">MIN(O119,Ordem!$L$9)</f>
        <v>0</v>
      </c>
      <c r="Q119" s="43" t="n">
        <f aca="false">MAX(0,MIN(O119-P119,$B119-(E119+I119+M119)))</f>
        <v>0</v>
      </c>
      <c r="R119" s="43" t="n">
        <f aca="false">MAX(0,O119-P119-Q119)</f>
        <v>0</v>
      </c>
      <c r="S119" s="43" t="n">
        <f aca="false">IF(V118&gt;0.005,V118*(1+Ordem!$K$10),0)</f>
        <v>0</v>
      </c>
      <c r="T119" s="43" t="n">
        <f aca="false">MIN(S119,Ordem!$L$10)</f>
        <v>0</v>
      </c>
      <c r="U119" s="43" t="n">
        <f aca="false">MAX(0,MIN(S119-T119,$B119-(E119+I119+M119+Q119)))</f>
        <v>0</v>
      </c>
      <c r="V119" s="43" t="n">
        <f aca="false">MAX(0,S119-T119-U119)</f>
        <v>0</v>
      </c>
      <c r="W119" s="43" t="n">
        <f aca="false">IF(Z118&gt;0.005,Z118*(1+Ordem!$K$11),0)</f>
        <v>0</v>
      </c>
      <c r="X119" s="43" t="n">
        <f aca="false">MIN(W119,Ordem!$L$11)</f>
        <v>0</v>
      </c>
      <c r="Y119" s="43" t="n">
        <f aca="false">MAX(0,MIN(W119-X119,$B119-(E119+I119+M119+Q119+U119)))</f>
        <v>0</v>
      </c>
      <c r="Z119" s="43" t="n">
        <f aca="false">MAX(0,W119-X119-Y119)</f>
        <v>0</v>
      </c>
      <c r="AA119" s="43" t="n">
        <f aca="false">IF(AD118&gt;0.005,AD118*(1+Ordem!$K$12),0)</f>
        <v>0</v>
      </c>
      <c r="AB119" s="43" t="n">
        <f aca="false">MIN(AA119,Ordem!$L$12)</f>
        <v>0</v>
      </c>
      <c r="AC119" s="43" t="n">
        <f aca="false">MAX(0,MIN(AA119-AB119,$B119-(E119+I119+M119+Q119+U119+Y119)))</f>
        <v>0</v>
      </c>
      <c r="AD119" s="43" t="n">
        <f aca="false">MAX(0,AA119-AB119-AC119)</f>
        <v>0</v>
      </c>
      <c r="AE119" s="43" t="n">
        <f aca="false">IF(AH118&gt;0.005,AH118*(1+Ordem!$K$13),0)</f>
        <v>0</v>
      </c>
      <c r="AF119" s="43" t="n">
        <f aca="false">MIN(AE119,Ordem!$L$13)</f>
        <v>0</v>
      </c>
      <c r="AG119" s="43" t="n">
        <f aca="false">MAX(0,MIN(AE119-AF119,$B119-(E119+I119+M119+Q119+U119+Y119+AC119)))</f>
        <v>0</v>
      </c>
      <c r="AH119" s="43" t="n">
        <f aca="false">MAX(0,AE119-AF119-AG119)</f>
        <v>0</v>
      </c>
      <c r="AI119" s="43" t="n">
        <f aca="false">IF(AL118&gt;0.005,AL118*(1+Ordem!$K$14),0)</f>
        <v>0</v>
      </c>
      <c r="AJ119" s="43" t="n">
        <f aca="false">MIN(AI119,Ordem!$L$14)</f>
        <v>0</v>
      </c>
      <c r="AK119" s="43" t="n">
        <f aca="false">MAX(0,MIN(AI119-AJ119,$B119-(E119+I119+M119+Q119+U119+Y119+AC119+AG119)))</f>
        <v>0</v>
      </c>
      <c r="AL119" s="43" t="n">
        <f aca="false">MAX(0,AI119-AJ119-AK119)</f>
        <v>0</v>
      </c>
      <c r="AM119" s="43" t="n">
        <f aca="false">IF(AP118&gt;0.005,AP118*(1+Ordem!$K$15),0)</f>
        <v>0</v>
      </c>
      <c r="AN119" s="43" t="n">
        <f aca="false">MIN(AM119,Ordem!$L$15)</f>
        <v>0</v>
      </c>
      <c r="AO119" s="43" t="n">
        <f aca="false">MAX(0,MIN(AM119-AN119,$B119-(E119+I119+M119+Q119+U119+Y119+AC119+AG119+AK119)))</f>
        <v>0</v>
      </c>
      <c r="AP119" s="43" t="n">
        <f aca="false">MAX(0,AM119-AN119-AO119)</f>
        <v>0</v>
      </c>
      <c r="AQ119" s="43" t="n">
        <f aca="false">F119+J119+N119+R119+V119+Z119+AD119+AH119+AL119+AP119</f>
        <v>0</v>
      </c>
      <c r="AR119" s="43" t="n">
        <f aca="false">D119+E119+H119+I119+L119+M119+P119+Q119+T119+U119+X119+Y119+AB119+AC119+AF119+AG119+AJ119+AK119+AN119+AO119</f>
        <v>0</v>
      </c>
    </row>
    <row r="120" customFormat="false" ht="15" hidden="false" customHeight="false" outlineLevel="0" collapsed="false">
      <c r="A120" s="0" t="n">
        <v>116</v>
      </c>
      <c r="B120" s="43" t="n">
        <f aca="false">MAX(0,Dívidas!$C$20-(D120+H120+L120+P120+T120+X120+AB120+AF120+AJ120+AN120))</f>
        <v>1450</v>
      </c>
      <c r="C120" s="43" t="n">
        <f aca="false">IF(F119&gt;0.005,F119*(1+Ordem!$K$6),0)</f>
        <v>0</v>
      </c>
      <c r="D120" s="43" t="n">
        <f aca="false">MIN(C120,Ordem!$L$6)</f>
        <v>0</v>
      </c>
      <c r="E120" s="43" t="n">
        <f aca="false">MAX(0,MIN(C120-D120,$B120-(0)))</f>
        <v>0</v>
      </c>
      <c r="F120" s="43" t="n">
        <f aca="false">MAX(0,C120-D120-E120)</f>
        <v>0</v>
      </c>
      <c r="G120" s="43" t="n">
        <f aca="false">IF(J119&gt;0.005,J119*(1+Ordem!$K$7),0)</f>
        <v>0</v>
      </c>
      <c r="H120" s="43" t="n">
        <f aca="false">MIN(G120,Ordem!$L$7)</f>
        <v>0</v>
      </c>
      <c r="I120" s="43" t="n">
        <f aca="false">MAX(0,MIN(G120-H120,$B120-(E120)))</f>
        <v>0</v>
      </c>
      <c r="J120" s="43" t="n">
        <f aca="false">MAX(0,G120-H120-I120)</f>
        <v>0</v>
      </c>
      <c r="K120" s="43" t="n">
        <f aca="false">IF(N119&gt;0.005,N119*(1+Ordem!$K$8),0)</f>
        <v>0</v>
      </c>
      <c r="L120" s="43" t="n">
        <f aca="false">MIN(K120,Ordem!$L$8)</f>
        <v>0</v>
      </c>
      <c r="M120" s="43" t="n">
        <f aca="false">MAX(0,MIN(K120-L120,$B120-(E120+I120)))</f>
        <v>0</v>
      </c>
      <c r="N120" s="43" t="n">
        <f aca="false">MAX(0,K120-L120-M120)</f>
        <v>0</v>
      </c>
      <c r="O120" s="43" t="n">
        <f aca="false">IF(R119&gt;0.005,R119*(1+Ordem!$K$9),0)</f>
        <v>0</v>
      </c>
      <c r="P120" s="43" t="n">
        <f aca="false">MIN(O120,Ordem!$L$9)</f>
        <v>0</v>
      </c>
      <c r="Q120" s="43" t="n">
        <f aca="false">MAX(0,MIN(O120-P120,$B120-(E120+I120+M120)))</f>
        <v>0</v>
      </c>
      <c r="R120" s="43" t="n">
        <f aca="false">MAX(0,O120-P120-Q120)</f>
        <v>0</v>
      </c>
      <c r="S120" s="43" t="n">
        <f aca="false">IF(V119&gt;0.005,V119*(1+Ordem!$K$10),0)</f>
        <v>0</v>
      </c>
      <c r="T120" s="43" t="n">
        <f aca="false">MIN(S120,Ordem!$L$10)</f>
        <v>0</v>
      </c>
      <c r="U120" s="43" t="n">
        <f aca="false">MAX(0,MIN(S120-T120,$B120-(E120+I120+M120+Q120)))</f>
        <v>0</v>
      </c>
      <c r="V120" s="43" t="n">
        <f aca="false">MAX(0,S120-T120-U120)</f>
        <v>0</v>
      </c>
      <c r="W120" s="43" t="n">
        <f aca="false">IF(Z119&gt;0.005,Z119*(1+Ordem!$K$11),0)</f>
        <v>0</v>
      </c>
      <c r="X120" s="43" t="n">
        <f aca="false">MIN(W120,Ordem!$L$11)</f>
        <v>0</v>
      </c>
      <c r="Y120" s="43" t="n">
        <f aca="false">MAX(0,MIN(W120-X120,$B120-(E120+I120+M120+Q120+U120)))</f>
        <v>0</v>
      </c>
      <c r="Z120" s="43" t="n">
        <f aca="false">MAX(0,W120-X120-Y120)</f>
        <v>0</v>
      </c>
      <c r="AA120" s="43" t="n">
        <f aca="false">IF(AD119&gt;0.005,AD119*(1+Ordem!$K$12),0)</f>
        <v>0</v>
      </c>
      <c r="AB120" s="43" t="n">
        <f aca="false">MIN(AA120,Ordem!$L$12)</f>
        <v>0</v>
      </c>
      <c r="AC120" s="43" t="n">
        <f aca="false">MAX(0,MIN(AA120-AB120,$B120-(E120+I120+M120+Q120+U120+Y120)))</f>
        <v>0</v>
      </c>
      <c r="AD120" s="43" t="n">
        <f aca="false">MAX(0,AA120-AB120-AC120)</f>
        <v>0</v>
      </c>
      <c r="AE120" s="43" t="n">
        <f aca="false">IF(AH119&gt;0.005,AH119*(1+Ordem!$K$13),0)</f>
        <v>0</v>
      </c>
      <c r="AF120" s="43" t="n">
        <f aca="false">MIN(AE120,Ordem!$L$13)</f>
        <v>0</v>
      </c>
      <c r="AG120" s="43" t="n">
        <f aca="false">MAX(0,MIN(AE120-AF120,$B120-(E120+I120+M120+Q120+U120+Y120+AC120)))</f>
        <v>0</v>
      </c>
      <c r="AH120" s="43" t="n">
        <f aca="false">MAX(0,AE120-AF120-AG120)</f>
        <v>0</v>
      </c>
      <c r="AI120" s="43" t="n">
        <f aca="false">IF(AL119&gt;0.005,AL119*(1+Ordem!$K$14),0)</f>
        <v>0</v>
      </c>
      <c r="AJ120" s="43" t="n">
        <f aca="false">MIN(AI120,Ordem!$L$14)</f>
        <v>0</v>
      </c>
      <c r="AK120" s="43" t="n">
        <f aca="false">MAX(0,MIN(AI120-AJ120,$B120-(E120+I120+M120+Q120+U120+Y120+AC120+AG120)))</f>
        <v>0</v>
      </c>
      <c r="AL120" s="43" t="n">
        <f aca="false">MAX(0,AI120-AJ120-AK120)</f>
        <v>0</v>
      </c>
      <c r="AM120" s="43" t="n">
        <f aca="false">IF(AP119&gt;0.005,AP119*(1+Ordem!$K$15),0)</f>
        <v>0</v>
      </c>
      <c r="AN120" s="43" t="n">
        <f aca="false">MIN(AM120,Ordem!$L$15)</f>
        <v>0</v>
      </c>
      <c r="AO120" s="43" t="n">
        <f aca="false">MAX(0,MIN(AM120-AN120,$B120-(E120+I120+M120+Q120+U120+Y120+AC120+AG120+AK120)))</f>
        <v>0</v>
      </c>
      <c r="AP120" s="43" t="n">
        <f aca="false">MAX(0,AM120-AN120-AO120)</f>
        <v>0</v>
      </c>
      <c r="AQ120" s="43" t="n">
        <f aca="false">F120+J120+N120+R120+V120+Z120+AD120+AH120+AL120+AP120</f>
        <v>0</v>
      </c>
      <c r="AR120" s="43" t="n">
        <f aca="false">D120+E120+H120+I120+L120+M120+P120+Q120+T120+U120+X120+Y120+AB120+AC120+AF120+AG120+AJ120+AK120+AN120+AO120</f>
        <v>0</v>
      </c>
    </row>
    <row r="121" customFormat="false" ht="15" hidden="false" customHeight="false" outlineLevel="0" collapsed="false">
      <c r="A121" s="0" t="n">
        <v>117</v>
      </c>
      <c r="B121" s="43" t="n">
        <f aca="false">MAX(0,Dívidas!$C$20-(D121+H121+L121+P121+T121+X121+AB121+AF121+AJ121+AN121))</f>
        <v>1450</v>
      </c>
      <c r="C121" s="43" t="n">
        <f aca="false">IF(F120&gt;0.005,F120*(1+Ordem!$K$6),0)</f>
        <v>0</v>
      </c>
      <c r="D121" s="43" t="n">
        <f aca="false">MIN(C121,Ordem!$L$6)</f>
        <v>0</v>
      </c>
      <c r="E121" s="43" t="n">
        <f aca="false">MAX(0,MIN(C121-D121,$B121-(0)))</f>
        <v>0</v>
      </c>
      <c r="F121" s="43" t="n">
        <f aca="false">MAX(0,C121-D121-E121)</f>
        <v>0</v>
      </c>
      <c r="G121" s="43" t="n">
        <f aca="false">IF(J120&gt;0.005,J120*(1+Ordem!$K$7),0)</f>
        <v>0</v>
      </c>
      <c r="H121" s="43" t="n">
        <f aca="false">MIN(G121,Ordem!$L$7)</f>
        <v>0</v>
      </c>
      <c r="I121" s="43" t="n">
        <f aca="false">MAX(0,MIN(G121-H121,$B121-(E121)))</f>
        <v>0</v>
      </c>
      <c r="J121" s="43" t="n">
        <f aca="false">MAX(0,G121-H121-I121)</f>
        <v>0</v>
      </c>
      <c r="K121" s="43" t="n">
        <f aca="false">IF(N120&gt;0.005,N120*(1+Ordem!$K$8),0)</f>
        <v>0</v>
      </c>
      <c r="L121" s="43" t="n">
        <f aca="false">MIN(K121,Ordem!$L$8)</f>
        <v>0</v>
      </c>
      <c r="M121" s="43" t="n">
        <f aca="false">MAX(0,MIN(K121-L121,$B121-(E121+I121)))</f>
        <v>0</v>
      </c>
      <c r="N121" s="43" t="n">
        <f aca="false">MAX(0,K121-L121-M121)</f>
        <v>0</v>
      </c>
      <c r="O121" s="43" t="n">
        <f aca="false">IF(R120&gt;0.005,R120*(1+Ordem!$K$9),0)</f>
        <v>0</v>
      </c>
      <c r="P121" s="43" t="n">
        <f aca="false">MIN(O121,Ordem!$L$9)</f>
        <v>0</v>
      </c>
      <c r="Q121" s="43" t="n">
        <f aca="false">MAX(0,MIN(O121-P121,$B121-(E121+I121+M121)))</f>
        <v>0</v>
      </c>
      <c r="R121" s="43" t="n">
        <f aca="false">MAX(0,O121-P121-Q121)</f>
        <v>0</v>
      </c>
      <c r="S121" s="43" t="n">
        <f aca="false">IF(V120&gt;0.005,V120*(1+Ordem!$K$10),0)</f>
        <v>0</v>
      </c>
      <c r="T121" s="43" t="n">
        <f aca="false">MIN(S121,Ordem!$L$10)</f>
        <v>0</v>
      </c>
      <c r="U121" s="43" t="n">
        <f aca="false">MAX(0,MIN(S121-T121,$B121-(E121+I121+M121+Q121)))</f>
        <v>0</v>
      </c>
      <c r="V121" s="43" t="n">
        <f aca="false">MAX(0,S121-T121-U121)</f>
        <v>0</v>
      </c>
      <c r="W121" s="43" t="n">
        <f aca="false">IF(Z120&gt;0.005,Z120*(1+Ordem!$K$11),0)</f>
        <v>0</v>
      </c>
      <c r="X121" s="43" t="n">
        <f aca="false">MIN(W121,Ordem!$L$11)</f>
        <v>0</v>
      </c>
      <c r="Y121" s="43" t="n">
        <f aca="false">MAX(0,MIN(W121-X121,$B121-(E121+I121+M121+Q121+U121)))</f>
        <v>0</v>
      </c>
      <c r="Z121" s="43" t="n">
        <f aca="false">MAX(0,W121-X121-Y121)</f>
        <v>0</v>
      </c>
      <c r="AA121" s="43" t="n">
        <f aca="false">IF(AD120&gt;0.005,AD120*(1+Ordem!$K$12),0)</f>
        <v>0</v>
      </c>
      <c r="AB121" s="43" t="n">
        <f aca="false">MIN(AA121,Ordem!$L$12)</f>
        <v>0</v>
      </c>
      <c r="AC121" s="43" t="n">
        <f aca="false">MAX(0,MIN(AA121-AB121,$B121-(E121+I121+M121+Q121+U121+Y121)))</f>
        <v>0</v>
      </c>
      <c r="AD121" s="43" t="n">
        <f aca="false">MAX(0,AA121-AB121-AC121)</f>
        <v>0</v>
      </c>
      <c r="AE121" s="43" t="n">
        <f aca="false">IF(AH120&gt;0.005,AH120*(1+Ordem!$K$13),0)</f>
        <v>0</v>
      </c>
      <c r="AF121" s="43" t="n">
        <f aca="false">MIN(AE121,Ordem!$L$13)</f>
        <v>0</v>
      </c>
      <c r="AG121" s="43" t="n">
        <f aca="false">MAX(0,MIN(AE121-AF121,$B121-(E121+I121+M121+Q121+U121+Y121+AC121)))</f>
        <v>0</v>
      </c>
      <c r="AH121" s="43" t="n">
        <f aca="false">MAX(0,AE121-AF121-AG121)</f>
        <v>0</v>
      </c>
      <c r="AI121" s="43" t="n">
        <f aca="false">IF(AL120&gt;0.005,AL120*(1+Ordem!$K$14),0)</f>
        <v>0</v>
      </c>
      <c r="AJ121" s="43" t="n">
        <f aca="false">MIN(AI121,Ordem!$L$14)</f>
        <v>0</v>
      </c>
      <c r="AK121" s="43" t="n">
        <f aca="false">MAX(0,MIN(AI121-AJ121,$B121-(E121+I121+M121+Q121+U121+Y121+AC121+AG121)))</f>
        <v>0</v>
      </c>
      <c r="AL121" s="43" t="n">
        <f aca="false">MAX(0,AI121-AJ121-AK121)</f>
        <v>0</v>
      </c>
      <c r="AM121" s="43" t="n">
        <f aca="false">IF(AP120&gt;0.005,AP120*(1+Ordem!$K$15),0)</f>
        <v>0</v>
      </c>
      <c r="AN121" s="43" t="n">
        <f aca="false">MIN(AM121,Ordem!$L$15)</f>
        <v>0</v>
      </c>
      <c r="AO121" s="43" t="n">
        <f aca="false">MAX(0,MIN(AM121-AN121,$B121-(E121+I121+M121+Q121+U121+Y121+AC121+AG121+AK121)))</f>
        <v>0</v>
      </c>
      <c r="AP121" s="43" t="n">
        <f aca="false">MAX(0,AM121-AN121-AO121)</f>
        <v>0</v>
      </c>
      <c r="AQ121" s="43" t="n">
        <f aca="false">F121+J121+N121+R121+V121+Z121+AD121+AH121+AL121+AP121</f>
        <v>0</v>
      </c>
      <c r="AR121" s="43" t="n">
        <f aca="false">D121+E121+H121+I121+L121+M121+P121+Q121+T121+U121+X121+Y121+AB121+AC121+AF121+AG121+AJ121+AK121+AN121+AO121</f>
        <v>0</v>
      </c>
    </row>
    <row r="122" customFormat="false" ht="15" hidden="false" customHeight="false" outlineLevel="0" collapsed="false">
      <c r="A122" s="0" t="n">
        <v>118</v>
      </c>
      <c r="B122" s="43" t="n">
        <f aca="false">MAX(0,Dívidas!$C$20-(D122+H122+L122+P122+T122+X122+AB122+AF122+AJ122+AN122))</f>
        <v>1450</v>
      </c>
      <c r="C122" s="43" t="n">
        <f aca="false">IF(F121&gt;0.005,F121*(1+Ordem!$K$6),0)</f>
        <v>0</v>
      </c>
      <c r="D122" s="43" t="n">
        <f aca="false">MIN(C122,Ordem!$L$6)</f>
        <v>0</v>
      </c>
      <c r="E122" s="43" t="n">
        <f aca="false">MAX(0,MIN(C122-D122,$B122-(0)))</f>
        <v>0</v>
      </c>
      <c r="F122" s="43" t="n">
        <f aca="false">MAX(0,C122-D122-E122)</f>
        <v>0</v>
      </c>
      <c r="G122" s="43" t="n">
        <f aca="false">IF(J121&gt;0.005,J121*(1+Ordem!$K$7),0)</f>
        <v>0</v>
      </c>
      <c r="H122" s="43" t="n">
        <f aca="false">MIN(G122,Ordem!$L$7)</f>
        <v>0</v>
      </c>
      <c r="I122" s="43" t="n">
        <f aca="false">MAX(0,MIN(G122-H122,$B122-(E122)))</f>
        <v>0</v>
      </c>
      <c r="J122" s="43" t="n">
        <f aca="false">MAX(0,G122-H122-I122)</f>
        <v>0</v>
      </c>
      <c r="K122" s="43" t="n">
        <f aca="false">IF(N121&gt;0.005,N121*(1+Ordem!$K$8),0)</f>
        <v>0</v>
      </c>
      <c r="L122" s="43" t="n">
        <f aca="false">MIN(K122,Ordem!$L$8)</f>
        <v>0</v>
      </c>
      <c r="M122" s="43" t="n">
        <f aca="false">MAX(0,MIN(K122-L122,$B122-(E122+I122)))</f>
        <v>0</v>
      </c>
      <c r="N122" s="43" t="n">
        <f aca="false">MAX(0,K122-L122-M122)</f>
        <v>0</v>
      </c>
      <c r="O122" s="43" t="n">
        <f aca="false">IF(R121&gt;0.005,R121*(1+Ordem!$K$9),0)</f>
        <v>0</v>
      </c>
      <c r="P122" s="43" t="n">
        <f aca="false">MIN(O122,Ordem!$L$9)</f>
        <v>0</v>
      </c>
      <c r="Q122" s="43" t="n">
        <f aca="false">MAX(0,MIN(O122-P122,$B122-(E122+I122+M122)))</f>
        <v>0</v>
      </c>
      <c r="R122" s="43" t="n">
        <f aca="false">MAX(0,O122-P122-Q122)</f>
        <v>0</v>
      </c>
      <c r="S122" s="43" t="n">
        <f aca="false">IF(V121&gt;0.005,V121*(1+Ordem!$K$10),0)</f>
        <v>0</v>
      </c>
      <c r="T122" s="43" t="n">
        <f aca="false">MIN(S122,Ordem!$L$10)</f>
        <v>0</v>
      </c>
      <c r="U122" s="43" t="n">
        <f aca="false">MAX(0,MIN(S122-T122,$B122-(E122+I122+M122+Q122)))</f>
        <v>0</v>
      </c>
      <c r="V122" s="43" t="n">
        <f aca="false">MAX(0,S122-T122-U122)</f>
        <v>0</v>
      </c>
      <c r="W122" s="43" t="n">
        <f aca="false">IF(Z121&gt;0.005,Z121*(1+Ordem!$K$11),0)</f>
        <v>0</v>
      </c>
      <c r="X122" s="43" t="n">
        <f aca="false">MIN(W122,Ordem!$L$11)</f>
        <v>0</v>
      </c>
      <c r="Y122" s="43" t="n">
        <f aca="false">MAX(0,MIN(W122-X122,$B122-(E122+I122+M122+Q122+U122)))</f>
        <v>0</v>
      </c>
      <c r="Z122" s="43" t="n">
        <f aca="false">MAX(0,W122-X122-Y122)</f>
        <v>0</v>
      </c>
      <c r="AA122" s="43" t="n">
        <f aca="false">IF(AD121&gt;0.005,AD121*(1+Ordem!$K$12),0)</f>
        <v>0</v>
      </c>
      <c r="AB122" s="43" t="n">
        <f aca="false">MIN(AA122,Ordem!$L$12)</f>
        <v>0</v>
      </c>
      <c r="AC122" s="43" t="n">
        <f aca="false">MAX(0,MIN(AA122-AB122,$B122-(E122+I122+M122+Q122+U122+Y122)))</f>
        <v>0</v>
      </c>
      <c r="AD122" s="43" t="n">
        <f aca="false">MAX(0,AA122-AB122-AC122)</f>
        <v>0</v>
      </c>
      <c r="AE122" s="43" t="n">
        <f aca="false">IF(AH121&gt;0.005,AH121*(1+Ordem!$K$13),0)</f>
        <v>0</v>
      </c>
      <c r="AF122" s="43" t="n">
        <f aca="false">MIN(AE122,Ordem!$L$13)</f>
        <v>0</v>
      </c>
      <c r="AG122" s="43" t="n">
        <f aca="false">MAX(0,MIN(AE122-AF122,$B122-(E122+I122+M122+Q122+U122+Y122+AC122)))</f>
        <v>0</v>
      </c>
      <c r="AH122" s="43" t="n">
        <f aca="false">MAX(0,AE122-AF122-AG122)</f>
        <v>0</v>
      </c>
      <c r="AI122" s="43" t="n">
        <f aca="false">IF(AL121&gt;0.005,AL121*(1+Ordem!$K$14),0)</f>
        <v>0</v>
      </c>
      <c r="AJ122" s="43" t="n">
        <f aca="false">MIN(AI122,Ordem!$L$14)</f>
        <v>0</v>
      </c>
      <c r="AK122" s="43" t="n">
        <f aca="false">MAX(0,MIN(AI122-AJ122,$B122-(E122+I122+M122+Q122+U122+Y122+AC122+AG122)))</f>
        <v>0</v>
      </c>
      <c r="AL122" s="43" t="n">
        <f aca="false">MAX(0,AI122-AJ122-AK122)</f>
        <v>0</v>
      </c>
      <c r="AM122" s="43" t="n">
        <f aca="false">IF(AP121&gt;0.005,AP121*(1+Ordem!$K$15),0)</f>
        <v>0</v>
      </c>
      <c r="AN122" s="43" t="n">
        <f aca="false">MIN(AM122,Ordem!$L$15)</f>
        <v>0</v>
      </c>
      <c r="AO122" s="43" t="n">
        <f aca="false">MAX(0,MIN(AM122-AN122,$B122-(E122+I122+M122+Q122+U122+Y122+AC122+AG122+AK122)))</f>
        <v>0</v>
      </c>
      <c r="AP122" s="43" t="n">
        <f aca="false">MAX(0,AM122-AN122-AO122)</f>
        <v>0</v>
      </c>
      <c r="AQ122" s="43" t="n">
        <f aca="false">F122+J122+N122+R122+V122+Z122+AD122+AH122+AL122+AP122</f>
        <v>0</v>
      </c>
      <c r="AR122" s="43" t="n">
        <f aca="false">D122+E122+H122+I122+L122+M122+P122+Q122+T122+U122+X122+Y122+AB122+AC122+AF122+AG122+AJ122+AK122+AN122+AO122</f>
        <v>0</v>
      </c>
    </row>
    <row r="123" customFormat="false" ht="15" hidden="false" customHeight="false" outlineLevel="0" collapsed="false">
      <c r="A123" s="0" t="n">
        <v>119</v>
      </c>
      <c r="B123" s="43" t="n">
        <f aca="false">MAX(0,Dívidas!$C$20-(D123+H123+L123+P123+T123+X123+AB123+AF123+AJ123+AN123))</f>
        <v>1450</v>
      </c>
      <c r="C123" s="43" t="n">
        <f aca="false">IF(F122&gt;0.005,F122*(1+Ordem!$K$6),0)</f>
        <v>0</v>
      </c>
      <c r="D123" s="43" t="n">
        <f aca="false">MIN(C123,Ordem!$L$6)</f>
        <v>0</v>
      </c>
      <c r="E123" s="43" t="n">
        <f aca="false">MAX(0,MIN(C123-D123,$B123-(0)))</f>
        <v>0</v>
      </c>
      <c r="F123" s="43" t="n">
        <f aca="false">MAX(0,C123-D123-E123)</f>
        <v>0</v>
      </c>
      <c r="G123" s="43" t="n">
        <f aca="false">IF(J122&gt;0.005,J122*(1+Ordem!$K$7),0)</f>
        <v>0</v>
      </c>
      <c r="H123" s="43" t="n">
        <f aca="false">MIN(G123,Ordem!$L$7)</f>
        <v>0</v>
      </c>
      <c r="I123" s="43" t="n">
        <f aca="false">MAX(0,MIN(G123-H123,$B123-(E123)))</f>
        <v>0</v>
      </c>
      <c r="J123" s="43" t="n">
        <f aca="false">MAX(0,G123-H123-I123)</f>
        <v>0</v>
      </c>
      <c r="K123" s="43" t="n">
        <f aca="false">IF(N122&gt;0.005,N122*(1+Ordem!$K$8),0)</f>
        <v>0</v>
      </c>
      <c r="L123" s="43" t="n">
        <f aca="false">MIN(K123,Ordem!$L$8)</f>
        <v>0</v>
      </c>
      <c r="M123" s="43" t="n">
        <f aca="false">MAX(0,MIN(K123-L123,$B123-(E123+I123)))</f>
        <v>0</v>
      </c>
      <c r="N123" s="43" t="n">
        <f aca="false">MAX(0,K123-L123-M123)</f>
        <v>0</v>
      </c>
      <c r="O123" s="43" t="n">
        <f aca="false">IF(R122&gt;0.005,R122*(1+Ordem!$K$9),0)</f>
        <v>0</v>
      </c>
      <c r="P123" s="43" t="n">
        <f aca="false">MIN(O123,Ordem!$L$9)</f>
        <v>0</v>
      </c>
      <c r="Q123" s="43" t="n">
        <f aca="false">MAX(0,MIN(O123-P123,$B123-(E123+I123+M123)))</f>
        <v>0</v>
      </c>
      <c r="R123" s="43" t="n">
        <f aca="false">MAX(0,O123-P123-Q123)</f>
        <v>0</v>
      </c>
      <c r="S123" s="43" t="n">
        <f aca="false">IF(V122&gt;0.005,V122*(1+Ordem!$K$10),0)</f>
        <v>0</v>
      </c>
      <c r="T123" s="43" t="n">
        <f aca="false">MIN(S123,Ordem!$L$10)</f>
        <v>0</v>
      </c>
      <c r="U123" s="43" t="n">
        <f aca="false">MAX(0,MIN(S123-T123,$B123-(E123+I123+M123+Q123)))</f>
        <v>0</v>
      </c>
      <c r="V123" s="43" t="n">
        <f aca="false">MAX(0,S123-T123-U123)</f>
        <v>0</v>
      </c>
      <c r="W123" s="43" t="n">
        <f aca="false">IF(Z122&gt;0.005,Z122*(1+Ordem!$K$11),0)</f>
        <v>0</v>
      </c>
      <c r="X123" s="43" t="n">
        <f aca="false">MIN(W123,Ordem!$L$11)</f>
        <v>0</v>
      </c>
      <c r="Y123" s="43" t="n">
        <f aca="false">MAX(0,MIN(W123-X123,$B123-(E123+I123+M123+Q123+U123)))</f>
        <v>0</v>
      </c>
      <c r="Z123" s="43" t="n">
        <f aca="false">MAX(0,W123-X123-Y123)</f>
        <v>0</v>
      </c>
      <c r="AA123" s="43" t="n">
        <f aca="false">IF(AD122&gt;0.005,AD122*(1+Ordem!$K$12),0)</f>
        <v>0</v>
      </c>
      <c r="AB123" s="43" t="n">
        <f aca="false">MIN(AA123,Ordem!$L$12)</f>
        <v>0</v>
      </c>
      <c r="AC123" s="43" t="n">
        <f aca="false">MAX(0,MIN(AA123-AB123,$B123-(E123+I123+M123+Q123+U123+Y123)))</f>
        <v>0</v>
      </c>
      <c r="AD123" s="43" t="n">
        <f aca="false">MAX(0,AA123-AB123-AC123)</f>
        <v>0</v>
      </c>
      <c r="AE123" s="43" t="n">
        <f aca="false">IF(AH122&gt;0.005,AH122*(1+Ordem!$K$13),0)</f>
        <v>0</v>
      </c>
      <c r="AF123" s="43" t="n">
        <f aca="false">MIN(AE123,Ordem!$L$13)</f>
        <v>0</v>
      </c>
      <c r="AG123" s="43" t="n">
        <f aca="false">MAX(0,MIN(AE123-AF123,$B123-(E123+I123+M123+Q123+U123+Y123+AC123)))</f>
        <v>0</v>
      </c>
      <c r="AH123" s="43" t="n">
        <f aca="false">MAX(0,AE123-AF123-AG123)</f>
        <v>0</v>
      </c>
      <c r="AI123" s="43" t="n">
        <f aca="false">IF(AL122&gt;0.005,AL122*(1+Ordem!$K$14),0)</f>
        <v>0</v>
      </c>
      <c r="AJ123" s="43" t="n">
        <f aca="false">MIN(AI123,Ordem!$L$14)</f>
        <v>0</v>
      </c>
      <c r="AK123" s="43" t="n">
        <f aca="false">MAX(0,MIN(AI123-AJ123,$B123-(E123+I123+M123+Q123+U123+Y123+AC123+AG123)))</f>
        <v>0</v>
      </c>
      <c r="AL123" s="43" t="n">
        <f aca="false">MAX(0,AI123-AJ123-AK123)</f>
        <v>0</v>
      </c>
      <c r="AM123" s="43" t="n">
        <f aca="false">IF(AP122&gt;0.005,AP122*(1+Ordem!$K$15),0)</f>
        <v>0</v>
      </c>
      <c r="AN123" s="43" t="n">
        <f aca="false">MIN(AM123,Ordem!$L$15)</f>
        <v>0</v>
      </c>
      <c r="AO123" s="43" t="n">
        <f aca="false">MAX(0,MIN(AM123-AN123,$B123-(E123+I123+M123+Q123+U123+Y123+AC123+AG123+AK123)))</f>
        <v>0</v>
      </c>
      <c r="AP123" s="43" t="n">
        <f aca="false">MAX(0,AM123-AN123-AO123)</f>
        <v>0</v>
      </c>
      <c r="AQ123" s="43" t="n">
        <f aca="false">F123+J123+N123+R123+V123+Z123+AD123+AH123+AL123+AP123</f>
        <v>0</v>
      </c>
      <c r="AR123" s="43" t="n">
        <f aca="false">D123+E123+H123+I123+L123+M123+P123+Q123+T123+U123+X123+Y123+AB123+AC123+AF123+AG123+AJ123+AK123+AN123+AO123</f>
        <v>0</v>
      </c>
    </row>
    <row r="124" customFormat="false" ht="15" hidden="false" customHeight="false" outlineLevel="0" collapsed="false">
      <c r="A124" s="0" t="n">
        <v>120</v>
      </c>
      <c r="B124" s="43" t="n">
        <f aca="false">MAX(0,Dívidas!$C$20-(D124+H124+L124+P124+T124+X124+AB124+AF124+AJ124+AN124))</f>
        <v>1450</v>
      </c>
      <c r="C124" s="43" t="n">
        <f aca="false">IF(F123&gt;0.005,F123*(1+Ordem!$K$6),0)</f>
        <v>0</v>
      </c>
      <c r="D124" s="43" t="n">
        <f aca="false">MIN(C124,Ordem!$L$6)</f>
        <v>0</v>
      </c>
      <c r="E124" s="43" t="n">
        <f aca="false">MAX(0,MIN(C124-D124,$B124-(0)))</f>
        <v>0</v>
      </c>
      <c r="F124" s="43" t="n">
        <f aca="false">MAX(0,C124-D124-E124)</f>
        <v>0</v>
      </c>
      <c r="G124" s="43" t="n">
        <f aca="false">IF(J123&gt;0.005,J123*(1+Ordem!$K$7),0)</f>
        <v>0</v>
      </c>
      <c r="H124" s="43" t="n">
        <f aca="false">MIN(G124,Ordem!$L$7)</f>
        <v>0</v>
      </c>
      <c r="I124" s="43" t="n">
        <f aca="false">MAX(0,MIN(G124-H124,$B124-(E124)))</f>
        <v>0</v>
      </c>
      <c r="J124" s="43" t="n">
        <f aca="false">MAX(0,G124-H124-I124)</f>
        <v>0</v>
      </c>
      <c r="K124" s="43" t="n">
        <f aca="false">IF(N123&gt;0.005,N123*(1+Ordem!$K$8),0)</f>
        <v>0</v>
      </c>
      <c r="L124" s="43" t="n">
        <f aca="false">MIN(K124,Ordem!$L$8)</f>
        <v>0</v>
      </c>
      <c r="M124" s="43" t="n">
        <f aca="false">MAX(0,MIN(K124-L124,$B124-(E124+I124)))</f>
        <v>0</v>
      </c>
      <c r="N124" s="43" t="n">
        <f aca="false">MAX(0,K124-L124-M124)</f>
        <v>0</v>
      </c>
      <c r="O124" s="43" t="n">
        <f aca="false">IF(R123&gt;0.005,R123*(1+Ordem!$K$9),0)</f>
        <v>0</v>
      </c>
      <c r="P124" s="43" t="n">
        <f aca="false">MIN(O124,Ordem!$L$9)</f>
        <v>0</v>
      </c>
      <c r="Q124" s="43" t="n">
        <f aca="false">MAX(0,MIN(O124-P124,$B124-(E124+I124+M124)))</f>
        <v>0</v>
      </c>
      <c r="R124" s="43" t="n">
        <f aca="false">MAX(0,O124-P124-Q124)</f>
        <v>0</v>
      </c>
      <c r="S124" s="43" t="n">
        <f aca="false">IF(V123&gt;0.005,V123*(1+Ordem!$K$10),0)</f>
        <v>0</v>
      </c>
      <c r="T124" s="43" t="n">
        <f aca="false">MIN(S124,Ordem!$L$10)</f>
        <v>0</v>
      </c>
      <c r="U124" s="43" t="n">
        <f aca="false">MAX(0,MIN(S124-T124,$B124-(E124+I124+M124+Q124)))</f>
        <v>0</v>
      </c>
      <c r="V124" s="43" t="n">
        <f aca="false">MAX(0,S124-T124-U124)</f>
        <v>0</v>
      </c>
      <c r="W124" s="43" t="n">
        <f aca="false">IF(Z123&gt;0.005,Z123*(1+Ordem!$K$11),0)</f>
        <v>0</v>
      </c>
      <c r="X124" s="43" t="n">
        <f aca="false">MIN(W124,Ordem!$L$11)</f>
        <v>0</v>
      </c>
      <c r="Y124" s="43" t="n">
        <f aca="false">MAX(0,MIN(W124-X124,$B124-(E124+I124+M124+Q124+U124)))</f>
        <v>0</v>
      </c>
      <c r="Z124" s="43" t="n">
        <f aca="false">MAX(0,W124-X124-Y124)</f>
        <v>0</v>
      </c>
      <c r="AA124" s="43" t="n">
        <f aca="false">IF(AD123&gt;0.005,AD123*(1+Ordem!$K$12),0)</f>
        <v>0</v>
      </c>
      <c r="AB124" s="43" t="n">
        <f aca="false">MIN(AA124,Ordem!$L$12)</f>
        <v>0</v>
      </c>
      <c r="AC124" s="43" t="n">
        <f aca="false">MAX(0,MIN(AA124-AB124,$B124-(E124+I124+M124+Q124+U124+Y124)))</f>
        <v>0</v>
      </c>
      <c r="AD124" s="43" t="n">
        <f aca="false">MAX(0,AA124-AB124-AC124)</f>
        <v>0</v>
      </c>
      <c r="AE124" s="43" t="n">
        <f aca="false">IF(AH123&gt;0.005,AH123*(1+Ordem!$K$13),0)</f>
        <v>0</v>
      </c>
      <c r="AF124" s="43" t="n">
        <f aca="false">MIN(AE124,Ordem!$L$13)</f>
        <v>0</v>
      </c>
      <c r="AG124" s="43" t="n">
        <f aca="false">MAX(0,MIN(AE124-AF124,$B124-(E124+I124+M124+Q124+U124+Y124+AC124)))</f>
        <v>0</v>
      </c>
      <c r="AH124" s="43" t="n">
        <f aca="false">MAX(0,AE124-AF124-AG124)</f>
        <v>0</v>
      </c>
      <c r="AI124" s="43" t="n">
        <f aca="false">IF(AL123&gt;0.005,AL123*(1+Ordem!$K$14),0)</f>
        <v>0</v>
      </c>
      <c r="AJ124" s="43" t="n">
        <f aca="false">MIN(AI124,Ordem!$L$14)</f>
        <v>0</v>
      </c>
      <c r="AK124" s="43" t="n">
        <f aca="false">MAX(0,MIN(AI124-AJ124,$B124-(E124+I124+M124+Q124+U124+Y124+AC124+AG124)))</f>
        <v>0</v>
      </c>
      <c r="AL124" s="43" t="n">
        <f aca="false">MAX(0,AI124-AJ124-AK124)</f>
        <v>0</v>
      </c>
      <c r="AM124" s="43" t="n">
        <f aca="false">IF(AP123&gt;0.005,AP123*(1+Ordem!$K$15),0)</f>
        <v>0</v>
      </c>
      <c r="AN124" s="43" t="n">
        <f aca="false">MIN(AM124,Ordem!$L$15)</f>
        <v>0</v>
      </c>
      <c r="AO124" s="43" t="n">
        <f aca="false">MAX(0,MIN(AM124-AN124,$B124-(E124+I124+M124+Q124+U124+Y124+AC124+AG124+AK124)))</f>
        <v>0</v>
      </c>
      <c r="AP124" s="43" t="n">
        <f aca="false">MAX(0,AM124-AN124-AO124)</f>
        <v>0</v>
      </c>
      <c r="AQ124" s="43" t="n">
        <f aca="false">F124+J124+N124+R124+V124+Z124+AD124+AH124+AL124+AP124</f>
        <v>0</v>
      </c>
      <c r="AR124" s="43" t="n">
        <f aca="false">D124+E124+H124+I124+L124+M124+P124+Q124+T124+U124+X124+Y124+AB124+AC124+AF124+AG124+AJ124+AK124+AN124+AO124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2026-10-18T03:22:44Z</dcterms:created>
  <dc:creator>openpyxl</dc:creator>
  <dc:description/>
  <dc:language>en-US</dc:language>
  <cp:lastModifiedBy/>
  <dcterms:modified xsi:type="dcterms:W3CDTF">2026-10-18T03:22:48Z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