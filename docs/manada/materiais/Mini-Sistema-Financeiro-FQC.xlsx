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Painel" sheetId="2" state="visible" r:id="rId4"/>
    <sheet name="Categorias" sheetId="3" state="visible" r:id="rId5"/>
    <sheet name="Lançamentos" sheetId="4" state="visible" r:id="rId6"/>
    <sheet name="Met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<sst xmlns="http://schemas.openxmlformats.org/spreadsheetml/2006/main" count="217" uniqueCount="120">
  <si>
    <t xml:space="preserve">Seu mini sistema financeiro</t>
  </si>
  <si>
    <t xml:space="preserve">Finanças que Curam · Grupo FQC · Comunidade Manada · Por Aline Seabra</t>
  </si>
  <si>
    <t xml:space="preserve">O segredo não é a planilha perfeita. É a rotina: 10 minutos por semana para lançar e olhar o painel.</t>
  </si>
  <si>
    <t xml:space="preserve">Como preencher</t>
  </si>
  <si>
    <t xml:space="preserve">1. Na aba Lançamentos, registre cada entrada e cada gasto: data, descrição, categoria, valor, forma de pagamento e a emoção do momento.</t>
  </si>
  <si>
    <t xml:space="preserve">2. A categoria define o grupo sozinha (Entrada, Fixo, Variável, Dívida ou Guardado). Para criar categorias, use a aba Categorias.</t>
  </si>
  <si>
    <t xml:space="preserve">3. Na aba Metas, liste seus objetivos e quanto já guardou para cada um.</t>
  </si>
  <si>
    <t xml:space="preserve">4. No Painel, troque o mês de referência para ver qualquer mês: totais, os 4 indicadores, gastos por categoria e por emoção.</t>
  </si>
  <si>
    <t xml:space="preserve">5. Rotina sugerida: lançar no domingo à noite e olhar o painel no dia seguinte ao salário.</t>
  </si>
  <si>
    <t xml:space="preserve">Legenda</t>
  </si>
  <si>
    <t xml:space="preserve">Célula amarela = você preenche.   Texto azul = valor de exemplo.   Texto preto = cálculo automático, não apague.</t>
  </si>
  <si>
    <t xml:space="preserve">Conteúdo educativo. Não é recomendação de investimento.</t>
  </si>
  <si>
    <t xml:space="preserve">Painel do mês</t>
  </si>
  <si>
    <t xml:space="preserve">Mês de referência (use o dia 1)</t>
  </si>
  <si>
    <t xml:space="preserve">O mês em números</t>
  </si>
  <si>
    <t xml:space="preserve">Valor (R$)</t>
  </si>
  <si>
    <t xml:space="preserve">% das entradas</t>
  </si>
  <si>
    <t xml:space="preserve">Gastos por emoção</t>
  </si>
  <si>
    <t xml:space="preserve">% dos variáveis</t>
  </si>
  <si>
    <t xml:space="preserve">Entradas</t>
  </si>
  <si>
    <t xml:space="preserve">Necessidade</t>
  </si>
  <si>
    <t xml:space="preserve">Gastos fixos</t>
  </si>
  <si>
    <t xml:space="preserve">Recompensa</t>
  </si>
  <si>
    <t xml:space="preserve">Gastos variáveis</t>
  </si>
  <si>
    <t xml:space="preserve">Tédio</t>
  </si>
  <si>
    <t xml:space="preserve">Parcelas de dívidas</t>
  </si>
  <si>
    <t xml:space="preserve">Estresse</t>
  </si>
  <si>
    <t xml:space="preserve">Guardado / investido</t>
  </si>
  <si>
    <t xml:space="preserve">Alegria</t>
  </si>
  <si>
    <t xml:space="preserve">Sobra livre do mês</t>
  </si>
  <si>
    <t xml:space="preserve">Pressão social</t>
  </si>
  <si>
    <t xml:space="preserve">Gasto emocional (recompensa + tédio + estresse)</t>
  </si>
  <si>
    <t xml:space="preserve">Seus 4 indicadores</t>
  </si>
  <si>
    <t xml:space="preserve">Número</t>
  </si>
  <si>
    <t xml:space="preserve">Situação</t>
  </si>
  <si>
    <t xml:space="preserve">Taxa de poupança (guardado ÷ entradas)</t>
  </si>
  <si>
    <t xml:space="preserve">Índice de endividamento</t>
  </si>
  <si>
    <t xml:space="preserve">Meses de reserva</t>
  </si>
  <si>
    <t xml:space="preserve">Peso do custo fixo</t>
  </si>
  <si>
    <t xml:space="preserve">Referências da Manada: poupança 10%+, endividamento até 30%, reserva de 3 a 6 meses, custo fixo até 50%.</t>
  </si>
  <si>
    <t xml:space="preserve">Gastos por categoria no mês</t>
  </si>
  <si>
    <t xml:space="preserve">Categorias</t>
  </si>
  <si>
    <t xml:space="preserve">Pode renomear, apagar ou incluir linhas até a linha 45. O grupo define onde o valor entra nos cálculos.</t>
  </si>
  <si>
    <t xml:space="preserve">Categoria</t>
  </si>
  <si>
    <t xml:space="preserve">Grupo</t>
  </si>
  <si>
    <t xml:space="preserve">Salário</t>
  </si>
  <si>
    <t xml:space="preserve">Entrada</t>
  </si>
  <si>
    <t xml:space="preserve">Renda extra</t>
  </si>
  <si>
    <t xml:space="preserve">Outras entradas</t>
  </si>
  <si>
    <t xml:space="preserve">Moradia</t>
  </si>
  <si>
    <t xml:space="preserve">Fixo</t>
  </si>
  <si>
    <t xml:space="preserve">Contas da casa</t>
  </si>
  <si>
    <t xml:space="preserve">Internet e celular</t>
  </si>
  <si>
    <t xml:space="preserve">Educação</t>
  </si>
  <si>
    <t xml:space="preserve">Saúde (plano)</t>
  </si>
  <si>
    <t xml:space="preserve">Assinaturas</t>
  </si>
  <si>
    <t xml:space="preserve">Mercado</t>
  </si>
  <si>
    <t xml:space="preserve">Variável</t>
  </si>
  <si>
    <t xml:space="preserve">Delivery e restaurantes</t>
  </si>
  <si>
    <t xml:space="preserve">Transporte</t>
  </si>
  <si>
    <t xml:space="preserve">Lazer</t>
  </si>
  <si>
    <t xml:space="preserve">Compras pessoais</t>
  </si>
  <si>
    <t xml:space="preserve">Farmácia</t>
  </si>
  <si>
    <t xml:space="preserve">Presentes</t>
  </si>
  <si>
    <t xml:space="preserve">Filhos</t>
  </si>
  <si>
    <t xml:space="preserve">Outros gastos</t>
  </si>
  <si>
    <t xml:space="preserve">Parcela de dívida</t>
  </si>
  <si>
    <t xml:space="preserve">Dívida</t>
  </si>
  <si>
    <t xml:space="preserve">Cartão: fatura anterior</t>
  </si>
  <si>
    <t xml:space="preserve">Reserva de emergência</t>
  </si>
  <si>
    <t xml:space="preserve">Guardado</t>
  </si>
  <si>
    <t xml:space="preserve">Investimentos</t>
  </si>
  <si>
    <t xml:space="preserve">Meta: viagem</t>
  </si>
  <si>
    <t xml:space="preserve">Lançamentos</t>
  </si>
  <si>
    <t xml:space="preserve">Um lançamento por linha. Valores sempre positivos: o grupo da categoria diz se é entrada ou saída.</t>
  </si>
  <si>
    <t xml:space="preserve">Data</t>
  </si>
  <si>
    <t xml:space="preserve">Descrição</t>
  </si>
  <si>
    <t xml:space="preserve">Pagamento</t>
  </si>
  <si>
    <t xml:space="preserve">Emoção</t>
  </si>
  <si>
    <t xml:space="preserve">Mês</t>
  </si>
  <si>
    <t xml:space="preserve">Pix</t>
  </si>
  <si>
    <t xml:space="preserve">Freela de consultoria</t>
  </si>
  <si>
    <t xml:space="preserve">Aluguel</t>
  </si>
  <si>
    <t xml:space="preserve">Condomínio + IPTU</t>
  </si>
  <si>
    <t xml:space="preserve">Boleto</t>
  </si>
  <si>
    <t xml:space="preserve">Luz, água e gás</t>
  </si>
  <si>
    <t xml:space="preserve">Débito automático</t>
  </si>
  <si>
    <t xml:space="preserve">Crédito</t>
  </si>
  <si>
    <t xml:space="preserve">Escola</t>
  </si>
  <si>
    <t xml:space="preserve">Plano de saúde</t>
  </si>
  <si>
    <t xml:space="preserve">Streaming e academia</t>
  </si>
  <si>
    <t xml:space="preserve">Mercado do mês</t>
  </si>
  <si>
    <t xml:space="preserve">Feira e reposição</t>
  </si>
  <si>
    <t xml:space="preserve">Débito</t>
  </si>
  <si>
    <t xml:space="preserve">Pizza de sexta</t>
  </si>
  <si>
    <t xml:space="preserve">Delivery depois do trabalho</t>
  </si>
  <si>
    <t xml:space="preserve">Almoço com amigas</t>
  </si>
  <si>
    <t xml:space="preserve">Delivery cansada</t>
  </si>
  <si>
    <t xml:space="preserve">Combustível</t>
  </si>
  <si>
    <t xml:space="preserve">Uber</t>
  </si>
  <si>
    <t xml:space="preserve">Cinema com as crianças</t>
  </si>
  <si>
    <t xml:space="preserve">Black Friday: tênis</t>
  </si>
  <si>
    <t xml:space="preserve">Presente de aniversário</t>
  </si>
  <si>
    <t xml:space="preserve">Material escolar extra</t>
  </si>
  <si>
    <t xml:space="preserve">Parcela do empréstimo</t>
  </si>
  <si>
    <t xml:space="preserve">Parcela loja</t>
  </si>
  <si>
    <t xml:space="preserve">Transferência automática</t>
  </si>
  <si>
    <t xml:space="preserve">Guardar para a viagem</t>
  </si>
  <si>
    <t xml:space="preserve">Metas</t>
  </si>
  <si>
    <t xml:space="preserve">A primeira linha é a reserva de emergência: o Painel usa o valor guardado dela para calcular os meses de reserva.</t>
  </si>
  <si>
    <t xml:space="preserve">Objetivo</t>
  </si>
  <si>
    <t xml:space="preserve">Valor alvo (R$)</t>
  </si>
  <si>
    <t xml:space="preserve">Prazo</t>
  </si>
  <si>
    <t xml:space="preserve">Já guardado (R$)</t>
  </si>
  <si>
    <t xml:space="preserve">% atingido</t>
  </si>
  <si>
    <t xml:space="preserve">Falta (R$)</t>
  </si>
  <si>
    <t xml:space="preserve">Meses até o prazo</t>
  </si>
  <si>
    <t xml:space="preserve">Guardar por mês (R$)</t>
  </si>
  <si>
    <t xml:space="preserve">Viagem em família</t>
  </si>
  <si>
    <t xml:space="preserve">Trocar o notebook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</si>
</sst>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m/yyyy"/>
    <numFmt numFmtId="166" formatCode="&quot;R$ &quot;#,##0.00;&quot;-R$ &quot;#,##0.00;\-"/>
    <numFmt numFmtId="167" formatCode="0.0%;\-0.0%;\-"/>
    <numFmt numFmtId="168" formatCode="0.0&quot; meses&quot;"/>
    <numFmt numFmtId="169" formatCode="dd/mm/yyyy"/>
    <numFmt numFmtId="170" formatCode="mmm/yy"/>
    <numFmt numFmtId="171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33C36"/>
      <name val="Arial"/>
      <family val="0"/>
      <charset val="1"/>
    </font>
    <font>
      <sz val="10"/>
      <color rgb="FFA16C46"/>
      <name val="Arial"/>
      <family val="0"/>
      <charset val="1"/>
    </font>
    <font>
      <sz val="11"/>
      <color rgb="FF233C36"/>
      <name val="Arial"/>
      <family val="0"/>
      <charset val="1"/>
    </font>
    <font>
      <i val="true"/>
      <sz val="12"/>
      <color rgb="FF233C36"/>
      <name val="Arial"/>
      <family val="0"/>
      <charset val="1"/>
    </font>
    <font>
      <b val="true"/>
      <sz val="13"/>
      <color rgb="FF233C36"/>
      <name val="Arial"/>
      <family val="0"/>
      <charset val="1"/>
    </font>
    <font>
      <sz val="9"/>
      <color rgb="FF637069"/>
      <name val="Arial"/>
      <family val="0"/>
      <charset val="1"/>
    </font>
    <font>
      <b val="true"/>
      <sz val="18"/>
      <color rgb="FF233C36"/>
      <name val="Arial"/>
      <family val="0"/>
      <charset val="1"/>
    </font>
    <font>
      <b val="true"/>
      <sz val="10"/>
      <color rgb="FF233C3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33C3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8"/>
      <color rgb="FF63706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6370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B3"/>
        <bgColor rgb="FFF6E6C8"/>
      </patternFill>
    </fill>
    <fill>
      <patternFill patternType="solid">
        <fgColor rgb="FF233C36"/>
        <bgColor rgb="FF333300"/>
      </patternFill>
    </fill>
    <fill>
      <patternFill patternType="solid">
        <fgColor rgb="FFF5F1E9"/>
        <bgColor rgb="FFF6E6C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ED3"/>
      </left>
      <right style="thin">
        <color rgb="FFDCDED3"/>
      </right>
      <top style="thin">
        <color rgb="FFDCDED3"/>
      </top>
      <bottom style="thin">
        <color rgb="FFDCD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2F6B4F"/>
      </font>
      <fill>
        <patternFill>
          <bgColor rgb="FFD9EADF"/>
        </patternFill>
      </fill>
    </dxf>
    <dxf>
      <font>
        <name val="Arial"/>
        <charset val="1"/>
        <family val="0"/>
        <b val="1"/>
        <color rgb="FF8A5A12"/>
      </font>
      <fill>
        <patternFill>
          <bgColor rgb="FFF6E6C8"/>
        </patternFill>
      </fill>
    </dxf>
    <dxf>
      <font>
        <name val="Arial"/>
        <charset val="1"/>
        <family val="0"/>
        <b val="1"/>
        <color rgb="FF9B3B2E"/>
      </font>
      <fill>
        <patternFill>
          <bgColor rgb="FFF5DC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12"/>
      <rgbColor rgb="FF800080"/>
      <rgbColor rgb="FF2F6B4F"/>
      <rgbColor rgb="FFDCDED3"/>
      <rgbColor rgb="FF878787"/>
      <rgbColor rgb="FF9999FF"/>
      <rgbColor rgb="FF993366"/>
      <rgbColor rgb="FFFFF2B3"/>
      <rgbColor rgb="FFF5F1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F"/>
      <rgbColor rgb="FFF6E6C8"/>
      <rgbColor rgb="FF99CCFF"/>
      <rgbColor rgb="FFFF99CC"/>
      <rgbColor rgb="FFCC99FF"/>
      <rgbColor rgb="FFF5DCD6"/>
      <rgbColor rgb="FF4F81BD"/>
      <rgbColor rgb="FF33CCCC"/>
      <rgbColor rgb="FF99CC00"/>
      <rgbColor rgb="FFFFCC00"/>
      <rgbColor rgb="FFFF9900"/>
      <rgbColor rgb="FFFF6600"/>
      <rgbColor rgb="FF637069"/>
      <rgbColor rgb="FFA16C46"/>
      <rgbColor rgb="FF003366"/>
      <rgbColor rgb="FF339966"/>
      <rgbColor rgb="FF003300"/>
      <rgbColor rgb="FF333300"/>
      <rgbColor rgb="FF9B3B2E"/>
      <rgbColor rgb="FF993366"/>
      <rgbColor rgb="FF333399"/>
      <rgbColor rgb="FF233C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Gastos variáveis por emoção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Painel!$F$7:$F$12</c:f>
              <c:strCache>
                <c:ptCount val="6"/>
                <c:pt idx="0">
                  <c:v>Necessidade</c:v>
                </c:pt>
                <c:pt idx="1">
                  <c:v>Recompensa</c:v>
                </c:pt>
                <c:pt idx="2">
                  <c:v>Tédio</c:v>
                </c:pt>
                <c:pt idx="3">
                  <c:v>Estresse</c:v>
                </c:pt>
                <c:pt idx="4">
                  <c:v>Alegria</c:v>
                </c:pt>
                <c:pt idx="5">
                  <c:v>Pressão social</c:v>
                </c:pt>
              </c:strCache>
            </c:strRef>
          </c:cat>
          <c:val>
            <c:numRef>
              <c:f>Painel!$G$7:$G$12</c:f>
              <c:numCache>
                <c:formatCode>"R$ "#,##0.00;"-R$ "#,##0.00;\-</c:formatCode>
                <c:ptCount val="6"/>
                <c:pt idx="0">
                  <c:v>1790</c:v>
                </c:pt>
                <c:pt idx="1">
                  <c:v>555</c:v>
                </c:pt>
                <c:pt idx="2">
                  <c:v>0</c:v>
                </c:pt>
                <c:pt idx="3">
                  <c:v>95</c:v>
                </c:pt>
                <c:pt idx="4">
                  <c:v>270</c:v>
                </c:pt>
                <c:pt idx="5">
                  <c:v>260</c:v>
                </c:pt>
              </c:numCache>
            </c:numRef>
          </c:val>
        </c:ser>
        <c:gapWidth val="150"/>
        <c:overlap val="0"/>
        <c:axId val="13857793"/>
        <c:axId val="36835782"/>
      </c:barChart>
      <c:catAx>
        <c:axId val="138577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35782"/>
        <c:crosses val="autoZero"/>
        <c:auto val="1"/>
        <c:lblAlgn val="ctr"/>
        <c:lblOffset val="100"/>
        <c:noMultiLvlLbl val="0"/>
      </c:catAx>
      <c:valAx>
        <c:axId val="368357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.00;&quot;-R$ &quot;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577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13</xdr:row>
      <xdr:rowOff>179280</xdr:rowOff>
    </xdr:from>
    <xdr:to>
      <xdr:col>9</xdr:col>
      <xdr:colOff>199080</xdr:colOff>
      <xdr:row>27</xdr:row>
      <xdr:rowOff>32040</xdr:rowOff>
    </xdr:to>
    <xdr:graphicFrame>
      <xdr:nvGraphicFramePr>
        <xdr:cNvPr id="0" name="Chart 1"/>
        <xdr:cNvGraphicFramePr/>
      </xdr:nvGraphicFramePr>
      <xdr:xfrm>
        <a:off x="5074920" y="2857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/>
    </row>
    <row r="7" customFormat="false" ht="16.15" hidden="false" customHeight="false" outlineLevel="0" collapsed="false">
      <c r="B7" s="5" t="s">
        <v>3</v>
      </c>
    </row>
    <row r="8" customFormat="false" ht="26.85" hidden="false" customHeight="false" outlineLevel="0" collapsed="false">
      <c r="B8" s="3" t="s">
        <v>4</v>
      </c>
    </row>
    <row r="9" customFormat="false" ht="26.8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 t="s">
        <v>6</v>
      </c>
    </row>
    <row r="11" customFormat="false" ht="26.8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/>
    </row>
    <row r="14" customFormat="false" ht="16.15" hidden="false" customHeight="false" outlineLevel="0" collapsed="false">
      <c r="B14" s="5" t="s">
        <v>9</v>
      </c>
    </row>
    <row r="15" customFormat="false" ht="26.85" hidden="false" customHeight="false" outlineLevel="0" collapsed="false">
      <c r="B15" s="6" t="s">
        <v>10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14"/>
  </cols>
  <sheetData>
    <row r="2" customFormat="false" ht="22.05" hidden="false" customHeight="false" outlineLevel="0" collapsed="false">
      <c r="B2" s="8" t="s">
        <v>12</v>
      </c>
    </row>
    <row r="4" customFormat="false" ht="15" hidden="false" customHeight="false" outlineLevel="0" collapsed="false">
      <c r="B4" s="9" t="s">
        <v>13</v>
      </c>
      <c r="C4" s="10" t="n">
        <v>46327</v>
      </c>
    </row>
    <row r="6" customFormat="false" ht="23.85" hidden="false" customHeight="false" outlineLevel="0" collapsed="false">
      <c r="B6" s="11" t="s">
        <v>14</v>
      </c>
      <c r="C6" s="12" t="s">
        <v>15</v>
      </c>
      <c r="D6" s="12" t="s">
        <v>16</v>
      </c>
      <c r="F6" s="11" t="s">
        <v>17</v>
      </c>
      <c r="G6" s="12" t="s">
        <v>15</v>
      </c>
      <c r="H6" s="12" t="s">
        <v>18</v>
      </c>
    </row>
    <row r="7" customFormat="false" ht="15" hidden="false" customHeight="false" outlineLevel="0" collapsed="false">
      <c r="B7" s="13" t="s">
        <v>19</v>
      </c>
      <c r="C7" s="14" t="n">
        <f aca="false">SUMIFS(Lançamentos!$E$6:$E$605,Lançamentos!$I$6:$I$605,"Entrada",Lançamentos!$J$6:$J$605,Painel!$C$4)</f>
        <v>8700</v>
      </c>
      <c r="D7" s="15" t="n">
        <f aca="false">IF($C$7&gt;0,C7/$C$7,0)</f>
        <v>1</v>
      </c>
      <c r="F7" s="13" t="s">
        <v>20</v>
      </c>
      <c r="G7" s="14" t="n">
        <f aca="false">SUMIFS(Lançamentos!$E$6:$E$605,Lançamentos!$G$6:$G$605,"Necessidade",Lançamentos!$J$6:$J$605,Painel!$C$4,Lançamentos!$I$6:$I$605,"Variável")</f>
        <v>1790</v>
      </c>
      <c r="H7" s="15" t="n">
        <f aca="false">IF($C$9&gt;0,G7/$C$9,0)</f>
        <v>0.602693602693603</v>
      </c>
    </row>
    <row r="8" customFormat="false" ht="15" hidden="false" customHeight="false" outlineLevel="0" collapsed="false">
      <c r="B8" s="13" t="s">
        <v>21</v>
      </c>
      <c r="C8" s="14" t="n">
        <f aca="false">SUMIFS(Lançamentos!$E$6:$E$605,Lançamentos!$I$6:$I$605,"Fixo",Lançamentos!$J$6:$J$605,Painel!$C$4)</f>
        <v>4460</v>
      </c>
      <c r="D8" s="15" t="n">
        <f aca="false">IF($C$7&gt;0,C8/$C$7,0)</f>
        <v>0.51264367816092</v>
      </c>
      <c r="F8" s="13" t="s">
        <v>22</v>
      </c>
      <c r="G8" s="14" t="n">
        <f aca="false">SUMIFS(Lançamentos!$E$6:$E$605,Lançamentos!$G$6:$G$605,"Recompensa",Lançamentos!$J$6:$J$605,Painel!$C$4,Lançamentos!$I$6:$I$605,"Variável")</f>
        <v>555</v>
      </c>
      <c r="H8" s="15" t="n">
        <f aca="false">IF($C$9&gt;0,G8/$C$9,0)</f>
        <v>0.186868686868687</v>
      </c>
    </row>
    <row r="9" customFormat="false" ht="15" hidden="false" customHeight="false" outlineLevel="0" collapsed="false">
      <c r="B9" s="13" t="s">
        <v>23</v>
      </c>
      <c r="C9" s="14" t="n">
        <f aca="false">SUMIFS(Lançamentos!$E$6:$E$605,Lançamentos!$I$6:$I$605,"Variável",Lançamentos!$J$6:$J$605,Painel!$C$4)</f>
        <v>2970</v>
      </c>
      <c r="D9" s="15" t="n">
        <f aca="false">IF($C$7&gt;0,C9/$C$7,0)</f>
        <v>0.341379310344828</v>
      </c>
      <c r="F9" s="13" t="s">
        <v>24</v>
      </c>
      <c r="G9" s="14" t="n">
        <f aca="false">SUMIFS(Lançamentos!$E$6:$E$605,Lançamentos!$G$6:$G$605,"Tédio",Lançamentos!$J$6:$J$605,Painel!$C$4,Lançamentos!$I$6:$I$605,"Variável")</f>
        <v>0</v>
      </c>
      <c r="H9" s="15" t="n">
        <f aca="false">IF($C$9&gt;0,G9/$C$9,0)</f>
        <v>0</v>
      </c>
    </row>
    <row r="10" customFormat="false" ht="15" hidden="false" customHeight="false" outlineLevel="0" collapsed="false">
      <c r="B10" s="13" t="s">
        <v>25</v>
      </c>
      <c r="C10" s="14" t="n">
        <f aca="false">SUMIFS(Lançamentos!$E$6:$E$605,Lançamentos!$I$6:$I$605,"Dívida",Lançamentos!$J$6:$J$605,Painel!$C$4)</f>
        <v>920</v>
      </c>
      <c r="D10" s="15" t="n">
        <f aca="false">IF($C$7&gt;0,C10/$C$7,0)</f>
        <v>0.105747126436782</v>
      </c>
      <c r="F10" s="13" t="s">
        <v>26</v>
      </c>
      <c r="G10" s="14" t="n">
        <f aca="false">SUMIFS(Lançamentos!$E$6:$E$605,Lançamentos!$G$6:$G$605,"Estresse",Lançamentos!$J$6:$J$605,Painel!$C$4,Lançamentos!$I$6:$I$605,"Variável")</f>
        <v>95</v>
      </c>
      <c r="H10" s="15" t="n">
        <f aca="false">IF($C$9&gt;0,G10/$C$9,0)</f>
        <v>0.031986531986532</v>
      </c>
    </row>
    <row r="11" customFormat="false" ht="15" hidden="false" customHeight="false" outlineLevel="0" collapsed="false">
      <c r="B11" s="13" t="s">
        <v>27</v>
      </c>
      <c r="C11" s="14" t="n">
        <f aca="false">SUMIFS(Lançamentos!$E$6:$E$605,Lançamentos!$I$6:$I$605,"Guardado",Lançamentos!$J$6:$J$605,Painel!$C$4)</f>
        <v>450</v>
      </c>
      <c r="D11" s="15" t="n">
        <f aca="false">IF($C$7&gt;0,C11/$C$7,0)</f>
        <v>0.0517241379310345</v>
      </c>
      <c r="F11" s="13" t="s">
        <v>28</v>
      </c>
      <c r="G11" s="14" t="n">
        <f aca="false">SUMIFS(Lançamentos!$E$6:$E$605,Lançamentos!$G$6:$G$605,"Alegria",Lançamentos!$J$6:$J$605,Painel!$C$4,Lançamentos!$I$6:$I$605,"Variável")</f>
        <v>270</v>
      </c>
      <c r="H11" s="15" t="n">
        <f aca="false">IF($C$9&gt;0,G11/$C$9,0)</f>
        <v>0.0909090909090909</v>
      </c>
    </row>
    <row r="12" customFormat="false" ht="15" hidden="false" customHeight="false" outlineLevel="0" collapsed="false">
      <c r="B12" s="16" t="s">
        <v>29</v>
      </c>
      <c r="C12" s="17" t="n">
        <f aca="false">C7-C8-C9-C10-C11</f>
        <v>-100</v>
      </c>
      <c r="D12" s="18" t="n">
        <f aca="false">IF($C$7&gt;0,C12/$C$7,0)</f>
        <v>-0.0114942528735632</v>
      </c>
      <c r="F12" s="13" t="s">
        <v>30</v>
      </c>
      <c r="G12" s="14" t="n">
        <f aca="false">SUMIFS(Lançamentos!$E$6:$E$605,Lançamentos!$G$6:$G$605,"Pressão social",Lançamentos!$J$6:$J$605,Painel!$C$4,Lançamentos!$I$6:$I$605,"Variável")</f>
        <v>260</v>
      </c>
      <c r="H12" s="15" t="n">
        <f aca="false">IF($C$9&gt;0,G12/$C$9,0)</f>
        <v>0.0875420875420876</v>
      </c>
    </row>
    <row r="13" customFormat="false" ht="15" hidden="false" customHeight="false" outlineLevel="0" collapsed="false">
      <c r="F13" s="16" t="s">
        <v>31</v>
      </c>
      <c r="G13" s="17" t="n">
        <f aca="false">G8+G9+G10</f>
        <v>650</v>
      </c>
      <c r="H13" s="18" t="n">
        <f aca="false">IF($C$9&gt;0,G13/$C$9,0)</f>
        <v>0.218855218855219</v>
      </c>
    </row>
    <row r="14" customFormat="false" ht="15" hidden="false" customHeight="false" outlineLevel="0" collapsed="false">
      <c r="B14" s="11" t="s">
        <v>32</v>
      </c>
      <c r="C14" s="12" t="s">
        <v>33</v>
      </c>
      <c r="D14" s="12" t="s">
        <v>34</v>
      </c>
    </row>
    <row r="15" customFormat="false" ht="15" hidden="false" customHeight="false" outlineLevel="0" collapsed="false">
      <c r="B15" s="13" t="s">
        <v>35</v>
      </c>
      <c r="C15" s="19" t="n">
        <f aca="false">IF(C7&gt;0,C11/C7,0)</f>
        <v>0.0517241379310345</v>
      </c>
      <c r="D15" s="20" t="str">
        <f aca="false">IF(C15&gt;=0.1,"Saudável",IF(C15&gt;0,"Atenção","Alerta"))</f>
        <v>Atenção</v>
      </c>
    </row>
    <row r="16" customFormat="false" ht="15" hidden="false" customHeight="false" outlineLevel="0" collapsed="false">
      <c r="B16" s="13" t="s">
        <v>36</v>
      </c>
      <c r="C16" s="19" t="n">
        <f aca="false">IF(C7&gt;0,C10/C7,0)</f>
        <v>0.105747126436782</v>
      </c>
      <c r="D16" s="20" t="str">
        <f aca="false">IF(C16&lt;=0.3,"Saudável",IF(C16&lt;=0.4,"Atenção","Alerta"))</f>
        <v>Saudável</v>
      </c>
    </row>
    <row r="17" customFormat="false" ht="15" hidden="false" customHeight="false" outlineLevel="0" collapsed="false">
      <c r="B17" s="13" t="s">
        <v>37</v>
      </c>
      <c r="C17" s="21" t="n">
        <f aca="false">IF(C8&gt;0,N(Metas!E6)/C8,0)</f>
        <v>0.896860986547085</v>
      </c>
      <c r="D17" s="20" t="str">
        <f aca="false">IF(C17&gt;=6,"Saudável",IF(C17&gt;=3,"Atenção","Alerta"))</f>
        <v>Alerta</v>
      </c>
    </row>
    <row r="18" customFormat="false" ht="15" hidden="false" customHeight="false" outlineLevel="0" collapsed="false">
      <c r="B18" s="13" t="s">
        <v>38</v>
      </c>
      <c r="C18" s="19" t="n">
        <f aca="false">IF(C7&gt;0,C8/C7,0)</f>
        <v>0.51264367816092</v>
      </c>
      <c r="D18" s="20" t="str">
        <f aca="false">IF(C18&lt;=0.5,"Saudável",IF(C18&lt;=0.65,"Atenção","Alerta"))</f>
        <v>Atenção</v>
      </c>
    </row>
    <row r="19" customFormat="false" ht="15" hidden="false" customHeight="false" outlineLevel="0" collapsed="false">
      <c r="B19" s="22" t="s">
        <v>39</v>
      </c>
    </row>
    <row r="22" customFormat="false" ht="15" hidden="false" customHeight="false" outlineLevel="0" collapsed="false">
      <c r="B22" s="11" t="s">
        <v>40</v>
      </c>
      <c r="C22" s="12" t="s">
        <v>15</v>
      </c>
      <c r="D22" s="12" t="s">
        <v>16</v>
      </c>
    </row>
    <row r="23" customFormat="false" ht="15" hidden="false" customHeight="false" outlineLevel="0" collapsed="false">
      <c r="B23" s="23" t="str">
        <f aca="false">Categorias!B9</f>
        <v>Moradia</v>
      </c>
      <c r="C23" s="14" t="n">
        <f aca="false">SUMIFS(Lançamentos!$E$6:$E$605,Lançamentos!$D$6:$D$605,B23,Lançamentos!$J$6:$J$605,Painel!$C$4)</f>
        <v>2250</v>
      </c>
      <c r="D23" s="15" t="n">
        <f aca="false">IF($C$7&gt;0,C23/$C$7,0)</f>
        <v>0.258620689655172</v>
      </c>
    </row>
    <row r="24" customFormat="false" ht="15" hidden="false" customHeight="false" outlineLevel="0" collapsed="false">
      <c r="B24" s="23" t="str">
        <f aca="false">Categorias!B10</f>
        <v>Contas da casa</v>
      </c>
      <c r="C24" s="14" t="n">
        <f aca="false">SUMIFS(Lançamentos!$E$6:$E$605,Lançamentos!$D$6:$D$605,B24,Lançamentos!$J$6:$J$605,Painel!$C$4)</f>
        <v>320</v>
      </c>
      <c r="D24" s="15" t="n">
        <f aca="false">IF($C$7&gt;0,C24/$C$7,0)</f>
        <v>0.0367816091954023</v>
      </c>
    </row>
    <row r="25" customFormat="false" ht="15" hidden="false" customHeight="false" outlineLevel="0" collapsed="false">
      <c r="B25" s="23" t="str">
        <f aca="false">Categorias!B11</f>
        <v>Internet e celular</v>
      </c>
      <c r="C25" s="14" t="n">
        <f aca="false">SUMIFS(Lançamentos!$E$6:$E$605,Lançamentos!$D$6:$D$605,B25,Lançamentos!$J$6:$J$605,Painel!$C$4)</f>
        <v>180</v>
      </c>
      <c r="D25" s="15" t="n">
        <f aca="false">IF($C$7&gt;0,C25/$C$7,0)</f>
        <v>0.0206896551724138</v>
      </c>
    </row>
    <row r="26" customFormat="false" ht="15" hidden="false" customHeight="false" outlineLevel="0" collapsed="false">
      <c r="B26" s="23" t="str">
        <f aca="false">Categorias!B12</f>
        <v>Educação</v>
      </c>
      <c r="C26" s="14" t="n">
        <f aca="false">SUMIFS(Lançamentos!$E$6:$E$605,Lançamentos!$D$6:$D$605,B26,Lançamentos!$J$6:$J$605,Painel!$C$4)</f>
        <v>900</v>
      </c>
      <c r="D26" s="15" t="n">
        <f aca="false">IF($C$7&gt;0,C26/$C$7,0)</f>
        <v>0.103448275862069</v>
      </c>
    </row>
    <row r="27" customFormat="false" ht="15" hidden="false" customHeight="false" outlineLevel="0" collapsed="false">
      <c r="B27" s="23" t="str">
        <f aca="false">Categorias!B13</f>
        <v>Saúde (plano)</v>
      </c>
      <c r="C27" s="14" t="n">
        <f aca="false">SUMIFS(Lançamentos!$E$6:$E$605,Lançamentos!$D$6:$D$605,B27,Lançamentos!$J$6:$J$605,Painel!$C$4)</f>
        <v>650</v>
      </c>
      <c r="D27" s="15" t="n">
        <f aca="false">IF($C$7&gt;0,C27/$C$7,0)</f>
        <v>0.0747126436781609</v>
      </c>
    </row>
    <row r="28" customFormat="false" ht="15" hidden="false" customHeight="false" outlineLevel="0" collapsed="false">
      <c r="B28" s="23" t="str">
        <f aca="false">Categorias!B14</f>
        <v>Assinaturas</v>
      </c>
      <c r="C28" s="14" t="n">
        <f aca="false">SUMIFS(Lançamentos!$E$6:$E$605,Lançamentos!$D$6:$D$605,B28,Lançamentos!$J$6:$J$605,Painel!$C$4)</f>
        <v>160</v>
      </c>
      <c r="D28" s="15" t="n">
        <f aca="false">IF($C$7&gt;0,C28/$C$7,0)</f>
        <v>0.0183908045977012</v>
      </c>
    </row>
    <row r="29" customFormat="false" ht="15" hidden="false" customHeight="false" outlineLevel="0" collapsed="false">
      <c r="B29" s="23" t="str">
        <f aca="false">Categorias!B15</f>
        <v>Mercado</v>
      </c>
      <c r="C29" s="14" t="n">
        <f aca="false">SUMIFS(Lançamentos!$E$6:$E$605,Lançamentos!$D$6:$D$605,B29,Lançamentos!$J$6:$J$605,Painel!$C$4)</f>
        <v>1200</v>
      </c>
      <c r="D29" s="15" t="n">
        <f aca="false">IF($C$7&gt;0,C29/$C$7,0)</f>
        <v>0.137931034482759</v>
      </c>
    </row>
    <row r="30" customFormat="false" ht="15" hidden="false" customHeight="false" outlineLevel="0" collapsed="false">
      <c r="B30" s="23" t="str">
        <f aca="false">Categorias!B16</f>
        <v>Delivery e restaurantes</v>
      </c>
      <c r="C30" s="14" t="n">
        <f aca="false">SUMIFS(Lançamentos!$E$6:$E$605,Lançamentos!$D$6:$D$605,B30,Lançamentos!$J$6:$J$605,Painel!$C$4)</f>
        <v>520</v>
      </c>
      <c r="D30" s="15" t="n">
        <f aca="false">IF($C$7&gt;0,C30/$C$7,0)</f>
        <v>0.0597701149425287</v>
      </c>
    </row>
    <row r="31" customFormat="false" ht="15" hidden="false" customHeight="false" outlineLevel="0" collapsed="false">
      <c r="B31" s="23" t="str">
        <f aca="false">Categorias!B17</f>
        <v>Transporte</v>
      </c>
      <c r="C31" s="14" t="n">
        <f aca="false">SUMIFS(Lançamentos!$E$6:$E$605,Lançamentos!$D$6:$D$605,B31,Lançamentos!$J$6:$J$605,Painel!$C$4)</f>
        <v>350</v>
      </c>
      <c r="D31" s="15" t="n">
        <f aca="false">IF($C$7&gt;0,C31/$C$7,0)</f>
        <v>0.0402298850574713</v>
      </c>
    </row>
    <row r="32" customFormat="false" ht="15" hidden="false" customHeight="false" outlineLevel="0" collapsed="false">
      <c r="B32" s="23" t="str">
        <f aca="false">Categorias!B18</f>
        <v>Lazer</v>
      </c>
      <c r="C32" s="14" t="n">
        <f aca="false">SUMIFS(Lançamentos!$E$6:$E$605,Lançamentos!$D$6:$D$605,B32,Lançamentos!$J$6:$J$605,Painel!$C$4)</f>
        <v>160</v>
      </c>
      <c r="D32" s="15" t="n">
        <f aca="false">IF($C$7&gt;0,C32/$C$7,0)</f>
        <v>0.0183908045977012</v>
      </c>
    </row>
    <row r="33" customFormat="false" ht="15" hidden="false" customHeight="false" outlineLevel="0" collapsed="false">
      <c r="B33" s="23" t="str">
        <f aca="false">Categorias!B19</f>
        <v>Compras pessoais</v>
      </c>
      <c r="C33" s="14" t="n">
        <f aca="false">SUMIFS(Lançamentos!$E$6:$E$605,Lançamentos!$D$6:$D$605,B33,Lançamentos!$J$6:$J$605,Painel!$C$4)</f>
        <v>380</v>
      </c>
      <c r="D33" s="15" t="n">
        <f aca="false">IF($C$7&gt;0,C33/$C$7,0)</f>
        <v>0.0436781609195402</v>
      </c>
    </row>
    <row r="34" customFormat="false" ht="15" hidden="false" customHeight="false" outlineLevel="0" collapsed="false">
      <c r="B34" s="23" t="str">
        <f aca="false">Categorias!B20</f>
        <v>Farmácia</v>
      </c>
      <c r="C34" s="14" t="n">
        <f aca="false">SUMIFS(Lançamentos!$E$6:$E$605,Lançamentos!$D$6:$D$605,B34,Lançamentos!$J$6:$J$605,Painel!$C$4)</f>
        <v>150</v>
      </c>
      <c r="D34" s="15" t="n">
        <f aca="false">IF($C$7&gt;0,C34/$C$7,0)</f>
        <v>0.0172413793103448</v>
      </c>
    </row>
    <row r="35" customFormat="false" ht="15" hidden="false" customHeight="false" outlineLevel="0" collapsed="false">
      <c r="B35" s="23" t="str">
        <f aca="false">Categorias!B21</f>
        <v>Presentes</v>
      </c>
      <c r="C35" s="14" t="n">
        <f aca="false">SUMIFS(Lançamentos!$E$6:$E$605,Lançamentos!$D$6:$D$605,B35,Lançamentos!$J$6:$J$605,Painel!$C$4)</f>
        <v>120</v>
      </c>
      <c r="D35" s="15" t="n">
        <f aca="false">IF($C$7&gt;0,C35/$C$7,0)</f>
        <v>0.0137931034482759</v>
      </c>
    </row>
    <row r="36" customFormat="false" ht="15" hidden="false" customHeight="false" outlineLevel="0" collapsed="false">
      <c r="B36" s="23" t="str">
        <f aca="false">Categorias!B22</f>
        <v>Filhos</v>
      </c>
      <c r="C36" s="14" t="n">
        <f aca="false">SUMIFS(Lançamentos!$E$6:$E$605,Lançamentos!$D$6:$D$605,B36,Lançamentos!$J$6:$J$605,Painel!$C$4)</f>
        <v>90</v>
      </c>
      <c r="D36" s="15" t="n">
        <f aca="false">IF($C$7&gt;0,C36/$C$7,0)</f>
        <v>0.0103448275862069</v>
      </c>
    </row>
    <row r="37" customFormat="false" ht="15" hidden="false" customHeight="false" outlineLevel="0" collapsed="false">
      <c r="B37" s="23" t="str">
        <f aca="false">Categorias!B23</f>
        <v>Outros gastos</v>
      </c>
      <c r="C37" s="14" t="n">
        <f aca="false">SUMIFS(Lançamentos!$E$6:$E$605,Lançamentos!$D$6:$D$605,B37,Lançamentos!$J$6:$J$605,Painel!$C$4)</f>
        <v>0</v>
      </c>
      <c r="D37" s="15" t="n">
        <f aca="false">IF($C$7&gt;0,C37/$C$7,0)</f>
        <v>0</v>
      </c>
    </row>
    <row r="38" customFormat="false" ht="15" hidden="false" customHeight="false" outlineLevel="0" collapsed="false">
      <c r="B38" s="23" t="str">
        <f aca="false">Categorias!B24</f>
        <v>Parcela de dívida</v>
      </c>
      <c r="C38" s="14" t="n">
        <f aca="false">SUMIFS(Lançamentos!$E$6:$E$605,Lançamentos!$D$6:$D$605,B38,Lançamentos!$J$6:$J$605,Painel!$C$4)</f>
        <v>920</v>
      </c>
      <c r="D38" s="15" t="n">
        <f aca="false">IF($C$7&gt;0,C38/$C$7,0)</f>
        <v>0.105747126436782</v>
      </c>
    </row>
    <row r="39" customFormat="false" ht="15" hidden="false" customHeight="false" outlineLevel="0" collapsed="false">
      <c r="B39" s="23" t="str">
        <f aca="false">Categorias!B25</f>
        <v>Cartão: fatura anterior</v>
      </c>
      <c r="C39" s="14" t="n">
        <f aca="false">SUMIFS(Lançamentos!$E$6:$E$605,Lançamentos!$D$6:$D$605,B39,Lançamentos!$J$6:$J$605,Painel!$C$4)</f>
        <v>0</v>
      </c>
      <c r="D39" s="15" t="n">
        <f aca="false">IF($C$7&gt;0,C39/$C$7,0)</f>
        <v>0</v>
      </c>
    </row>
  </sheetData>
  <conditionalFormatting sqref="D15:D18">
    <cfRule type="expression" priority="2" aboveAverage="0" equalAverage="0" bottom="0" percent="0" rank="0" text="" dxfId="0">
      <formula>D15="Saudável"</formula>
    </cfRule>
    <cfRule type="expression" priority="3" aboveAverage="0" equalAverage="0" bottom="0" percent="0" rank="0" text="" dxfId="1">
      <formula>D15="Atenção"</formula>
    </cfRule>
    <cfRule type="expression" priority="4" aboveAverage="0" equalAverage="0" bottom="0" percent="0" rank="0" text="" dxfId="2">
      <formula>D15="Alerta"</formula>
    </cfRule>
    <cfRule type="expression" priority="5" aboveAverage="0" equalAverage="0" bottom="0" percent="0" rank="0" text="" dxfId="0">
      <formula>D15="Concluído"</formula>
    </cfRule>
    <cfRule type="expression" priority="6" aboveAverage="0" equalAverage="0" bottom="0" percent="0" rank="0" text="" dxfId="0">
      <formula>D15="No ritmo"</formula>
    </cfRule>
    <cfRule type="expression" priority="7" aboveAverage="0" equalAverage="0" bottom="0" percent="0" rank="0" text="" dxfId="2">
      <formula>D15="Atrasado"</formula>
    </cfRule>
  </conditionalFormatting>
  <conditionalFormatting sqref="C23:C39">
    <cfRule type="dataBar" priority="8">
      <dataBar showValue="1" minLength="10" maxLength="90">
        <cfvo type="min" val="0"/>
        <cfvo type="max" val="0"/>
        <color rgb="FFD9BE96"/>
      </dataBar>
      <extLst>
        <ext xmlns:x14="http://schemas.microsoft.com/office/spreadsheetml/2009/9/main" uri="{B025F937-C7B1-47D3-B67F-A62EFF666E3E}">
          <x14:id>{14B52544-4325-42A5-9B25-796372D850F0}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B52544-4325-42A5-9B25-796372D850F0}">
            <x14:dataBar minLength="10" maxLength="90" axisPosition="none" gradient="true">
              <x14:cfvo type="min"/>
              <x14:cfvo type="max"/>
              <x14:negativeFillColor rgb="FFD9BE96"/>
              <x14:axisColor rgb="FF000000"/>
            </x14:dataBar>
          </x14:cfRule>
          <xm:sqref>C23:C39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</cols>
  <sheetData>
    <row r="2" customFormat="false" ht="22.05" hidden="false" customHeight="false" outlineLevel="0" collapsed="false">
      <c r="B2" s="8" t="s">
        <v>41</v>
      </c>
    </row>
    <row r="3" customFormat="false" ht="15" hidden="false" customHeight="false" outlineLevel="0" collapsed="false">
      <c r="B3" s="24" t="s">
        <v>42</v>
      </c>
    </row>
    <row r="5" customFormat="false" ht="15" hidden="false" customHeight="false" outlineLevel="0" collapsed="false">
      <c r="B5" s="11" t="s">
        <v>43</v>
      </c>
      <c r="C5" s="12" t="s">
        <v>44</v>
      </c>
    </row>
    <row r="6" customFormat="false" ht="15" hidden="false" customHeight="false" outlineLevel="0" collapsed="false">
      <c r="B6" s="25" t="s">
        <v>45</v>
      </c>
      <c r="C6" s="25" t="s">
        <v>46</v>
      </c>
    </row>
    <row r="7" customFormat="false" ht="15" hidden="false" customHeight="false" outlineLevel="0" collapsed="false">
      <c r="B7" s="25" t="s">
        <v>47</v>
      </c>
      <c r="C7" s="25" t="s">
        <v>46</v>
      </c>
    </row>
    <row r="8" customFormat="false" ht="15" hidden="false" customHeight="false" outlineLevel="0" collapsed="false">
      <c r="B8" s="25" t="s">
        <v>48</v>
      </c>
      <c r="C8" s="25" t="s">
        <v>46</v>
      </c>
    </row>
    <row r="9" customFormat="false" ht="15" hidden="false" customHeight="false" outlineLevel="0" collapsed="false">
      <c r="B9" s="25" t="s">
        <v>49</v>
      </c>
      <c r="C9" s="25" t="s">
        <v>50</v>
      </c>
    </row>
    <row r="10" customFormat="false" ht="15" hidden="false" customHeight="false" outlineLevel="0" collapsed="false">
      <c r="B10" s="25" t="s">
        <v>51</v>
      </c>
      <c r="C10" s="25" t="s">
        <v>50</v>
      </c>
    </row>
    <row r="11" customFormat="false" ht="15" hidden="false" customHeight="false" outlineLevel="0" collapsed="false">
      <c r="B11" s="25" t="s">
        <v>52</v>
      </c>
      <c r="C11" s="25" t="s">
        <v>50</v>
      </c>
    </row>
    <row r="12" customFormat="false" ht="15" hidden="false" customHeight="false" outlineLevel="0" collapsed="false">
      <c r="B12" s="25" t="s">
        <v>53</v>
      </c>
      <c r="C12" s="25" t="s">
        <v>50</v>
      </c>
    </row>
    <row r="13" customFormat="false" ht="15" hidden="false" customHeight="false" outlineLevel="0" collapsed="false">
      <c r="B13" s="25" t="s">
        <v>54</v>
      </c>
      <c r="C13" s="25" t="s">
        <v>50</v>
      </c>
    </row>
    <row r="14" customFormat="false" ht="15" hidden="false" customHeight="false" outlineLevel="0" collapsed="false">
      <c r="B14" s="25" t="s">
        <v>55</v>
      </c>
      <c r="C14" s="25" t="s">
        <v>50</v>
      </c>
    </row>
    <row r="15" customFormat="false" ht="15" hidden="false" customHeight="false" outlineLevel="0" collapsed="false">
      <c r="B15" s="25" t="s">
        <v>56</v>
      </c>
      <c r="C15" s="25" t="s">
        <v>57</v>
      </c>
    </row>
    <row r="16" customFormat="false" ht="15" hidden="false" customHeight="false" outlineLevel="0" collapsed="false">
      <c r="B16" s="25" t="s">
        <v>58</v>
      </c>
      <c r="C16" s="25" t="s">
        <v>57</v>
      </c>
    </row>
    <row r="17" customFormat="false" ht="15" hidden="false" customHeight="false" outlineLevel="0" collapsed="false">
      <c r="B17" s="25" t="s">
        <v>59</v>
      </c>
      <c r="C17" s="25" t="s">
        <v>57</v>
      </c>
    </row>
    <row r="18" customFormat="false" ht="15" hidden="false" customHeight="false" outlineLevel="0" collapsed="false">
      <c r="B18" s="25" t="s">
        <v>60</v>
      </c>
      <c r="C18" s="25" t="s">
        <v>57</v>
      </c>
    </row>
    <row r="19" customFormat="false" ht="15" hidden="false" customHeight="false" outlineLevel="0" collapsed="false">
      <c r="B19" s="25" t="s">
        <v>61</v>
      </c>
      <c r="C19" s="25" t="s">
        <v>57</v>
      </c>
    </row>
    <row r="20" customFormat="false" ht="15" hidden="false" customHeight="false" outlineLevel="0" collapsed="false">
      <c r="B20" s="25" t="s">
        <v>62</v>
      </c>
      <c r="C20" s="25" t="s">
        <v>57</v>
      </c>
    </row>
    <row r="21" customFormat="false" ht="15" hidden="false" customHeight="false" outlineLevel="0" collapsed="false">
      <c r="B21" s="25" t="s">
        <v>63</v>
      </c>
      <c r="C21" s="25" t="s">
        <v>57</v>
      </c>
    </row>
    <row r="22" customFormat="false" ht="15" hidden="false" customHeight="false" outlineLevel="0" collapsed="false">
      <c r="B22" s="25" t="s">
        <v>64</v>
      </c>
      <c r="C22" s="25" t="s">
        <v>57</v>
      </c>
    </row>
    <row r="23" customFormat="false" ht="15" hidden="false" customHeight="false" outlineLevel="0" collapsed="false">
      <c r="B23" s="25" t="s">
        <v>65</v>
      </c>
      <c r="C23" s="25" t="s">
        <v>57</v>
      </c>
    </row>
    <row r="24" customFormat="false" ht="15" hidden="false" customHeight="false" outlineLevel="0" collapsed="false">
      <c r="B24" s="25" t="s">
        <v>66</v>
      </c>
      <c r="C24" s="25" t="s">
        <v>67</v>
      </c>
    </row>
    <row r="25" customFormat="false" ht="15" hidden="false" customHeight="false" outlineLevel="0" collapsed="false">
      <c r="B25" s="25" t="s">
        <v>68</v>
      </c>
      <c r="C25" s="25" t="s">
        <v>67</v>
      </c>
    </row>
    <row r="26" customFormat="false" ht="15" hidden="false" customHeight="false" outlineLevel="0" collapsed="false">
      <c r="B26" s="25" t="s">
        <v>69</v>
      </c>
      <c r="C26" s="25" t="s">
        <v>70</v>
      </c>
    </row>
    <row r="27" customFormat="false" ht="15" hidden="false" customHeight="false" outlineLevel="0" collapsed="false">
      <c r="B27" s="25" t="s">
        <v>71</v>
      </c>
      <c r="C27" s="25" t="s">
        <v>70</v>
      </c>
    </row>
    <row r="28" customFormat="false" ht="15" hidden="false" customHeight="false" outlineLevel="0" collapsed="false">
      <c r="B28" s="25" t="s">
        <v>72</v>
      </c>
      <c r="C28" s="25" t="s">
        <v>70</v>
      </c>
    </row>
    <row r="29" customFormat="false" ht="15" hidden="false" customHeight="false" outlineLevel="0" collapsed="false">
      <c r="B29" s="25"/>
      <c r="C29" s="25"/>
    </row>
    <row r="30" customFormat="false" ht="15" hidden="false" customHeight="false" outlineLevel="0" collapsed="false">
      <c r="B30" s="25"/>
      <c r="C30" s="25"/>
    </row>
    <row r="31" customFormat="false" ht="15" hidden="false" customHeight="false" outlineLevel="0" collapsed="false">
      <c r="B31" s="25"/>
      <c r="C31" s="25"/>
    </row>
    <row r="32" customFormat="false" ht="15" hidden="false" customHeight="false" outlineLevel="0" collapsed="false">
      <c r="B32" s="25"/>
      <c r="C32" s="25"/>
    </row>
    <row r="33" customFormat="false" ht="15" hidden="false" customHeight="false" outlineLevel="0" collapsed="false">
      <c r="B33" s="25"/>
      <c r="C33" s="25"/>
    </row>
    <row r="34" customFormat="false" ht="15" hidden="false" customHeight="false" outlineLevel="0" collapsed="false">
      <c r="B34" s="25"/>
      <c r="C34" s="25"/>
    </row>
    <row r="35" customFormat="false" ht="15" hidden="false" customHeight="false" outlineLevel="0" collapsed="false">
      <c r="B35" s="25"/>
      <c r="C35" s="25"/>
    </row>
    <row r="36" customFormat="false" ht="15" hidden="false" customHeight="false" outlineLevel="0" collapsed="false">
      <c r="B36" s="25"/>
      <c r="C36" s="25"/>
    </row>
    <row r="37" customFormat="false" ht="15" hidden="false" customHeight="false" outlineLevel="0" collapsed="false">
      <c r="B37" s="25"/>
      <c r="C37" s="25"/>
    </row>
    <row r="38" customFormat="false" ht="15" hidden="false" customHeight="false" outlineLevel="0" collapsed="false">
      <c r="B38" s="25"/>
      <c r="C38" s="25"/>
    </row>
    <row r="39" customFormat="false" ht="15" hidden="false" customHeight="false" outlineLevel="0" collapsed="false">
      <c r="B39" s="25"/>
      <c r="C39" s="25"/>
    </row>
    <row r="40" customFormat="false" ht="15" hidden="false" customHeight="false" outlineLevel="0" collapsed="false">
      <c r="B40" s="25"/>
      <c r="C40" s="25"/>
    </row>
    <row r="41" customFormat="false" ht="15" hidden="false" customHeight="false" outlineLevel="0" collapsed="false">
      <c r="B41" s="25"/>
      <c r="C41" s="25"/>
    </row>
    <row r="42" customFormat="false" ht="15" hidden="false" customHeight="false" outlineLevel="0" collapsed="false">
      <c r="B42" s="25"/>
      <c r="C42" s="25"/>
    </row>
    <row r="43" customFormat="false" ht="15" hidden="false" customHeight="false" outlineLevel="0" collapsed="false">
      <c r="B43" s="25"/>
      <c r="C43" s="25"/>
    </row>
    <row r="44" customFormat="false" ht="15" hidden="false" customHeight="false" outlineLevel="0" collapsed="false">
      <c r="B44" s="25"/>
      <c r="C44" s="25"/>
    </row>
    <row r="45" customFormat="false" ht="15" hidden="false" customHeight="false" outlineLevel="0" collapsed="false">
      <c r="B45" s="25"/>
      <c r="C45" s="25"/>
    </row>
  </sheetData>
  <dataValidations count="1">
    <dataValidation allowBlank="true" errorStyle="stop" operator="between" showDropDown="false" showErrorMessage="false" showInputMessage="false" sqref="C6:C45" type="list">
      <formula1>"Entrada,Fixo,Variável,Dívida,Guardado"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J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10" min="9" style="0" width="12"/>
  </cols>
  <sheetData>
    <row r="2" customFormat="false" ht="22.05" hidden="false" customHeight="false" outlineLevel="0" collapsed="false">
      <c r="B2" s="8" t="s">
        <v>73</v>
      </c>
    </row>
    <row r="3" customFormat="false" ht="15" hidden="false" customHeight="false" outlineLevel="0" collapsed="false">
      <c r="B3" s="24" t="s">
        <v>74</v>
      </c>
    </row>
    <row r="5" customFormat="false" ht="15" hidden="false" customHeight="false" outlineLevel="0" collapsed="false">
      <c r="B5" s="11" t="s">
        <v>75</v>
      </c>
      <c r="C5" s="12" t="s">
        <v>76</v>
      </c>
      <c r="D5" s="12" t="s">
        <v>43</v>
      </c>
      <c r="E5" s="12" t="s">
        <v>15</v>
      </c>
      <c r="F5" s="12" t="s">
        <v>77</v>
      </c>
      <c r="G5" s="12" t="s">
        <v>78</v>
      </c>
      <c r="I5" s="26" t="s">
        <v>44</v>
      </c>
      <c r="J5" s="26" t="s">
        <v>79</v>
      </c>
    </row>
    <row r="6" customFormat="false" ht="15" hidden="false" customHeight="false" outlineLevel="0" collapsed="false">
      <c r="B6" s="27" t="n">
        <v>46331</v>
      </c>
      <c r="C6" s="25" t="s">
        <v>45</v>
      </c>
      <c r="D6" s="25" t="s">
        <v>45</v>
      </c>
      <c r="E6" s="28" t="n">
        <v>7900</v>
      </c>
      <c r="F6" s="25" t="s">
        <v>80</v>
      </c>
      <c r="G6" s="25"/>
      <c r="I6" s="24" t="str">
        <f aca="false">IF(D6="","",IFERROR(INDEX(Categorias!$C$6:$C$45,MATCH(D6,Categorias!$B$6:$B$45,0)),"Sem grupo"))</f>
        <v>Entrada</v>
      </c>
      <c r="J6" s="29" t="n">
        <f aca="false">IF(B6="","",DATE(YEAR(B6),MONTH(B6),1))</f>
        <v>46327</v>
      </c>
    </row>
    <row r="7" customFormat="false" ht="15" hidden="false" customHeight="false" outlineLevel="0" collapsed="false">
      <c r="B7" s="27" t="n">
        <v>46338</v>
      </c>
      <c r="C7" s="25" t="s">
        <v>81</v>
      </c>
      <c r="D7" s="25" t="s">
        <v>47</v>
      </c>
      <c r="E7" s="28" t="n">
        <v>800</v>
      </c>
      <c r="F7" s="25" t="s">
        <v>80</v>
      </c>
      <c r="G7" s="25"/>
      <c r="I7" s="24" t="str">
        <f aca="false">IF(D7="","",IFERROR(INDEX(Categorias!$C$6:$C$45,MATCH(D7,Categorias!$B$6:$B$45,0)),"Sem grupo"))</f>
        <v>Entrada</v>
      </c>
      <c r="J7" s="29" t="n">
        <f aca="false">IF(B7="","",DATE(YEAR(B7),MONTH(B7),1))</f>
        <v>46327</v>
      </c>
    </row>
    <row r="8" customFormat="false" ht="15" hidden="false" customHeight="false" outlineLevel="0" collapsed="false">
      <c r="B8" s="27" t="n">
        <v>46331</v>
      </c>
      <c r="C8" s="25" t="s">
        <v>82</v>
      </c>
      <c r="D8" s="25" t="s">
        <v>49</v>
      </c>
      <c r="E8" s="28" t="n">
        <v>1800</v>
      </c>
      <c r="F8" s="25" t="s">
        <v>80</v>
      </c>
      <c r="G8" s="25" t="s">
        <v>20</v>
      </c>
      <c r="I8" s="24" t="str">
        <f aca="false">IF(D8="","",IFERROR(INDEX(Categorias!$C$6:$C$45,MATCH(D8,Categorias!$B$6:$B$45,0)),"Sem grupo"))</f>
        <v>Fixo</v>
      </c>
      <c r="J8" s="29" t="n">
        <f aca="false">IF(B8="","",DATE(YEAR(B8),MONTH(B8),1))</f>
        <v>46327</v>
      </c>
    </row>
    <row r="9" customFormat="false" ht="15" hidden="false" customHeight="false" outlineLevel="0" collapsed="false">
      <c r="B9" s="27" t="n">
        <v>46336</v>
      </c>
      <c r="C9" s="25" t="s">
        <v>83</v>
      </c>
      <c r="D9" s="25" t="s">
        <v>49</v>
      </c>
      <c r="E9" s="28" t="n">
        <v>450</v>
      </c>
      <c r="F9" s="25" t="s">
        <v>84</v>
      </c>
      <c r="G9" s="25" t="s">
        <v>20</v>
      </c>
      <c r="I9" s="24" t="str">
        <f aca="false">IF(D9="","",IFERROR(INDEX(Categorias!$C$6:$C$45,MATCH(D9,Categorias!$B$6:$B$45,0)),"Sem grupo"))</f>
        <v>Fixo</v>
      </c>
      <c r="J9" s="29" t="n">
        <f aca="false">IF(B9="","",DATE(YEAR(B9),MONTH(B9),1))</f>
        <v>46327</v>
      </c>
    </row>
    <row r="10" customFormat="false" ht="15" hidden="false" customHeight="false" outlineLevel="0" collapsed="false">
      <c r="B10" s="27" t="n">
        <v>46336</v>
      </c>
      <c r="C10" s="25" t="s">
        <v>85</v>
      </c>
      <c r="D10" s="25" t="s">
        <v>51</v>
      </c>
      <c r="E10" s="28" t="n">
        <v>320</v>
      </c>
      <c r="F10" s="25" t="s">
        <v>86</v>
      </c>
      <c r="G10" s="25" t="s">
        <v>20</v>
      </c>
      <c r="I10" s="24" t="str">
        <f aca="false">IF(D10="","",IFERROR(INDEX(Categorias!$C$6:$C$45,MATCH(D10,Categorias!$B$6:$B$45,0)),"Sem grupo"))</f>
        <v>Fixo</v>
      </c>
      <c r="J10" s="29" t="n">
        <f aca="false">IF(B10="","",DATE(YEAR(B10),MONTH(B10),1))</f>
        <v>46327</v>
      </c>
    </row>
    <row r="11" customFormat="false" ht="15" hidden="false" customHeight="false" outlineLevel="0" collapsed="false">
      <c r="B11" s="27" t="n">
        <v>46334</v>
      </c>
      <c r="C11" s="25" t="s">
        <v>52</v>
      </c>
      <c r="D11" s="25" t="s">
        <v>52</v>
      </c>
      <c r="E11" s="28" t="n">
        <v>180</v>
      </c>
      <c r="F11" s="25" t="s">
        <v>87</v>
      </c>
      <c r="G11" s="25" t="s">
        <v>20</v>
      </c>
      <c r="I11" s="24" t="str">
        <f aca="false">IF(D11="","",IFERROR(INDEX(Categorias!$C$6:$C$45,MATCH(D11,Categorias!$B$6:$B$45,0)),"Sem grupo"))</f>
        <v>Fixo</v>
      </c>
      <c r="J11" s="29" t="n">
        <f aca="false">IF(B11="","",DATE(YEAR(B11),MONTH(B11),1))</f>
        <v>46327</v>
      </c>
    </row>
    <row r="12" customFormat="false" ht="15" hidden="false" customHeight="false" outlineLevel="0" collapsed="false">
      <c r="B12" s="27" t="n">
        <v>46331</v>
      </c>
      <c r="C12" s="25" t="s">
        <v>88</v>
      </c>
      <c r="D12" s="25" t="s">
        <v>53</v>
      </c>
      <c r="E12" s="28" t="n">
        <v>900</v>
      </c>
      <c r="F12" s="25" t="s">
        <v>84</v>
      </c>
      <c r="G12" s="25" t="s">
        <v>20</v>
      </c>
      <c r="I12" s="24" t="str">
        <f aca="false">IF(D12="","",IFERROR(INDEX(Categorias!$C$6:$C$45,MATCH(D12,Categorias!$B$6:$B$45,0)),"Sem grupo"))</f>
        <v>Fixo</v>
      </c>
      <c r="J12" s="29" t="n">
        <f aca="false">IF(B12="","",DATE(YEAR(B12),MONTH(B12),1))</f>
        <v>46327</v>
      </c>
    </row>
    <row r="13" customFormat="false" ht="15" hidden="false" customHeight="false" outlineLevel="0" collapsed="false">
      <c r="B13" s="27" t="n">
        <v>46333</v>
      </c>
      <c r="C13" s="25" t="s">
        <v>89</v>
      </c>
      <c r="D13" s="25" t="s">
        <v>54</v>
      </c>
      <c r="E13" s="28" t="n">
        <v>650</v>
      </c>
      <c r="F13" s="25" t="s">
        <v>86</v>
      </c>
      <c r="G13" s="25" t="s">
        <v>20</v>
      </c>
      <c r="I13" s="24" t="str">
        <f aca="false">IF(D13="","",IFERROR(INDEX(Categorias!$C$6:$C$45,MATCH(D13,Categorias!$B$6:$B$45,0)),"Sem grupo"))</f>
        <v>Fixo</v>
      </c>
      <c r="J13" s="29" t="n">
        <f aca="false">IF(B13="","",DATE(YEAR(B13),MONTH(B13),1))</f>
        <v>46327</v>
      </c>
    </row>
    <row r="14" customFormat="false" ht="15" hidden="false" customHeight="false" outlineLevel="0" collapsed="false">
      <c r="B14" s="27" t="n">
        <v>46335</v>
      </c>
      <c r="C14" s="25" t="s">
        <v>90</v>
      </c>
      <c r="D14" s="25" t="s">
        <v>55</v>
      </c>
      <c r="E14" s="28" t="n">
        <v>160</v>
      </c>
      <c r="F14" s="25" t="s">
        <v>87</v>
      </c>
      <c r="G14" s="25" t="s">
        <v>28</v>
      </c>
      <c r="I14" s="24" t="str">
        <f aca="false">IF(D14="","",IFERROR(INDEX(Categorias!$C$6:$C$45,MATCH(D14,Categorias!$B$6:$B$45,0)),"Sem grupo"))</f>
        <v>Fixo</v>
      </c>
      <c r="J14" s="29" t="n">
        <f aca="false">IF(B14="","",DATE(YEAR(B14),MONTH(B14),1))</f>
        <v>46327</v>
      </c>
    </row>
    <row r="15" customFormat="false" ht="15" hidden="false" customHeight="false" outlineLevel="0" collapsed="false">
      <c r="B15" s="27" t="n">
        <v>46332</v>
      </c>
      <c r="C15" s="25" t="s">
        <v>91</v>
      </c>
      <c r="D15" s="25" t="s">
        <v>56</v>
      </c>
      <c r="E15" s="28" t="n">
        <v>780</v>
      </c>
      <c r="F15" s="25" t="s">
        <v>87</v>
      </c>
      <c r="G15" s="25" t="s">
        <v>20</v>
      </c>
      <c r="I15" s="24" t="str">
        <f aca="false">IF(D15="","",IFERROR(INDEX(Categorias!$C$6:$C$45,MATCH(D15,Categorias!$B$6:$B$45,0)),"Sem grupo"))</f>
        <v>Variável</v>
      </c>
      <c r="J15" s="29" t="n">
        <f aca="false">IF(B15="","",DATE(YEAR(B15),MONTH(B15),1))</f>
        <v>46327</v>
      </c>
    </row>
    <row r="16" customFormat="false" ht="15" hidden="false" customHeight="false" outlineLevel="0" collapsed="false">
      <c r="B16" s="27" t="n">
        <v>46346</v>
      </c>
      <c r="C16" s="25" t="s">
        <v>92</v>
      </c>
      <c r="D16" s="25" t="s">
        <v>56</v>
      </c>
      <c r="E16" s="28" t="n">
        <v>420</v>
      </c>
      <c r="F16" s="25" t="s">
        <v>93</v>
      </c>
      <c r="G16" s="25" t="s">
        <v>20</v>
      </c>
      <c r="I16" s="24" t="str">
        <f aca="false">IF(D16="","",IFERROR(INDEX(Categorias!$C$6:$C$45,MATCH(D16,Categorias!$B$6:$B$45,0)),"Sem grupo"))</f>
        <v>Variável</v>
      </c>
      <c r="J16" s="29" t="n">
        <f aca="false">IF(B16="","",DATE(YEAR(B16),MONTH(B16),1))</f>
        <v>46327</v>
      </c>
    </row>
    <row r="17" customFormat="false" ht="15" hidden="false" customHeight="false" outlineLevel="0" collapsed="false">
      <c r="B17" s="27" t="n">
        <v>46333</v>
      </c>
      <c r="C17" s="25" t="s">
        <v>94</v>
      </c>
      <c r="D17" s="25" t="s">
        <v>58</v>
      </c>
      <c r="E17" s="28" t="n">
        <v>110</v>
      </c>
      <c r="F17" s="25" t="s">
        <v>87</v>
      </c>
      <c r="G17" s="25" t="s">
        <v>28</v>
      </c>
      <c r="I17" s="24" t="str">
        <f aca="false">IF(D17="","",IFERROR(INDEX(Categorias!$C$6:$C$45,MATCH(D17,Categorias!$B$6:$B$45,0)),"Sem grupo"))</f>
        <v>Variável</v>
      </c>
      <c r="J17" s="29" t="n">
        <f aca="false">IF(B17="","",DATE(YEAR(B17),MONTH(B17),1))</f>
        <v>46327</v>
      </c>
    </row>
    <row r="18" customFormat="false" ht="15" hidden="false" customHeight="false" outlineLevel="0" collapsed="false">
      <c r="B18" s="27" t="n">
        <v>46339</v>
      </c>
      <c r="C18" s="25" t="s">
        <v>95</v>
      </c>
      <c r="D18" s="25" t="s">
        <v>58</v>
      </c>
      <c r="E18" s="28" t="n">
        <v>95</v>
      </c>
      <c r="F18" s="25" t="s">
        <v>87</v>
      </c>
      <c r="G18" s="25" t="s">
        <v>26</v>
      </c>
      <c r="I18" s="24" t="str">
        <f aca="false">IF(D18="","",IFERROR(INDEX(Categorias!$C$6:$C$45,MATCH(D18,Categorias!$B$6:$B$45,0)),"Sem grupo"))</f>
        <v>Variável</v>
      </c>
      <c r="J18" s="29" t="n">
        <f aca="false">IF(B18="","",DATE(YEAR(B18),MONTH(B18),1))</f>
        <v>46327</v>
      </c>
    </row>
    <row r="19" customFormat="false" ht="15" hidden="false" customHeight="false" outlineLevel="0" collapsed="false">
      <c r="B19" s="27" t="n">
        <v>46344</v>
      </c>
      <c r="C19" s="25" t="s">
        <v>96</v>
      </c>
      <c r="D19" s="25" t="s">
        <v>58</v>
      </c>
      <c r="E19" s="28" t="n">
        <v>140</v>
      </c>
      <c r="F19" s="25" t="s">
        <v>80</v>
      </c>
      <c r="G19" s="25" t="s">
        <v>30</v>
      </c>
      <c r="I19" s="24" t="str">
        <f aca="false">IF(D19="","",IFERROR(INDEX(Categorias!$C$6:$C$45,MATCH(D19,Categorias!$B$6:$B$45,0)),"Sem grupo"))</f>
        <v>Variável</v>
      </c>
      <c r="J19" s="29" t="n">
        <f aca="false">IF(B19="","",DATE(YEAR(B19),MONTH(B19),1))</f>
        <v>46327</v>
      </c>
    </row>
    <row r="20" customFormat="false" ht="15" hidden="false" customHeight="false" outlineLevel="0" collapsed="false">
      <c r="B20" s="27" t="n">
        <v>46353</v>
      </c>
      <c r="C20" s="25" t="s">
        <v>97</v>
      </c>
      <c r="D20" s="25" t="s">
        <v>58</v>
      </c>
      <c r="E20" s="28" t="n">
        <v>175</v>
      </c>
      <c r="F20" s="25" t="s">
        <v>87</v>
      </c>
      <c r="G20" s="25" t="s">
        <v>22</v>
      </c>
      <c r="I20" s="24" t="str">
        <f aca="false">IF(D20="","",IFERROR(INDEX(Categorias!$C$6:$C$45,MATCH(D20,Categorias!$B$6:$B$45,0)),"Sem grupo"))</f>
        <v>Variável</v>
      </c>
      <c r="J20" s="29" t="n">
        <f aca="false">IF(B20="","",DATE(YEAR(B20),MONTH(B20),1))</f>
        <v>46327</v>
      </c>
    </row>
    <row r="21" customFormat="false" ht="15" hidden="false" customHeight="false" outlineLevel="0" collapsed="false">
      <c r="B21" s="27" t="n">
        <v>46329</v>
      </c>
      <c r="C21" s="25" t="s">
        <v>98</v>
      </c>
      <c r="D21" s="25" t="s">
        <v>59</v>
      </c>
      <c r="E21" s="28" t="n">
        <v>250</v>
      </c>
      <c r="F21" s="25" t="s">
        <v>87</v>
      </c>
      <c r="G21" s="25" t="s">
        <v>20</v>
      </c>
      <c r="I21" s="24" t="str">
        <f aca="false">IF(D21="","",IFERROR(INDEX(Categorias!$C$6:$C$45,MATCH(D21,Categorias!$B$6:$B$45,0)),"Sem grupo"))</f>
        <v>Variável</v>
      </c>
      <c r="J21" s="29" t="n">
        <f aca="false">IF(B21="","",DATE(YEAR(B21),MONTH(B21),1))</f>
        <v>46327</v>
      </c>
    </row>
    <row r="22" customFormat="false" ht="15" hidden="false" customHeight="false" outlineLevel="0" collapsed="false">
      <c r="B22" s="27" t="n">
        <v>46348</v>
      </c>
      <c r="C22" s="25" t="s">
        <v>99</v>
      </c>
      <c r="D22" s="25" t="s">
        <v>59</v>
      </c>
      <c r="E22" s="28" t="n">
        <v>100</v>
      </c>
      <c r="F22" s="25" t="s">
        <v>87</v>
      </c>
      <c r="G22" s="25" t="s">
        <v>20</v>
      </c>
      <c r="I22" s="24" t="str">
        <f aca="false">IF(D22="","",IFERROR(INDEX(Categorias!$C$6:$C$45,MATCH(D22,Categorias!$B$6:$B$45,0)),"Sem grupo"))</f>
        <v>Variável</v>
      </c>
      <c r="J22" s="29" t="n">
        <f aca="false">IF(B22="","",DATE(YEAR(B22),MONTH(B22),1))</f>
        <v>46327</v>
      </c>
    </row>
    <row r="23" customFormat="false" ht="15" hidden="false" customHeight="false" outlineLevel="0" collapsed="false">
      <c r="B23" s="27" t="n">
        <v>46341</v>
      </c>
      <c r="C23" s="25" t="s">
        <v>100</v>
      </c>
      <c r="D23" s="25" t="s">
        <v>60</v>
      </c>
      <c r="E23" s="28" t="n">
        <v>160</v>
      </c>
      <c r="F23" s="25" t="s">
        <v>87</v>
      </c>
      <c r="G23" s="25" t="s">
        <v>28</v>
      </c>
      <c r="I23" s="24" t="str">
        <f aca="false">IF(D23="","",IFERROR(INDEX(Categorias!$C$6:$C$45,MATCH(D23,Categorias!$B$6:$B$45,0)),"Sem grupo"))</f>
        <v>Variável</v>
      </c>
      <c r="J23" s="29" t="n">
        <f aca="false">IF(B23="","",DATE(YEAR(B23),MONTH(B23),1))</f>
        <v>46327</v>
      </c>
    </row>
    <row r="24" customFormat="false" ht="15" hidden="false" customHeight="false" outlineLevel="0" collapsed="false">
      <c r="B24" s="27" t="n">
        <v>46354</v>
      </c>
      <c r="C24" s="25" t="s">
        <v>101</v>
      </c>
      <c r="D24" s="25" t="s">
        <v>61</v>
      </c>
      <c r="E24" s="28" t="n">
        <v>380</v>
      </c>
      <c r="F24" s="25" t="s">
        <v>87</v>
      </c>
      <c r="G24" s="25" t="s">
        <v>22</v>
      </c>
      <c r="I24" s="24" t="str">
        <f aca="false">IF(D24="","",IFERROR(INDEX(Categorias!$C$6:$C$45,MATCH(D24,Categorias!$B$6:$B$45,0)),"Sem grupo"))</f>
        <v>Variável</v>
      </c>
      <c r="J24" s="29" t="n">
        <f aca="false">IF(B24="","",DATE(YEAR(B24),MONTH(B24),1))</f>
        <v>46327</v>
      </c>
    </row>
    <row r="25" customFormat="false" ht="15" hidden="false" customHeight="false" outlineLevel="0" collapsed="false">
      <c r="B25" s="27" t="n">
        <v>46337</v>
      </c>
      <c r="C25" s="25" t="s">
        <v>62</v>
      </c>
      <c r="D25" s="25" t="s">
        <v>62</v>
      </c>
      <c r="E25" s="28" t="n">
        <v>150</v>
      </c>
      <c r="F25" s="25" t="s">
        <v>93</v>
      </c>
      <c r="G25" s="25" t="s">
        <v>20</v>
      </c>
      <c r="I25" s="24" t="str">
        <f aca="false">IF(D25="","",IFERROR(INDEX(Categorias!$C$6:$C$45,MATCH(D25,Categorias!$B$6:$B$45,0)),"Sem grupo"))</f>
        <v>Variável</v>
      </c>
      <c r="J25" s="29" t="n">
        <f aca="false">IF(B25="","",DATE(YEAR(B25),MONTH(B25),1))</f>
        <v>46327</v>
      </c>
    </row>
    <row r="26" customFormat="false" ht="15" hidden="false" customHeight="false" outlineLevel="0" collapsed="false">
      <c r="B26" s="27" t="n">
        <v>46347</v>
      </c>
      <c r="C26" s="25" t="s">
        <v>102</v>
      </c>
      <c r="D26" s="25" t="s">
        <v>63</v>
      </c>
      <c r="E26" s="28" t="n">
        <v>120</v>
      </c>
      <c r="F26" s="25" t="s">
        <v>80</v>
      </c>
      <c r="G26" s="25" t="s">
        <v>30</v>
      </c>
      <c r="I26" s="24" t="str">
        <f aca="false">IF(D26="","",IFERROR(INDEX(Categorias!$C$6:$C$45,MATCH(D26,Categorias!$B$6:$B$45,0)),"Sem grupo"))</f>
        <v>Variável</v>
      </c>
      <c r="J26" s="29" t="n">
        <f aca="false">IF(B26="","",DATE(YEAR(B26),MONTH(B26),1))</f>
        <v>46327</v>
      </c>
    </row>
    <row r="27" customFormat="false" ht="15" hidden="false" customHeight="false" outlineLevel="0" collapsed="false">
      <c r="B27" s="27" t="n">
        <v>46342</v>
      </c>
      <c r="C27" s="25" t="s">
        <v>103</v>
      </c>
      <c r="D27" s="25" t="s">
        <v>64</v>
      </c>
      <c r="E27" s="28" t="n">
        <v>90</v>
      </c>
      <c r="F27" s="25" t="s">
        <v>80</v>
      </c>
      <c r="G27" s="25" t="s">
        <v>20</v>
      </c>
      <c r="I27" s="24" t="str">
        <f aca="false">IF(D27="","",IFERROR(INDEX(Categorias!$C$6:$C$45,MATCH(D27,Categorias!$B$6:$B$45,0)),"Sem grupo"))</f>
        <v>Variável</v>
      </c>
      <c r="J27" s="29" t="n">
        <f aca="false">IF(B27="","",DATE(YEAR(B27),MONTH(B27),1))</f>
        <v>46327</v>
      </c>
    </row>
    <row r="28" customFormat="false" ht="15" hidden="false" customHeight="false" outlineLevel="0" collapsed="false">
      <c r="B28" s="27" t="n">
        <v>46336</v>
      </c>
      <c r="C28" s="25" t="s">
        <v>104</v>
      </c>
      <c r="D28" s="25" t="s">
        <v>66</v>
      </c>
      <c r="E28" s="28" t="n">
        <v>520</v>
      </c>
      <c r="F28" s="25" t="s">
        <v>86</v>
      </c>
      <c r="G28" s="25" t="s">
        <v>20</v>
      </c>
      <c r="I28" s="24" t="str">
        <f aca="false">IF(D28="","",IFERROR(INDEX(Categorias!$C$6:$C$45,MATCH(D28,Categorias!$B$6:$B$45,0)),"Sem grupo"))</f>
        <v>Dívida</v>
      </c>
      <c r="J28" s="29" t="n">
        <f aca="false">IF(B28="","",DATE(YEAR(B28),MONTH(B28),1))</f>
        <v>46327</v>
      </c>
    </row>
    <row r="29" customFormat="false" ht="15" hidden="false" customHeight="false" outlineLevel="0" collapsed="false">
      <c r="B29" s="27" t="n">
        <v>46336</v>
      </c>
      <c r="C29" s="25" t="s">
        <v>105</v>
      </c>
      <c r="D29" s="25" t="s">
        <v>66</v>
      </c>
      <c r="E29" s="28" t="n">
        <v>400</v>
      </c>
      <c r="F29" s="25" t="s">
        <v>87</v>
      </c>
      <c r="G29" s="25" t="s">
        <v>20</v>
      </c>
      <c r="I29" s="24" t="str">
        <f aca="false">IF(D29="","",IFERROR(INDEX(Categorias!$C$6:$C$45,MATCH(D29,Categorias!$B$6:$B$45,0)),"Sem grupo"))</f>
        <v>Dívida</v>
      </c>
      <c r="J29" s="29" t="n">
        <f aca="false">IF(B29="","",DATE(YEAR(B29),MONTH(B29),1))</f>
        <v>46327</v>
      </c>
    </row>
    <row r="30" customFormat="false" ht="15" hidden="false" customHeight="false" outlineLevel="0" collapsed="false">
      <c r="B30" s="27" t="n">
        <v>46332</v>
      </c>
      <c r="C30" s="25" t="s">
        <v>106</v>
      </c>
      <c r="D30" s="25" t="s">
        <v>69</v>
      </c>
      <c r="E30" s="28" t="n">
        <v>300</v>
      </c>
      <c r="F30" s="25" t="s">
        <v>80</v>
      </c>
      <c r="G30" s="25"/>
      <c r="I30" s="24" t="str">
        <f aca="false">IF(D30="","",IFERROR(INDEX(Categorias!$C$6:$C$45,MATCH(D30,Categorias!$B$6:$B$45,0)),"Sem grupo"))</f>
        <v>Guardado</v>
      </c>
      <c r="J30" s="29" t="n">
        <f aca="false">IF(B30="","",DATE(YEAR(B30),MONTH(B30),1))</f>
        <v>46327</v>
      </c>
    </row>
    <row r="31" customFormat="false" ht="15" hidden="false" customHeight="false" outlineLevel="0" collapsed="false">
      <c r="B31" s="27" t="n">
        <v>46332</v>
      </c>
      <c r="C31" s="25" t="s">
        <v>107</v>
      </c>
      <c r="D31" s="25" t="s">
        <v>72</v>
      </c>
      <c r="E31" s="28" t="n">
        <v>150</v>
      </c>
      <c r="F31" s="25" t="s">
        <v>80</v>
      </c>
      <c r="G31" s="25"/>
      <c r="I31" s="24" t="str">
        <f aca="false">IF(D31="","",IFERROR(INDEX(Categorias!$C$6:$C$45,MATCH(D31,Categorias!$B$6:$B$45,0)),"Sem grupo"))</f>
        <v>Guardado</v>
      </c>
      <c r="J31" s="29" t="n">
        <f aca="false">IF(B31="","",DATE(YEAR(B31),MONTH(B31),1))</f>
        <v>46327</v>
      </c>
    </row>
    <row r="32" customFormat="false" ht="15" hidden="false" customHeight="false" outlineLevel="0" collapsed="false">
      <c r="B32" s="27"/>
      <c r="C32" s="25"/>
      <c r="D32" s="25"/>
      <c r="E32" s="28"/>
      <c r="F32" s="25"/>
      <c r="G32" s="25"/>
      <c r="I32" s="24" t="str">
        <f aca="false">IF(D32="","",IFERROR(INDEX(Categorias!$C$6:$C$45,MATCH(D32,Categorias!$B$6:$B$45,0)),"Sem grupo"))</f>
        <v/>
      </c>
      <c r="J32" s="29" t="str">
        <f aca="false">IF(B32="","",DATE(YEAR(B32),MONTH(B32),1))</f>
        <v/>
      </c>
    </row>
    <row r="33" customFormat="false" ht="15" hidden="false" customHeight="false" outlineLevel="0" collapsed="false">
      <c r="B33" s="27"/>
      <c r="C33" s="25"/>
      <c r="D33" s="25"/>
      <c r="E33" s="28"/>
      <c r="F33" s="25"/>
      <c r="G33" s="25"/>
      <c r="I33" s="24" t="str">
        <f aca="false">IF(D33="","",IFERROR(INDEX(Categorias!$C$6:$C$45,MATCH(D33,Categorias!$B$6:$B$45,0)),"Sem grupo"))</f>
        <v/>
      </c>
      <c r="J33" s="29" t="str">
        <f aca="false">IF(B33="","",DATE(YEAR(B33),MONTH(B33),1))</f>
        <v/>
      </c>
    </row>
    <row r="34" customFormat="false" ht="15" hidden="false" customHeight="false" outlineLevel="0" collapsed="false">
      <c r="B34" s="27"/>
      <c r="C34" s="25"/>
      <c r="D34" s="25"/>
      <c r="E34" s="28"/>
      <c r="F34" s="25"/>
      <c r="G34" s="25"/>
      <c r="I34" s="24" t="str">
        <f aca="false">IF(D34="","",IFERROR(INDEX(Categorias!$C$6:$C$45,MATCH(D34,Categorias!$B$6:$B$45,0)),"Sem grupo"))</f>
        <v/>
      </c>
      <c r="J34" s="29" t="str">
        <f aca="false">IF(B34="","",DATE(YEAR(B34),MONTH(B34),1))</f>
        <v/>
      </c>
    </row>
    <row r="35" customFormat="false" ht="15" hidden="false" customHeight="false" outlineLevel="0" collapsed="false">
      <c r="B35" s="27"/>
      <c r="C35" s="25"/>
      <c r="D35" s="25"/>
      <c r="E35" s="28"/>
      <c r="F35" s="25"/>
      <c r="G35" s="25"/>
      <c r="I35" s="24" t="str">
        <f aca="false">IF(D35="","",IFERROR(INDEX(Categorias!$C$6:$C$45,MATCH(D35,Categorias!$B$6:$B$45,0)),"Sem grupo"))</f>
        <v/>
      </c>
      <c r="J35" s="29" t="str">
        <f aca="false">IF(B35="","",DATE(YEAR(B35),MONTH(B35),1))</f>
        <v/>
      </c>
    </row>
    <row r="36" customFormat="false" ht="15" hidden="false" customHeight="false" outlineLevel="0" collapsed="false">
      <c r="B36" s="27"/>
      <c r="C36" s="25"/>
      <c r="D36" s="25"/>
      <c r="E36" s="28"/>
      <c r="F36" s="25"/>
      <c r="G36" s="25"/>
      <c r="I36" s="24" t="str">
        <f aca="false">IF(D36="","",IFERROR(INDEX(Categorias!$C$6:$C$45,MATCH(D36,Categorias!$B$6:$B$45,0)),"Sem grupo"))</f>
        <v/>
      </c>
      <c r="J36" s="29" t="str">
        <f aca="false">IF(B36="","",DATE(YEAR(B36),MONTH(B36),1))</f>
        <v/>
      </c>
    </row>
    <row r="37" customFormat="false" ht="15" hidden="false" customHeight="false" outlineLevel="0" collapsed="false">
      <c r="B37" s="27"/>
      <c r="C37" s="25"/>
      <c r="D37" s="25"/>
      <c r="E37" s="28"/>
      <c r="F37" s="25"/>
      <c r="G37" s="25"/>
      <c r="I37" s="24" t="str">
        <f aca="false">IF(D37="","",IFERROR(INDEX(Categorias!$C$6:$C$45,MATCH(D37,Categorias!$B$6:$B$45,0)),"Sem grupo"))</f>
        <v/>
      </c>
      <c r="J37" s="29" t="str">
        <f aca="false">IF(B37="","",DATE(YEAR(B37),MONTH(B37),1))</f>
        <v/>
      </c>
    </row>
    <row r="38" customFormat="false" ht="15" hidden="false" customHeight="false" outlineLevel="0" collapsed="false">
      <c r="B38" s="27"/>
      <c r="C38" s="25"/>
      <c r="D38" s="25"/>
      <c r="E38" s="28"/>
      <c r="F38" s="25"/>
      <c r="G38" s="25"/>
      <c r="I38" s="24" t="str">
        <f aca="false">IF(D38="","",IFERROR(INDEX(Categorias!$C$6:$C$45,MATCH(D38,Categorias!$B$6:$B$45,0)),"Sem grupo"))</f>
        <v/>
      </c>
      <c r="J38" s="29" t="str">
        <f aca="false">IF(B38="","",DATE(YEAR(B38),MONTH(B38),1))</f>
        <v/>
      </c>
    </row>
    <row r="39" customFormat="false" ht="15" hidden="false" customHeight="false" outlineLevel="0" collapsed="false">
      <c r="B39" s="27"/>
      <c r="C39" s="25"/>
      <c r="D39" s="25"/>
      <c r="E39" s="28"/>
      <c r="F39" s="25"/>
      <c r="G39" s="25"/>
      <c r="I39" s="24" t="str">
        <f aca="false">IF(D39="","",IFERROR(INDEX(Categorias!$C$6:$C$45,MATCH(D39,Categorias!$B$6:$B$45,0)),"Sem grupo"))</f>
        <v/>
      </c>
      <c r="J39" s="29" t="str">
        <f aca="false">IF(B39="","",DATE(YEAR(B39),MONTH(B39),1))</f>
        <v/>
      </c>
    </row>
    <row r="40" customFormat="false" ht="15" hidden="false" customHeight="false" outlineLevel="0" collapsed="false">
      <c r="B40" s="27"/>
      <c r="C40" s="25"/>
      <c r="D40" s="25"/>
      <c r="E40" s="28"/>
      <c r="F40" s="25"/>
      <c r="G40" s="25"/>
      <c r="I40" s="24" t="str">
        <f aca="false">IF(D40="","",IFERROR(INDEX(Categorias!$C$6:$C$45,MATCH(D40,Categorias!$B$6:$B$45,0)),"Sem grupo"))</f>
        <v/>
      </c>
      <c r="J40" s="29" t="str">
        <f aca="false">IF(B40="","",DATE(YEAR(B40),MONTH(B40),1))</f>
        <v/>
      </c>
    </row>
    <row r="41" customFormat="false" ht="15" hidden="false" customHeight="false" outlineLevel="0" collapsed="false">
      <c r="B41" s="27"/>
      <c r="C41" s="25"/>
      <c r="D41" s="25"/>
      <c r="E41" s="28"/>
      <c r="F41" s="25"/>
      <c r="G41" s="25"/>
      <c r="I41" s="24" t="str">
        <f aca="false">IF(D41="","",IFERROR(INDEX(Categorias!$C$6:$C$45,MATCH(D41,Categorias!$B$6:$B$45,0)),"Sem grupo"))</f>
        <v/>
      </c>
      <c r="J41" s="29" t="str">
        <f aca="false">IF(B41="","",DATE(YEAR(B41),MONTH(B41),1))</f>
        <v/>
      </c>
    </row>
    <row r="42" customFormat="false" ht="15" hidden="false" customHeight="false" outlineLevel="0" collapsed="false">
      <c r="B42" s="27"/>
      <c r="C42" s="25"/>
      <c r="D42" s="25"/>
      <c r="E42" s="28"/>
      <c r="F42" s="25"/>
      <c r="G42" s="25"/>
      <c r="I42" s="24" t="str">
        <f aca="false">IF(D42="","",IFERROR(INDEX(Categorias!$C$6:$C$45,MATCH(D42,Categorias!$B$6:$B$45,0)),"Sem grupo"))</f>
        <v/>
      </c>
      <c r="J42" s="29" t="str">
        <f aca="false">IF(B42="","",DATE(YEAR(B42),MONTH(B42),1))</f>
        <v/>
      </c>
    </row>
    <row r="43" customFormat="false" ht="15" hidden="false" customHeight="false" outlineLevel="0" collapsed="false">
      <c r="B43" s="27"/>
      <c r="C43" s="25"/>
      <c r="D43" s="25"/>
      <c r="E43" s="28"/>
      <c r="F43" s="25"/>
      <c r="G43" s="25"/>
      <c r="I43" s="24" t="str">
        <f aca="false">IF(D43="","",IFERROR(INDEX(Categorias!$C$6:$C$45,MATCH(D43,Categorias!$B$6:$B$45,0)),"Sem grupo"))</f>
        <v/>
      </c>
      <c r="J43" s="29" t="str">
        <f aca="false">IF(B43="","",DATE(YEAR(B43),MONTH(B43),1))</f>
        <v/>
      </c>
    </row>
    <row r="44" customFormat="false" ht="15" hidden="false" customHeight="false" outlineLevel="0" collapsed="false">
      <c r="B44" s="27"/>
      <c r="C44" s="25"/>
      <c r="D44" s="25"/>
      <c r="E44" s="28"/>
      <c r="F44" s="25"/>
      <c r="G44" s="25"/>
      <c r="I44" s="24" t="str">
        <f aca="false">IF(D44="","",IFERROR(INDEX(Categorias!$C$6:$C$45,MATCH(D44,Categorias!$B$6:$B$45,0)),"Sem grupo"))</f>
        <v/>
      </c>
      <c r="J44" s="29" t="str">
        <f aca="false">IF(B44="","",DATE(YEAR(B44),MONTH(B44),1))</f>
        <v/>
      </c>
    </row>
    <row r="45" customFormat="false" ht="15" hidden="false" customHeight="false" outlineLevel="0" collapsed="false">
      <c r="B45" s="27"/>
      <c r="C45" s="25"/>
      <c r="D45" s="25"/>
      <c r="E45" s="28"/>
      <c r="F45" s="25"/>
      <c r="G45" s="25"/>
      <c r="I45" s="24" t="str">
        <f aca="false">IF(D45="","",IFERROR(INDEX(Categorias!$C$6:$C$45,MATCH(D45,Categorias!$B$6:$B$45,0)),"Sem grupo"))</f>
        <v/>
      </c>
      <c r="J45" s="29" t="str">
        <f aca="false">IF(B45="","",DATE(YEAR(B45),MONTH(B45),1))</f>
        <v/>
      </c>
    </row>
    <row r="46" customFormat="false" ht="15" hidden="false" customHeight="false" outlineLevel="0" collapsed="false">
      <c r="B46" s="27"/>
      <c r="C46" s="25"/>
      <c r="D46" s="25"/>
      <c r="E46" s="28"/>
      <c r="F46" s="25"/>
      <c r="G46" s="25"/>
      <c r="I46" s="24" t="str">
        <f aca="false">IF(D46="","",IFERROR(INDEX(Categorias!$C$6:$C$45,MATCH(D46,Categorias!$B$6:$B$45,0)),"Sem grupo"))</f>
        <v/>
      </c>
      <c r="J46" s="29" t="str">
        <f aca="false">IF(B46="","",DATE(YEAR(B46),MONTH(B46),1))</f>
        <v/>
      </c>
    </row>
    <row r="47" customFormat="false" ht="15" hidden="false" customHeight="false" outlineLevel="0" collapsed="false">
      <c r="B47" s="27"/>
      <c r="C47" s="25"/>
      <c r="D47" s="25"/>
      <c r="E47" s="28"/>
      <c r="F47" s="25"/>
      <c r="G47" s="25"/>
      <c r="I47" s="24" t="str">
        <f aca="false">IF(D47="","",IFERROR(INDEX(Categorias!$C$6:$C$45,MATCH(D47,Categorias!$B$6:$B$45,0)),"Sem grupo"))</f>
        <v/>
      </c>
      <c r="J47" s="29" t="str">
        <f aca="false">IF(B47="","",DATE(YEAR(B47),MONTH(B47),1))</f>
        <v/>
      </c>
    </row>
    <row r="48" customFormat="false" ht="15" hidden="false" customHeight="false" outlineLevel="0" collapsed="false">
      <c r="B48" s="27"/>
      <c r="C48" s="25"/>
      <c r="D48" s="25"/>
      <c r="E48" s="28"/>
      <c r="F48" s="25"/>
      <c r="G48" s="25"/>
      <c r="I48" s="24" t="str">
        <f aca="false">IF(D48="","",IFERROR(INDEX(Categorias!$C$6:$C$45,MATCH(D48,Categorias!$B$6:$B$45,0)),"Sem grupo"))</f>
        <v/>
      </c>
      <c r="J48" s="29" t="str">
        <f aca="false">IF(B48="","",DATE(YEAR(B48),MONTH(B48),1))</f>
        <v/>
      </c>
    </row>
    <row r="49" customFormat="false" ht="15" hidden="false" customHeight="false" outlineLevel="0" collapsed="false">
      <c r="B49" s="27"/>
      <c r="C49" s="25"/>
      <c r="D49" s="25"/>
      <c r="E49" s="28"/>
      <c r="F49" s="25"/>
      <c r="G49" s="25"/>
      <c r="I49" s="24" t="str">
        <f aca="false">IF(D49="","",IFERROR(INDEX(Categorias!$C$6:$C$45,MATCH(D49,Categorias!$B$6:$B$45,0)),"Sem grupo"))</f>
        <v/>
      </c>
      <c r="J49" s="29" t="str">
        <f aca="false">IF(B49="","",DATE(YEAR(B49),MONTH(B49),1))</f>
        <v/>
      </c>
    </row>
    <row r="50" customFormat="false" ht="15" hidden="false" customHeight="false" outlineLevel="0" collapsed="false">
      <c r="B50" s="27"/>
      <c r="C50" s="25"/>
      <c r="D50" s="25"/>
      <c r="E50" s="28"/>
      <c r="F50" s="25"/>
      <c r="G50" s="25"/>
      <c r="I50" s="24" t="str">
        <f aca="false">IF(D50="","",IFERROR(INDEX(Categorias!$C$6:$C$45,MATCH(D50,Categorias!$B$6:$B$45,0)),"Sem grupo"))</f>
        <v/>
      </c>
      <c r="J50" s="29" t="str">
        <f aca="false">IF(B50="","",DATE(YEAR(B50),MONTH(B50),1))</f>
        <v/>
      </c>
    </row>
    <row r="51" customFormat="false" ht="15" hidden="false" customHeight="false" outlineLevel="0" collapsed="false">
      <c r="B51" s="27"/>
      <c r="C51" s="25"/>
      <c r="D51" s="25"/>
      <c r="E51" s="28"/>
      <c r="F51" s="25"/>
      <c r="G51" s="25"/>
      <c r="I51" s="24" t="str">
        <f aca="false">IF(D51="","",IFERROR(INDEX(Categorias!$C$6:$C$45,MATCH(D51,Categorias!$B$6:$B$45,0)),"Sem grupo"))</f>
        <v/>
      </c>
      <c r="J51" s="29" t="str">
        <f aca="false">IF(B51="","",DATE(YEAR(B51),MONTH(B51),1))</f>
        <v/>
      </c>
    </row>
    <row r="52" customFormat="false" ht="15" hidden="false" customHeight="false" outlineLevel="0" collapsed="false">
      <c r="B52" s="27"/>
      <c r="C52" s="25"/>
      <c r="D52" s="25"/>
      <c r="E52" s="28"/>
      <c r="F52" s="25"/>
      <c r="G52" s="25"/>
      <c r="I52" s="24" t="str">
        <f aca="false">IF(D52="","",IFERROR(INDEX(Categorias!$C$6:$C$45,MATCH(D52,Categorias!$B$6:$B$45,0)),"Sem grupo"))</f>
        <v/>
      </c>
      <c r="J52" s="29" t="str">
        <f aca="false">IF(B52="","",DATE(YEAR(B52),MONTH(B52),1))</f>
        <v/>
      </c>
    </row>
    <row r="53" customFormat="false" ht="15" hidden="false" customHeight="false" outlineLevel="0" collapsed="false">
      <c r="B53" s="27"/>
      <c r="C53" s="25"/>
      <c r="D53" s="25"/>
      <c r="E53" s="28"/>
      <c r="F53" s="25"/>
      <c r="G53" s="25"/>
      <c r="I53" s="24" t="str">
        <f aca="false">IF(D53="","",IFERROR(INDEX(Categorias!$C$6:$C$45,MATCH(D53,Categorias!$B$6:$B$45,0)),"Sem grupo"))</f>
        <v/>
      </c>
      <c r="J53" s="29" t="str">
        <f aca="false">IF(B53="","",DATE(YEAR(B53),MONTH(B53),1))</f>
        <v/>
      </c>
    </row>
    <row r="54" customFormat="false" ht="15" hidden="false" customHeight="false" outlineLevel="0" collapsed="false">
      <c r="B54" s="27"/>
      <c r="C54" s="25"/>
      <c r="D54" s="25"/>
      <c r="E54" s="28"/>
      <c r="F54" s="25"/>
      <c r="G54" s="25"/>
      <c r="I54" s="24" t="str">
        <f aca="false">IF(D54="","",IFERROR(INDEX(Categorias!$C$6:$C$45,MATCH(D54,Categorias!$B$6:$B$45,0)),"Sem grupo"))</f>
        <v/>
      </c>
      <c r="J54" s="29" t="str">
        <f aca="false">IF(B54="","",DATE(YEAR(B54),MONTH(B54),1))</f>
        <v/>
      </c>
    </row>
    <row r="55" customFormat="false" ht="15" hidden="false" customHeight="false" outlineLevel="0" collapsed="false">
      <c r="B55" s="27"/>
      <c r="C55" s="25"/>
      <c r="D55" s="25"/>
      <c r="E55" s="28"/>
      <c r="F55" s="25"/>
      <c r="G55" s="25"/>
      <c r="I55" s="24" t="str">
        <f aca="false">IF(D55="","",IFERROR(INDEX(Categorias!$C$6:$C$45,MATCH(D55,Categorias!$B$6:$B$45,0)),"Sem grupo"))</f>
        <v/>
      </c>
      <c r="J55" s="29" t="str">
        <f aca="false">IF(B55="","",DATE(YEAR(B55),MONTH(B55),1))</f>
        <v/>
      </c>
    </row>
    <row r="56" customFormat="false" ht="15" hidden="false" customHeight="false" outlineLevel="0" collapsed="false">
      <c r="B56" s="27"/>
      <c r="C56" s="25"/>
      <c r="D56" s="25"/>
      <c r="E56" s="28"/>
      <c r="F56" s="25"/>
      <c r="G56" s="25"/>
      <c r="I56" s="24" t="str">
        <f aca="false">IF(D56="","",IFERROR(INDEX(Categorias!$C$6:$C$45,MATCH(D56,Categorias!$B$6:$B$45,0)),"Sem grupo"))</f>
        <v/>
      </c>
      <c r="J56" s="29" t="str">
        <f aca="false">IF(B56="","",DATE(YEAR(B56),MONTH(B56),1))</f>
        <v/>
      </c>
    </row>
    <row r="57" customFormat="false" ht="15" hidden="false" customHeight="false" outlineLevel="0" collapsed="false">
      <c r="B57" s="27"/>
      <c r="C57" s="25"/>
      <c r="D57" s="25"/>
      <c r="E57" s="28"/>
      <c r="F57" s="25"/>
      <c r="G57" s="25"/>
      <c r="I57" s="24" t="str">
        <f aca="false">IF(D57="","",IFERROR(INDEX(Categorias!$C$6:$C$45,MATCH(D57,Categorias!$B$6:$B$45,0)),"Sem grupo"))</f>
        <v/>
      </c>
      <c r="J57" s="29" t="str">
        <f aca="false">IF(B57="","",DATE(YEAR(B57),MONTH(B57),1))</f>
        <v/>
      </c>
    </row>
    <row r="58" customFormat="false" ht="15" hidden="false" customHeight="false" outlineLevel="0" collapsed="false">
      <c r="B58" s="27"/>
      <c r="C58" s="25"/>
      <c r="D58" s="25"/>
      <c r="E58" s="28"/>
      <c r="F58" s="25"/>
      <c r="G58" s="25"/>
      <c r="I58" s="24" t="str">
        <f aca="false">IF(D58="","",IFERROR(INDEX(Categorias!$C$6:$C$45,MATCH(D58,Categorias!$B$6:$B$45,0)),"Sem grupo"))</f>
        <v/>
      </c>
      <c r="J58" s="29" t="str">
        <f aca="false">IF(B58="","",DATE(YEAR(B58),MONTH(B58),1))</f>
        <v/>
      </c>
    </row>
    <row r="59" customFormat="false" ht="15" hidden="false" customHeight="false" outlineLevel="0" collapsed="false">
      <c r="B59" s="27"/>
      <c r="C59" s="25"/>
      <c r="D59" s="25"/>
      <c r="E59" s="28"/>
      <c r="F59" s="25"/>
      <c r="G59" s="25"/>
      <c r="I59" s="24" t="str">
        <f aca="false">IF(D59="","",IFERROR(INDEX(Categorias!$C$6:$C$45,MATCH(D59,Categorias!$B$6:$B$45,0)),"Sem grupo"))</f>
        <v/>
      </c>
      <c r="J59" s="29" t="str">
        <f aca="false">IF(B59="","",DATE(YEAR(B59),MONTH(B59),1))</f>
        <v/>
      </c>
    </row>
    <row r="60" customFormat="false" ht="15" hidden="false" customHeight="false" outlineLevel="0" collapsed="false">
      <c r="B60" s="27"/>
      <c r="C60" s="25"/>
      <c r="D60" s="25"/>
      <c r="E60" s="28"/>
      <c r="F60" s="25"/>
      <c r="G60" s="25"/>
      <c r="I60" s="24" t="str">
        <f aca="false">IF(D60="","",IFERROR(INDEX(Categorias!$C$6:$C$45,MATCH(D60,Categorias!$B$6:$B$45,0)),"Sem grupo"))</f>
        <v/>
      </c>
      <c r="J60" s="29" t="str">
        <f aca="false">IF(B60="","",DATE(YEAR(B60),MONTH(B60),1))</f>
        <v/>
      </c>
    </row>
    <row r="61" customFormat="false" ht="15" hidden="false" customHeight="false" outlineLevel="0" collapsed="false">
      <c r="B61" s="27"/>
      <c r="C61" s="25"/>
      <c r="D61" s="25"/>
      <c r="E61" s="28"/>
      <c r="F61" s="25"/>
      <c r="G61" s="25"/>
      <c r="I61" s="24" t="str">
        <f aca="false">IF(D61="","",IFERROR(INDEX(Categorias!$C$6:$C$45,MATCH(D61,Categorias!$B$6:$B$45,0)),"Sem grupo"))</f>
        <v/>
      </c>
      <c r="J61" s="29" t="str">
        <f aca="false">IF(B61="","",DATE(YEAR(B61),MONTH(B61),1))</f>
        <v/>
      </c>
    </row>
    <row r="62" customFormat="false" ht="15" hidden="false" customHeight="false" outlineLevel="0" collapsed="false">
      <c r="B62" s="27"/>
      <c r="C62" s="25"/>
      <c r="D62" s="25"/>
      <c r="E62" s="28"/>
      <c r="F62" s="25"/>
      <c r="G62" s="25"/>
      <c r="I62" s="24" t="str">
        <f aca="false">IF(D62="","",IFERROR(INDEX(Categorias!$C$6:$C$45,MATCH(D62,Categorias!$B$6:$B$45,0)),"Sem grupo"))</f>
        <v/>
      </c>
      <c r="J62" s="29" t="str">
        <f aca="false">IF(B62="","",DATE(YEAR(B62),MONTH(B62),1))</f>
        <v/>
      </c>
    </row>
    <row r="63" customFormat="false" ht="15" hidden="false" customHeight="false" outlineLevel="0" collapsed="false">
      <c r="B63" s="27"/>
      <c r="C63" s="25"/>
      <c r="D63" s="25"/>
      <c r="E63" s="28"/>
      <c r="F63" s="25"/>
      <c r="G63" s="25"/>
      <c r="I63" s="24" t="str">
        <f aca="false">IF(D63="","",IFERROR(INDEX(Categorias!$C$6:$C$45,MATCH(D63,Categorias!$B$6:$B$45,0)),"Sem grupo"))</f>
        <v/>
      </c>
      <c r="J63" s="29" t="str">
        <f aca="false">IF(B63="","",DATE(YEAR(B63),MONTH(B63),1))</f>
        <v/>
      </c>
    </row>
    <row r="64" customFormat="false" ht="15" hidden="false" customHeight="false" outlineLevel="0" collapsed="false">
      <c r="B64" s="27"/>
      <c r="C64" s="25"/>
      <c r="D64" s="25"/>
      <c r="E64" s="28"/>
      <c r="F64" s="25"/>
      <c r="G64" s="25"/>
      <c r="I64" s="24" t="str">
        <f aca="false">IF(D64="","",IFERROR(INDEX(Categorias!$C$6:$C$45,MATCH(D64,Categorias!$B$6:$B$45,0)),"Sem grupo"))</f>
        <v/>
      </c>
      <c r="J64" s="29" t="str">
        <f aca="false">IF(B64="","",DATE(YEAR(B64),MONTH(B64),1))</f>
        <v/>
      </c>
    </row>
    <row r="65" customFormat="false" ht="15" hidden="false" customHeight="false" outlineLevel="0" collapsed="false">
      <c r="B65" s="27"/>
      <c r="C65" s="25"/>
      <c r="D65" s="25"/>
      <c r="E65" s="28"/>
      <c r="F65" s="25"/>
      <c r="G65" s="25"/>
      <c r="I65" s="24" t="str">
        <f aca="false">IF(D65="","",IFERROR(INDEX(Categorias!$C$6:$C$45,MATCH(D65,Categorias!$B$6:$B$45,0)),"Sem grupo"))</f>
        <v/>
      </c>
      <c r="J65" s="29" t="str">
        <f aca="false">IF(B65="","",DATE(YEAR(B65),MONTH(B65),1))</f>
        <v/>
      </c>
    </row>
    <row r="66" customFormat="false" ht="15" hidden="false" customHeight="false" outlineLevel="0" collapsed="false">
      <c r="B66" s="27"/>
      <c r="C66" s="25"/>
      <c r="D66" s="25"/>
      <c r="E66" s="28"/>
      <c r="F66" s="25"/>
      <c r="G66" s="25"/>
      <c r="I66" s="24" t="str">
        <f aca="false">IF(D66="","",IFERROR(INDEX(Categorias!$C$6:$C$45,MATCH(D66,Categorias!$B$6:$B$45,0)),"Sem grupo"))</f>
        <v/>
      </c>
      <c r="J66" s="29" t="str">
        <f aca="false">IF(B66="","",DATE(YEAR(B66),MONTH(B66),1))</f>
        <v/>
      </c>
    </row>
    <row r="67" customFormat="false" ht="15" hidden="false" customHeight="false" outlineLevel="0" collapsed="false">
      <c r="B67" s="27"/>
      <c r="C67" s="25"/>
      <c r="D67" s="25"/>
      <c r="E67" s="28"/>
      <c r="F67" s="25"/>
      <c r="G67" s="25"/>
      <c r="I67" s="24" t="str">
        <f aca="false">IF(D67="","",IFERROR(INDEX(Categorias!$C$6:$C$45,MATCH(D67,Categorias!$B$6:$B$45,0)),"Sem grupo"))</f>
        <v/>
      </c>
      <c r="J67" s="29" t="str">
        <f aca="false">IF(B67="","",DATE(YEAR(B67),MONTH(B67),1))</f>
        <v/>
      </c>
    </row>
    <row r="68" customFormat="false" ht="15" hidden="false" customHeight="false" outlineLevel="0" collapsed="false">
      <c r="B68" s="27"/>
      <c r="C68" s="25"/>
      <c r="D68" s="25"/>
      <c r="E68" s="28"/>
      <c r="F68" s="25"/>
      <c r="G68" s="25"/>
      <c r="I68" s="24" t="str">
        <f aca="false">IF(D68="","",IFERROR(INDEX(Categorias!$C$6:$C$45,MATCH(D68,Categorias!$B$6:$B$45,0)),"Sem grupo"))</f>
        <v/>
      </c>
      <c r="J68" s="29" t="str">
        <f aca="false">IF(B68="","",DATE(YEAR(B68),MONTH(B68),1))</f>
        <v/>
      </c>
    </row>
    <row r="69" customFormat="false" ht="15" hidden="false" customHeight="false" outlineLevel="0" collapsed="false">
      <c r="B69" s="27"/>
      <c r="C69" s="25"/>
      <c r="D69" s="25"/>
      <c r="E69" s="28"/>
      <c r="F69" s="25"/>
      <c r="G69" s="25"/>
      <c r="I69" s="24" t="str">
        <f aca="false">IF(D69="","",IFERROR(INDEX(Categorias!$C$6:$C$45,MATCH(D69,Categorias!$B$6:$B$45,0)),"Sem grupo"))</f>
        <v/>
      </c>
      <c r="J69" s="29" t="str">
        <f aca="false">IF(B69="","",DATE(YEAR(B69),MONTH(B69),1))</f>
        <v/>
      </c>
    </row>
    <row r="70" customFormat="false" ht="15" hidden="false" customHeight="false" outlineLevel="0" collapsed="false">
      <c r="B70" s="27"/>
      <c r="C70" s="25"/>
      <c r="D70" s="25"/>
      <c r="E70" s="28"/>
      <c r="F70" s="25"/>
      <c r="G70" s="25"/>
      <c r="I70" s="24" t="str">
        <f aca="false">IF(D70="","",IFERROR(INDEX(Categorias!$C$6:$C$45,MATCH(D70,Categorias!$B$6:$B$45,0)),"Sem grupo"))</f>
        <v/>
      </c>
      <c r="J70" s="29" t="str">
        <f aca="false">IF(B70="","",DATE(YEAR(B70),MONTH(B70),1))</f>
        <v/>
      </c>
    </row>
    <row r="71" customFormat="false" ht="15" hidden="false" customHeight="false" outlineLevel="0" collapsed="false">
      <c r="B71" s="27"/>
      <c r="C71" s="25"/>
      <c r="D71" s="25"/>
      <c r="E71" s="28"/>
      <c r="F71" s="25"/>
      <c r="G71" s="25"/>
      <c r="I71" s="24" t="str">
        <f aca="false">IF(D71="","",IFERROR(INDEX(Categorias!$C$6:$C$45,MATCH(D71,Categorias!$B$6:$B$45,0)),"Sem grupo"))</f>
        <v/>
      </c>
      <c r="J71" s="29" t="str">
        <f aca="false">IF(B71="","",DATE(YEAR(B71),MONTH(B71),1))</f>
        <v/>
      </c>
    </row>
    <row r="72" customFormat="false" ht="15" hidden="false" customHeight="false" outlineLevel="0" collapsed="false">
      <c r="B72" s="27"/>
      <c r="C72" s="25"/>
      <c r="D72" s="25"/>
      <c r="E72" s="28"/>
      <c r="F72" s="25"/>
      <c r="G72" s="25"/>
      <c r="I72" s="24" t="str">
        <f aca="false">IF(D72="","",IFERROR(INDEX(Categorias!$C$6:$C$45,MATCH(D72,Categorias!$B$6:$B$45,0)),"Sem grupo"))</f>
        <v/>
      </c>
      <c r="J72" s="29" t="str">
        <f aca="false">IF(B72="","",DATE(YEAR(B72),MONTH(B72),1))</f>
        <v/>
      </c>
    </row>
    <row r="73" customFormat="false" ht="15" hidden="false" customHeight="false" outlineLevel="0" collapsed="false">
      <c r="B73" s="27"/>
      <c r="C73" s="25"/>
      <c r="D73" s="25"/>
      <c r="E73" s="28"/>
      <c r="F73" s="25"/>
      <c r="G73" s="25"/>
      <c r="I73" s="24" t="str">
        <f aca="false">IF(D73="","",IFERROR(INDEX(Categorias!$C$6:$C$45,MATCH(D73,Categorias!$B$6:$B$45,0)),"Sem grupo"))</f>
        <v/>
      </c>
      <c r="J73" s="29" t="str">
        <f aca="false">IF(B73="","",DATE(YEAR(B73),MONTH(B73),1))</f>
        <v/>
      </c>
    </row>
    <row r="74" customFormat="false" ht="15" hidden="false" customHeight="false" outlineLevel="0" collapsed="false">
      <c r="B74" s="27"/>
      <c r="C74" s="25"/>
      <c r="D74" s="25"/>
      <c r="E74" s="28"/>
      <c r="F74" s="25"/>
      <c r="G74" s="25"/>
      <c r="I74" s="24" t="str">
        <f aca="false">IF(D74="","",IFERROR(INDEX(Categorias!$C$6:$C$45,MATCH(D74,Categorias!$B$6:$B$45,0)),"Sem grupo"))</f>
        <v/>
      </c>
      <c r="J74" s="29" t="str">
        <f aca="false">IF(B74="","",DATE(YEAR(B74),MONTH(B74),1))</f>
        <v/>
      </c>
    </row>
    <row r="75" customFormat="false" ht="15" hidden="false" customHeight="false" outlineLevel="0" collapsed="false">
      <c r="B75" s="27"/>
      <c r="C75" s="25"/>
      <c r="D75" s="25"/>
      <c r="E75" s="28"/>
      <c r="F75" s="25"/>
      <c r="G75" s="25"/>
      <c r="I75" s="24" t="str">
        <f aca="false">IF(D75="","",IFERROR(INDEX(Categorias!$C$6:$C$45,MATCH(D75,Categorias!$B$6:$B$45,0)),"Sem grupo"))</f>
        <v/>
      </c>
      <c r="J75" s="29" t="str">
        <f aca="false">IF(B75="","",DATE(YEAR(B75),MONTH(B75),1))</f>
        <v/>
      </c>
    </row>
    <row r="76" customFormat="false" ht="15" hidden="false" customHeight="false" outlineLevel="0" collapsed="false">
      <c r="B76" s="27"/>
      <c r="C76" s="25"/>
      <c r="D76" s="25"/>
      <c r="E76" s="28"/>
      <c r="F76" s="25"/>
      <c r="G76" s="25"/>
      <c r="I76" s="24" t="str">
        <f aca="false">IF(D76="","",IFERROR(INDEX(Categorias!$C$6:$C$45,MATCH(D76,Categorias!$B$6:$B$45,0)),"Sem grupo"))</f>
        <v/>
      </c>
      <c r="J76" s="29" t="str">
        <f aca="false">IF(B76="","",DATE(YEAR(B76),MONTH(B76),1))</f>
        <v/>
      </c>
    </row>
    <row r="77" customFormat="false" ht="15" hidden="false" customHeight="false" outlineLevel="0" collapsed="false">
      <c r="B77" s="27"/>
      <c r="C77" s="25"/>
      <c r="D77" s="25"/>
      <c r="E77" s="28"/>
      <c r="F77" s="25"/>
      <c r="G77" s="25"/>
      <c r="I77" s="24" t="str">
        <f aca="false">IF(D77="","",IFERROR(INDEX(Categorias!$C$6:$C$45,MATCH(D77,Categorias!$B$6:$B$45,0)),"Sem grupo"))</f>
        <v/>
      </c>
      <c r="J77" s="29" t="str">
        <f aca="false">IF(B77="","",DATE(YEAR(B77),MONTH(B77),1))</f>
        <v/>
      </c>
    </row>
    <row r="78" customFormat="false" ht="15" hidden="false" customHeight="false" outlineLevel="0" collapsed="false">
      <c r="B78" s="27"/>
      <c r="C78" s="25"/>
      <c r="D78" s="25"/>
      <c r="E78" s="28"/>
      <c r="F78" s="25"/>
      <c r="G78" s="25"/>
      <c r="I78" s="24" t="str">
        <f aca="false">IF(D78="","",IFERROR(INDEX(Categorias!$C$6:$C$45,MATCH(D78,Categorias!$B$6:$B$45,0)),"Sem grupo"))</f>
        <v/>
      </c>
      <c r="J78" s="29" t="str">
        <f aca="false">IF(B78="","",DATE(YEAR(B78),MONTH(B78),1))</f>
        <v/>
      </c>
    </row>
    <row r="79" customFormat="false" ht="15" hidden="false" customHeight="false" outlineLevel="0" collapsed="false">
      <c r="B79" s="27"/>
      <c r="C79" s="25"/>
      <c r="D79" s="25"/>
      <c r="E79" s="28"/>
      <c r="F79" s="25"/>
      <c r="G79" s="25"/>
      <c r="I79" s="24" t="str">
        <f aca="false">IF(D79="","",IFERROR(INDEX(Categorias!$C$6:$C$45,MATCH(D79,Categorias!$B$6:$B$45,0)),"Sem grupo"))</f>
        <v/>
      </c>
      <c r="J79" s="29" t="str">
        <f aca="false">IF(B79="","",DATE(YEAR(B79),MONTH(B79),1))</f>
        <v/>
      </c>
    </row>
    <row r="80" customFormat="false" ht="15" hidden="false" customHeight="false" outlineLevel="0" collapsed="false">
      <c r="B80" s="27"/>
      <c r="C80" s="25"/>
      <c r="D80" s="25"/>
      <c r="E80" s="28"/>
      <c r="F80" s="25"/>
      <c r="G80" s="25"/>
      <c r="I80" s="24" t="str">
        <f aca="false">IF(D80="","",IFERROR(INDEX(Categorias!$C$6:$C$45,MATCH(D80,Categorias!$B$6:$B$45,0)),"Sem grupo"))</f>
        <v/>
      </c>
      <c r="J80" s="29" t="str">
        <f aca="false">IF(B80="","",DATE(YEAR(B80),MONTH(B80),1))</f>
        <v/>
      </c>
    </row>
    <row r="81" customFormat="false" ht="15" hidden="false" customHeight="false" outlineLevel="0" collapsed="false">
      <c r="B81" s="27"/>
      <c r="C81" s="25"/>
      <c r="D81" s="25"/>
      <c r="E81" s="28"/>
      <c r="F81" s="25"/>
      <c r="G81" s="25"/>
      <c r="I81" s="24" t="str">
        <f aca="false">IF(D81="","",IFERROR(INDEX(Categorias!$C$6:$C$45,MATCH(D81,Categorias!$B$6:$B$45,0)),"Sem grupo"))</f>
        <v/>
      </c>
      <c r="J81" s="29" t="str">
        <f aca="false">IF(B81="","",DATE(YEAR(B81),MONTH(B81),1))</f>
        <v/>
      </c>
    </row>
    <row r="82" customFormat="false" ht="15" hidden="false" customHeight="false" outlineLevel="0" collapsed="false">
      <c r="B82" s="27"/>
      <c r="C82" s="25"/>
      <c r="D82" s="25"/>
      <c r="E82" s="28"/>
      <c r="F82" s="25"/>
      <c r="G82" s="25"/>
      <c r="I82" s="24" t="str">
        <f aca="false">IF(D82="","",IFERROR(INDEX(Categorias!$C$6:$C$45,MATCH(D82,Categorias!$B$6:$B$45,0)),"Sem grupo"))</f>
        <v/>
      </c>
      <c r="J82" s="29" t="str">
        <f aca="false">IF(B82="","",DATE(YEAR(B82),MONTH(B82),1))</f>
        <v/>
      </c>
    </row>
    <row r="83" customFormat="false" ht="15" hidden="false" customHeight="false" outlineLevel="0" collapsed="false">
      <c r="B83" s="27"/>
      <c r="C83" s="25"/>
      <c r="D83" s="25"/>
      <c r="E83" s="28"/>
      <c r="F83" s="25"/>
      <c r="G83" s="25"/>
      <c r="I83" s="24" t="str">
        <f aca="false">IF(D83="","",IFERROR(INDEX(Categorias!$C$6:$C$45,MATCH(D83,Categorias!$B$6:$B$45,0)),"Sem grupo"))</f>
        <v/>
      </c>
      <c r="J83" s="29" t="str">
        <f aca="false">IF(B83="","",DATE(YEAR(B83),MONTH(B83),1))</f>
        <v/>
      </c>
    </row>
    <row r="84" customFormat="false" ht="15" hidden="false" customHeight="false" outlineLevel="0" collapsed="false">
      <c r="B84" s="27"/>
      <c r="C84" s="25"/>
      <c r="D84" s="25"/>
      <c r="E84" s="28"/>
      <c r="F84" s="25"/>
      <c r="G84" s="25"/>
      <c r="I84" s="24" t="str">
        <f aca="false">IF(D84="","",IFERROR(INDEX(Categorias!$C$6:$C$45,MATCH(D84,Categorias!$B$6:$B$45,0)),"Sem grupo"))</f>
        <v/>
      </c>
      <c r="J84" s="29" t="str">
        <f aca="false">IF(B84="","",DATE(YEAR(B84),MONTH(B84),1))</f>
        <v/>
      </c>
    </row>
    <row r="85" customFormat="false" ht="15" hidden="false" customHeight="false" outlineLevel="0" collapsed="false">
      <c r="B85" s="27"/>
      <c r="C85" s="25"/>
      <c r="D85" s="25"/>
      <c r="E85" s="28"/>
      <c r="F85" s="25"/>
      <c r="G85" s="25"/>
      <c r="I85" s="24" t="str">
        <f aca="false">IF(D85="","",IFERROR(INDEX(Categorias!$C$6:$C$45,MATCH(D85,Categorias!$B$6:$B$45,0)),"Sem grupo"))</f>
        <v/>
      </c>
      <c r="J85" s="29" t="str">
        <f aca="false">IF(B85="","",DATE(YEAR(B85),MONTH(B85),1))</f>
        <v/>
      </c>
    </row>
    <row r="86" customFormat="false" ht="15" hidden="false" customHeight="false" outlineLevel="0" collapsed="false">
      <c r="B86" s="27"/>
      <c r="C86" s="25"/>
      <c r="D86" s="25"/>
      <c r="E86" s="28"/>
      <c r="F86" s="25"/>
      <c r="G86" s="25"/>
      <c r="I86" s="24" t="str">
        <f aca="false">IF(D86="","",IFERROR(INDEX(Categorias!$C$6:$C$45,MATCH(D86,Categorias!$B$6:$B$45,0)),"Sem grupo"))</f>
        <v/>
      </c>
      <c r="J86" s="29" t="str">
        <f aca="false">IF(B86="","",DATE(YEAR(B86),MONTH(B86),1))</f>
        <v/>
      </c>
    </row>
    <row r="87" customFormat="false" ht="15" hidden="false" customHeight="false" outlineLevel="0" collapsed="false">
      <c r="B87" s="27"/>
      <c r="C87" s="25"/>
      <c r="D87" s="25"/>
      <c r="E87" s="28"/>
      <c r="F87" s="25"/>
      <c r="G87" s="25"/>
      <c r="I87" s="24" t="str">
        <f aca="false">IF(D87="","",IFERROR(INDEX(Categorias!$C$6:$C$45,MATCH(D87,Categorias!$B$6:$B$45,0)),"Sem grupo"))</f>
        <v/>
      </c>
      <c r="J87" s="29" t="str">
        <f aca="false">IF(B87="","",DATE(YEAR(B87),MONTH(B87),1))</f>
        <v/>
      </c>
    </row>
    <row r="88" customFormat="false" ht="15" hidden="false" customHeight="false" outlineLevel="0" collapsed="false">
      <c r="B88" s="27"/>
      <c r="C88" s="25"/>
      <c r="D88" s="25"/>
      <c r="E88" s="28"/>
      <c r="F88" s="25"/>
      <c r="G88" s="25"/>
      <c r="I88" s="24" t="str">
        <f aca="false">IF(D88="","",IFERROR(INDEX(Categorias!$C$6:$C$45,MATCH(D88,Categorias!$B$6:$B$45,0)),"Sem grupo"))</f>
        <v/>
      </c>
      <c r="J88" s="29" t="str">
        <f aca="false">IF(B88="","",DATE(YEAR(B88),MONTH(B88),1))</f>
        <v/>
      </c>
    </row>
    <row r="89" customFormat="false" ht="15" hidden="false" customHeight="false" outlineLevel="0" collapsed="false">
      <c r="B89" s="27"/>
      <c r="C89" s="25"/>
      <c r="D89" s="25"/>
      <c r="E89" s="28"/>
      <c r="F89" s="25"/>
      <c r="G89" s="25"/>
      <c r="I89" s="24" t="str">
        <f aca="false">IF(D89="","",IFERROR(INDEX(Categorias!$C$6:$C$45,MATCH(D89,Categorias!$B$6:$B$45,0)),"Sem grupo"))</f>
        <v/>
      </c>
      <c r="J89" s="29" t="str">
        <f aca="false">IF(B89="","",DATE(YEAR(B89),MONTH(B89),1))</f>
        <v/>
      </c>
    </row>
    <row r="90" customFormat="false" ht="15" hidden="false" customHeight="false" outlineLevel="0" collapsed="false">
      <c r="B90" s="27"/>
      <c r="C90" s="25"/>
      <c r="D90" s="25"/>
      <c r="E90" s="28"/>
      <c r="F90" s="25"/>
      <c r="G90" s="25"/>
      <c r="I90" s="24" t="str">
        <f aca="false">IF(D90="","",IFERROR(INDEX(Categorias!$C$6:$C$45,MATCH(D90,Categorias!$B$6:$B$45,0)),"Sem grupo"))</f>
        <v/>
      </c>
      <c r="J90" s="29" t="str">
        <f aca="false">IF(B90="","",DATE(YEAR(B90),MONTH(B90),1))</f>
        <v/>
      </c>
    </row>
    <row r="91" customFormat="false" ht="15" hidden="false" customHeight="false" outlineLevel="0" collapsed="false">
      <c r="B91" s="27"/>
      <c r="C91" s="25"/>
      <c r="D91" s="25"/>
      <c r="E91" s="28"/>
      <c r="F91" s="25"/>
      <c r="G91" s="25"/>
      <c r="I91" s="24" t="str">
        <f aca="false">IF(D91="","",IFERROR(INDEX(Categorias!$C$6:$C$45,MATCH(D91,Categorias!$B$6:$B$45,0)),"Sem grupo"))</f>
        <v/>
      </c>
      <c r="J91" s="29" t="str">
        <f aca="false">IF(B91="","",DATE(YEAR(B91),MONTH(B91),1))</f>
        <v/>
      </c>
    </row>
    <row r="92" customFormat="false" ht="15" hidden="false" customHeight="false" outlineLevel="0" collapsed="false">
      <c r="B92" s="27"/>
      <c r="C92" s="25"/>
      <c r="D92" s="25"/>
      <c r="E92" s="28"/>
      <c r="F92" s="25"/>
      <c r="G92" s="25"/>
      <c r="I92" s="24" t="str">
        <f aca="false">IF(D92="","",IFERROR(INDEX(Categorias!$C$6:$C$45,MATCH(D92,Categorias!$B$6:$B$45,0)),"Sem grupo"))</f>
        <v/>
      </c>
      <c r="J92" s="29" t="str">
        <f aca="false">IF(B92="","",DATE(YEAR(B92),MONTH(B92),1))</f>
        <v/>
      </c>
    </row>
    <row r="93" customFormat="false" ht="15" hidden="false" customHeight="false" outlineLevel="0" collapsed="false">
      <c r="B93" s="27"/>
      <c r="C93" s="25"/>
      <c r="D93" s="25"/>
      <c r="E93" s="28"/>
      <c r="F93" s="25"/>
      <c r="G93" s="25"/>
      <c r="I93" s="24" t="str">
        <f aca="false">IF(D93="","",IFERROR(INDEX(Categorias!$C$6:$C$45,MATCH(D93,Categorias!$B$6:$B$45,0)),"Sem grupo"))</f>
        <v/>
      </c>
      <c r="J93" s="29" t="str">
        <f aca="false">IF(B93="","",DATE(YEAR(B93),MONTH(B93),1))</f>
        <v/>
      </c>
    </row>
    <row r="94" customFormat="false" ht="15" hidden="false" customHeight="false" outlineLevel="0" collapsed="false">
      <c r="B94" s="27"/>
      <c r="C94" s="25"/>
      <c r="D94" s="25"/>
      <c r="E94" s="28"/>
      <c r="F94" s="25"/>
      <c r="G94" s="25"/>
      <c r="I94" s="24" t="str">
        <f aca="false">IF(D94="","",IFERROR(INDEX(Categorias!$C$6:$C$45,MATCH(D94,Categorias!$B$6:$B$45,0)),"Sem grupo"))</f>
        <v/>
      </c>
      <c r="J94" s="29" t="str">
        <f aca="false">IF(B94="","",DATE(YEAR(B94),MONTH(B94),1))</f>
        <v/>
      </c>
    </row>
    <row r="95" customFormat="false" ht="15" hidden="false" customHeight="false" outlineLevel="0" collapsed="false">
      <c r="B95" s="27"/>
      <c r="C95" s="25"/>
      <c r="D95" s="25"/>
      <c r="E95" s="28"/>
      <c r="F95" s="25"/>
      <c r="G95" s="25"/>
      <c r="I95" s="24" t="str">
        <f aca="false">IF(D95="","",IFERROR(INDEX(Categorias!$C$6:$C$45,MATCH(D95,Categorias!$B$6:$B$45,0)),"Sem grupo"))</f>
        <v/>
      </c>
      <c r="J95" s="29" t="str">
        <f aca="false">IF(B95="","",DATE(YEAR(B95),MONTH(B95),1))</f>
        <v/>
      </c>
    </row>
    <row r="96" customFormat="false" ht="15" hidden="false" customHeight="false" outlineLevel="0" collapsed="false">
      <c r="B96" s="27"/>
      <c r="C96" s="25"/>
      <c r="D96" s="25"/>
      <c r="E96" s="28"/>
      <c r="F96" s="25"/>
      <c r="G96" s="25"/>
      <c r="I96" s="24" t="str">
        <f aca="false">IF(D96="","",IFERROR(INDEX(Categorias!$C$6:$C$45,MATCH(D96,Categorias!$B$6:$B$45,0)),"Sem grupo"))</f>
        <v/>
      </c>
      <c r="J96" s="29" t="str">
        <f aca="false">IF(B96="","",DATE(YEAR(B96),MONTH(B96),1))</f>
        <v/>
      </c>
    </row>
    <row r="97" customFormat="false" ht="15" hidden="false" customHeight="false" outlineLevel="0" collapsed="false">
      <c r="B97" s="27"/>
      <c r="C97" s="25"/>
      <c r="D97" s="25"/>
      <c r="E97" s="28"/>
      <c r="F97" s="25"/>
      <c r="G97" s="25"/>
      <c r="I97" s="24" t="str">
        <f aca="false">IF(D97="","",IFERROR(INDEX(Categorias!$C$6:$C$45,MATCH(D97,Categorias!$B$6:$B$45,0)),"Sem grupo"))</f>
        <v/>
      </c>
      <c r="J97" s="29" t="str">
        <f aca="false">IF(B97="","",DATE(YEAR(B97),MONTH(B97),1))</f>
        <v/>
      </c>
    </row>
    <row r="98" customFormat="false" ht="15" hidden="false" customHeight="false" outlineLevel="0" collapsed="false">
      <c r="B98" s="27"/>
      <c r="C98" s="25"/>
      <c r="D98" s="25"/>
      <c r="E98" s="28"/>
      <c r="F98" s="25"/>
      <c r="G98" s="25"/>
      <c r="I98" s="24" t="str">
        <f aca="false">IF(D98="","",IFERROR(INDEX(Categorias!$C$6:$C$45,MATCH(D98,Categorias!$B$6:$B$45,0)),"Sem grupo"))</f>
        <v/>
      </c>
      <c r="J98" s="29" t="str">
        <f aca="false">IF(B98="","",DATE(YEAR(B98),MONTH(B98),1))</f>
        <v/>
      </c>
    </row>
    <row r="99" customFormat="false" ht="15" hidden="false" customHeight="false" outlineLevel="0" collapsed="false">
      <c r="B99" s="27"/>
      <c r="C99" s="25"/>
      <c r="D99" s="25"/>
      <c r="E99" s="28"/>
      <c r="F99" s="25"/>
      <c r="G99" s="25"/>
      <c r="I99" s="24" t="str">
        <f aca="false">IF(D99="","",IFERROR(INDEX(Categorias!$C$6:$C$45,MATCH(D99,Categorias!$B$6:$B$45,0)),"Sem grupo"))</f>
        <v/>
      </c>
      <c r="J99" s="29" t="str">
        <f aca="false">IF(B99="","",DATE(YEAR(B99),MONTH(B99),1))</f>
        <v/>
      </c>
    </row>
    <row r="100" customFormat="false" ht="15" hidden="false" customHeight="false" outlineLevel="0" collapsed="false">
      <c r="B100" s="27"/>
      <c r="C100" s="25"/>
      <c r="D100" s="25"/>
      <c r="E100" s="28"/>
      <c r="F100" s="25"/>
      <c r="G100" s="25"/>
      <c r="I100" s="24" t="str">
        <f aca="false">IF(D100="","",IFERROR(INDEX(Categorias!$C$6:$C$45,MATCH(D100,Categorias!$B$6:$B$45,0)),"Sem grupo"))</f>
        <v/>
      </c>
      <c r="J100" s="29" t="str">
        <f aca="false">IF(B100="","",DATE(YEAR(B100),MONTH(B100),1))</f>
        <v/>
      </c>
    </row>
    <row r="101" customFormat="false" ht="15" hidden="false" customHeight="false" outlineLevel="0" collapsed="false">
      <c r="B101" s="27"/>
      <c r="C101" s="25"/>
      <c r="D101" s="25"/>
      <c r="E101" s="28"/>
      <c r="F101" s="25"/>
      <c r="G101" s="25"/>
      <c r="I101" s="24" t="str">
        <f aca="false">IF(D101="","",IFERROR(INDEX(Categorias!$C$6:$C$45,MATCH(D101,Categorias!$B$6:$B$45,0)),"Sem grupo"))</f>
        <v/>
      </c>
      <c r="J101" s="29" t="str">
        <f aca="false">IF(B101="","",DATE(YEAR(B101),MONTH(B101),1))</f>
        <v/>
      </c>
    </row>
    <row r="102" customFormat="false" ht="15" hidden="false" customHeight="false" outlineLevel="0" collapsed="false">
      <c r="B102" s="27"/>
      <c r="C102" s="25"/>
      <c r="D102" s="25"/>
      <c r="E102" s="28"/>
      <c r="F102" s="25"/>
      <c r="G102" s="25"/>
      <c r="I102" s="24" t="str">
        <f aca="false">IF(D102="","",IFERROR(INDEX(Categorias!$C$6:$C$45,MATCH(D102,Categorias!$B$6:$B$45,0)),"Sem grupo"))</f>
        <v/>
      </c>
      <c r="J102" s="29" t="str">
        <f aca="false">IF(B102="","",DATE(YEAR(B102),MONTH(B102),1))</f>
        <v/>
      </c>
    </row>
    <row r="103" customFormat="false" ht="15" hidden="false" customHeight="false" outlineLevel="0" collapsed="false">
      <c r="B103" s="27"/>
      <c r="C103" s="25"/>
      <c r="D103" s="25"/>
      <c r="E103" s="28"/>
      <c r="F103" s="25"/>
      <c r="G103" s="25"/>
      <c r="I103" s="24" t="str">
        <f aca="false">IF(D103="","",IFERROR(INDEX(Categorias!$C$6:$C$45,MATCH(D103,Categorias!$B$6:$B$45,0)),"Sem grupo"))</f>
        <v/>
      </c>
      <c r="J103" s="29" t="str">
        <f aca="false">IF(B103="","",DATE(YEAR(B103),MONTH(B103),1))</f>
        <v/>
      </c>
    </row>
    <row r="104" customFormat="false" ht="15" hidden="false" customHeight="false" outlineLevel="0" collapsed="false">
      <c r="B104" s="27"/>
      <c r="C104" s="25"/>
      <c r="D104" s="25"/>
      <c r="E104" s="28"/>
      <c r="F104" s="25"/>
      <c r="G104" s="25"/>
      <c r="I104" s="24" t="str">
        <f aca="false">IF(D104="","",IFERROR(INDEX(Categorias!$C$6:$C$45,MATCH(D104,Categorias!$B$6:$B$45,0)),"Sem grupo"))</f>
        <v/>
      </c>
      <c r="J104" s="29" t="str">
        <f aca="false">IF(B104="","",DATE(YEAR(B104),MONTH(B104),1))</f>
        <v/>
      </c>
    </row>
    <row r="105" customFormat="false" ht="15" hidden="false" customHeight="false" outlineLevel="0" collapsed="false">
      <c r="B105" s="27"/>
      <c r="C105" s="25"/>
      <c r="D105" s="25"/>
      <c r="E105" s="28"/>
      <c r="F105" s="25"/>
      <c r="G105" s="25"/>
      <c r="I105" s="24" t="str">
        <f aca="false">IF(D105="","",IFERROR(INDEX(Categorias!$C$6:$C$45,MATCH(D105,Categorias!$B$6:$B$45,0)),"Sem grupo"))</f>
        <v/>
      </c>
      <c r="J105" s="29" t="str">
        <f aca="false">IF(B105="","",DATE(YEAR(B105),MONTH(B105),1))</f>
        <v/>
      </c>
    </row>
    <row r="106" customFormat="false" ht="15" hidden="false" customHeight="false" outlineLevel="0" collapsed="false">
      <c r="B106" s="27"/>
      <c r="C106" s="25"/>
      <c r="D106" s="25"/>
      <c r="E106" s="28"/>
      <c r="F106" s="25"/>
      <c r="G106" s="25"/>
      <c r="I106" s="24" t="str">
        <f aca="false">IF(D106="","",IFERROR(INDEX(Categorias!$C$6:$C$45,MATCH(D106,Categorias!$B$6:$B$45,0)),"Sem grupo"))</f>
        <v/>
      </c>
      <c r="J106" s="29" t="str">
        <f aca="false">IF(B106="","",DATE(YEAR(B106),MONTH(B106),1))</f>
        <v/>
      </c>
    </row>
    <row r="107" customFormat="false" ht="15" hidden="false" customHeight="false" outlineLevel="0" collapsed="false">
      <c r="B107" s="27"/>
      <c r="C107" s="25"/>
      <c r="D107" s="25"/>
      <c r="E107" s="28"/>
      <c r="F107" s="25"/>
      <c r="G107" s="25"/>
      <c r="I107" s="24" t="str">
        <f aca="false">IF(D107="","",IFERROR(INDEX(Categorias!$C$6:$C$45,MATCH(D107,Categorias!$B$6:$B$45,0)),"Sem grupo"))</f>
        <v/>
      </c>
      <c r="J107" s="29" t="str">
        <f aca="false">IF(B107="","",DATE(YEAR(B107),MONTH(B107),1))</f>
        <v/>
      </c>
    </row>
    <row r="108" customFormat="false" ht="15" hidden="false" customHeight="false" outlineLevel="0" collapsed="false">
      <c r="B108" s="27"/>
      <c r="C108" s="25"/>
      <c r="D108" s="25"/>
      <c r="E108" s="28"/>
      <c r="F108" s="25"/>
      <c r="G108" s="25"/>
      <c r="I108" s="24" t="str">
        <f aca="false">IF(D108="","",IFERROR(INDEX(Categorias!$C$6:$C$45,MATCH(D108,Categorias!$B$6:$B$45,0)),"Sem grupo"))</f>
        <v/>
      </c>
      <c r="J108" s="29" t="str">
        <f aca="false">IF(B108="","",DATE(YEAR(B108),MONTH(B108),1))</f>
        <v/>
      </c>
    </row>
    <row r="109" customFormat="false" ht="15" hidden="false" customHeight="false" outlineLevel="0" collapsed="false">
      <c r="B109" s="27"/>
      <c r="C109" s="25"/>
      <c r="D109" s="25"/>
      <c r="E109" s="28"/>
      <c r="F109" s="25"/>
      <c r="G109" s="25"/>
      <c r="I109" s="24" t="str">
        <f aca="false">IF(D109="","",IFERROR(INDEX(Categorias!$C$6:$C$45,MATCH(D109,Categorias!$B$6:$B$45,0)),"Sem grupo"))</f>
        <v/>
      </c>
      <c r="J109" s="29" t="str">
        <f aca="false">IF(B109="","",DATE(YEAR(B109),MONTH(B109),1))</f>
        <v/>
      </c>
    </row>
    <row r="110" customFormat="false" ht="15" hidden="false" customHeight="false" outlineLevel="0" collapsed="false">
      <c r="B110" s="27"/>
      <c r="C110" s="25"/>
      <c r="D110" s="25"/>
      <c r="E110" s="28"/>
      <c r="F110" s="25"/>
      <c r="G110" s="25"/>
      <c r="I110" s="24" t="str">
        <f aca="false">IF(D110="","",IFERROR(INDEX(Categorias!$C$6:$C$45,MATCH(D110,Categorias!$B$6:$B$45,0)),"Sem grupo"))</f>
        <v/>
      </c>
      <c r="J110" s="29" t="str">
        <f aca="false">IF(B110="","",DATE(YEAR(B110),MONTH(B110),1))</f>
        <v/>
      </c>
    </row>
    <row r="111" customFormat="false" ht="15" hidden="false" customHeight="false" outlineLevel="0" collapsed="false">
      <c r="B111" s="27"/>
      <c r="C111" s="25"/>
      <c r="D111" s="25"/>
      <c r="E111" s="28"/>
      <c r="F111" s="25"/>
      <c r="G111" s="25"/>
      <c r="I111" s="24" t="str">
        <f aca="false">IF(D111="","",IFERROR(INDEX(Categorias!$C$6:$C$45,MATCH(D111,Categorias!$B$6:$B$45,0)),"Sem grupo"))</f>
        <v/>
      </c>
      <c r="J111" s="29" t="str">
        <f aca="false">IF(B111="","",DATE(YEAR(B111),MONTH(B111),1))</f>
        <v/>
      </c>
    </row>
    <row r="112" customFormat="false" ht="15" hidden="false" customHeight="false" outlineLevel="0" collapsed="false">
      <c r="B112" s="27"/>
      <c r="C112" s="25"/>
      <c r="D112" s="25"/>
      <c r="E112" s="28"/>
      <c r="F112" s="25"/>
      <c r="G112" s="25"/>
      <c r="I112" s="24" t="str">
        <f aca="false">IF(D112="","",IFERROR(INDEX(Categorias!$C$6:$C$45,MATCH(D112,Categorias!$B$6:$B$45,0)),"Sem grupo"))</f>
        <v/>
      </c>
      <c r="J112" s="29" t="str">
        <f aca="false">IF(B112="","",DATE(YEAR(B112),MONTH(B112),1))</f>
        <v/>
      </c>
    </row>
    <row r="113" customFormat="false" ht="15" hidden="false" customHeight="false" outlineLevel="0" collapsed="false">
      <c r="B113" s="27"/>
      <c r="C113" s="25"/>
      <c r="D113" s="25"/>
      <c r="E113" s="28"/>
      <c r="F113" s="25"/>
      <c r="G113" s="25"/>
      <c r="I113" s="24" t="str">
        <f aca="false">IF(D113="","",IFERROR(INDEX(Categorias!$C$6:$C$45,MATCH(D113,Categorias!$B$6:$B$45,0)),"Sem grupo"))</f>
        <v/>
      </c>
      <c r="J113" s="29" t="str">
        <f aca="false">IF(B113="","",DATE(YEAR(B113),MONTH(B113),1))</f>
        <v/>
      </c>
    </row>
    <row r="114" customFormat="false" ht="15" hidden="false" customHeight="false" outlineLevel="0" collapsed="false">
      <c r="B114" s="27"/>
      <c r="C114" s="25"/>
      <c r="D114" s="25"/>
      <c r="E114" s="28"/>
      <c r="F114" s="25"/>
      <c r="G114" s="25"/>
      <c r="I114" s="24" t="str">
        <f aca="false">IF(D114="","",IFERROR(INDEX(Categorias!$C$6:$C$45,MATCH(D114,Categorias!$B$6:$B$45,0)),"Sem grupo"))</f>
        <v/>
      </c>
      <c r="J114" s="29" t="str">
        <f aca="false">IF(B114="","",DATE(YEAR(B114),MONTH(B114),1))</f>
        <v/>
      </c>
    </row>
    <row r="115" customFormat="false" ht="15" hidden="false" customHeight="false" outlineLevel="0" collapsed="false">
      <c r="B115" s="27"/>
      <c r="C115" s="25"/>
      <c r="D115" s="25"/>
      <c r="E115" s="28"/>
      <c r="F115" s="25"/>
      <c r="G115" s="25"/>
      <c r="I115" s="24" t="str">
        <f aca="false">IF(D115="","",IFERROR(INDEX(Categorias!$C$6:$C$45,MATCH(D115,Categorias!$B$6:$B$45,0)),"Sem grupo"))</f>
        <v/>
      </c>
      <c r="J115" s="29" t="str">
        <f aca="false">IF(B115="","",DATE(YEAR(B115),MONTH(B115),1))</f>
        <v/>
      </c>
    </row>
    <row r="116" customFormat="false" ht="15" hidden="false" customHeight="false" outlineLevel="0" collapsed="false">
      <c r="B116" s="27"/>
      <c r="C116" s="25"/>
      <c r="D116" s="25"/>
      <c r="E116" s="28"/>
      <c r="F116" s="25"/>
      <c r="G116" s="25"/>
      <c r="I116" s="24" t="str">
        <f aca="false">IF(D116="","",IFERROR(INDEX(Categorias!$C$6:$C$45,MATCH(D116,Categorias!$B$6:$B$45,0)),"Sem grupo"))</f>
        <v/>
      </c>
      <c r="J116" s="29" t="str">
        <f aca="false">IF(B116="","",DATE(YEAR(B116),MONTH(B116),1))</f>
        <v/>
      </c>
    </row>
    <row r="117" customFormat="false" ht="15" hidden="false" customHeight="false" outlineLevel="0" collapsed="false">
      <c r="B117" s="27"/>
      <c r="C117" s="25"/>
      <c r="D117" s="25"/>
      <c r="E117" s="28"/>
      <c r="F117" s="25"/>
      <c r="G117" s="25"/>
      <c r="I117" s="24" t="str">
        <f aca="false">IF(D117="","",IFERROR(INDEX(Categorias!$C$6:$C$45,MATCH(D117,Categorias!$B$6:$B$45,0)),"Sem grupo"))</f>
        <v/>
      </c>
      <c r="J117" s="29" t="str">
        <f aca="false">IF(B117="","",DATE(YEAR(B117),MONTH(B117),1))</f>
        <v/>
      </c>
    </row>
    <row r="118" customFormat="false" ht="15" hidden="false" customHeight="false" outlineLevel="0" collapsed="false">
      <c r="B118" s="27"/>
      <c r="C118" s="25"/>
      <c r="D118" s="25"/>
      <c r="E118" s="28"/>
      <c r="F118" s="25"/>
      <c r="G118" s="25"/>
      <c r="I118" s="24" t="str">
        <f aca="false">IF(D118="","",IFERROR(INDEX(Categorias!$C$6:$C$45,MATCH(D118,Categorias!$B$6:$B$45,0)),"Sem grupo"))</f>
        <v/>
      </c>
      <c r="J118" s="29" t="str">
        <f aca="false">IF(B118="","",DATE(YEAR(B118),MONTH(B118),1))</f>
        <v/>
      </c>
    </row>
    <row r="119" customFormat="false" ht="15" hidden="false" customHeight="false" outlineLevel="0" collapsed="false">
      <c r="B119" s="27"/>
      <c r="C119" s="25"/>
      <c r="D119" s="25"/>
      <c r="E119" s="28"/>
      <c r="F119" s="25"/>
      <c r="G119" s="25"/>
      <c r="I119" s="24" t="str">
        <f aca="false">IF(D119="","",IFERROR(INDEX(Categorias!$C$6:$C$45,MATCH(D119,Categorias!$B$6:$B$45,0)),"Sem grupo"))</f>
        <v/>
      </c>
      <c r="J119" s="29" t="str">
        <f aca="false">IF(B119="","",DATE(YEAR(B119),MONTH(B119),1))</f>
        <v/>
      </c>
    </row>
    <row r="120" customFormat="false" ht="15" hidden="false" customHeight="false" outlineLevel="0" collapsed="false">
      <c r="B120" s="27"/>
      <c r="C120" s="25"/>
      <c r="D120" s="25"/>
      <c r="E120" s="28"/>
      <c r="F120" s="25"/>
      <c r="G120" s="25"/>
      <c r="I120" s="24" t="str">
        <f aca="false">IF(D120="","",IFERROR(INDEX(Categorias!$C$6:$C$45,MATCH(D120,Categorias!$B$6:$B$45,0)),"Sem grupo"))</f>
        <v/>
      </c>
      <c r="J120" s="29" t="str">
        <f aca="false">IF(B120="","",DATE(YEAR(B120),MONTH(B120),1))</f>
        <v/>
      </c>
    </row>
    <row r="121" customFormat="false" ht="15" hidden="false" customHeight="false" outlineLevel="0" collapsed="false">
      <c r="B121" s="27"/>
      <c r="C121" s="25"/>
      <c r="D121" s="25"/>
      <c r="E121" s="28"/>
      <c r="F121" s="25"/>
      <c r="G121" s="25"/>
      <c r="I121" s="24" t="str">
        <f aca="false">IF(D121="","",IFERROR(INDEX(Categorias!$C$6:$C$45,MATCH(D121,Categorias!$B$6:$B$45,0)),"Sem grupo"))</f>
        <v/>
      </c>
      <c r="J121" s="29" t="str">
        <f aca="false">IF(B121="","",DATE(YEAR(B121),MONTH(B121),1))</f>
        <v/>
      </c>
    </row>
    <row r="122" customFormat="false" ht="15" hidden="false" customHeight="false" outlineLevel="0" collapsed="false">
      <c r="B122" s="27"/>
      <c r="C122" s="25"/>
      <c r="D122" s="25"/>
      <c r="E122" s="28"/>
      <c r="F122" s="25"/>
      <c r="G122" s="25"/>
      <c r="I122" s="24" t="str">
        <f aca="false">IF(D122="","",IFERROR(INDEX(Categorias!$C$6:$C$45,MATCH(D122,Categorias!$B$6:$B$45,0)),"Sem grupo"))</f>
        <v/>
      </c>
      <c r="J122" s="29" t="str">
        <f aca="false">IF(B122="","",DATE(YEAR(B122),MONTH(B122),1))</f>
        <v/>
      </c>
    </row>
    <row r="123" customFormat="false" ht="15" hidden="false" customHeight="false" outlineLevel="0" collapsed="false">
      <c r="B123" s="27"/>
      <c r="C123" s="25"/>
      <c r="D123" s="25"/>
      <c r="E123" s="28"/>
      <c r="F123" s="25"/>
      <c r="G123" s="25"/>
      <c r="I123" s="24" t="str">
        <f aca="false">IF(D123="","",IFERROR(INDEX(Categorias!$C$6:$C$45,MATCH(D123,Categorias!$B$6:$B$45,0)),"Sem grupo"))</f>
        <v/>
      </c>
      <c r="J123" s="29" t="str">
        <f aca="false">IF(B123="","",DATE(YEAR(B123),MONTH(B123),1))</f>
        <v/>
      </c>
    </row>
    <row r="124" customFormat="false" ht="15" hidden="false" customHeight="false" outlineLevel="0" collapsed="false">
      <c r="B124" s="27"/>
      <c r="C124" s="25"/>
      <c r="D124" s="25"/>
      <c r="E124" s="28"/>
      <c r="F124" s="25"/>
      <c r="G124" s="25"/>
      <c r="I124" s="24" t="str">
        <f aca="false">IF(D124="","",IFERROR(INDEX(Categorias!$C$6:$C$45,MATCH(D124,Categorias!$B$6:$B$45,0)),"Sem grupo"))</f>
        <v/>
      </c>
      <c r="J124" s="29" t="str">
        <f aca="false">IF(B124="","",DATE(YEAR(B124),MONTH(B124),1))</f>
        <v/>
      </c>
    </row>
    <row r="125" customFormat="false" ht="15" hidden="false" customHeight="false" outlineLevel="0" collapsed="false">
      <c r="B125" s="27"/>
      <c r="C125" s="25"/>
      <c r="D125" s="25"/>
      <c r="E125" s="28"/>
      <c r="F125" s="25"/>
      <c r="G125" s="25"/>
      <c r="I125" s="24" t="str">
        <f aca="false">IF(D125="","",IFERROR(INDEX(Categorias!$C$6:$C$45,MATCH(D125,Categorias!$B$6:$B$45,0)),"Sem grupo"))</f>
        <v/>
      </c>
      <c r="J125" s="29" t="str">
        <f aca="false">IF(B125="","",DATE(YEAR(B125),MONTH(B125),1))</f>
        <v/>
      </c>
    </row>
    <row r="126" customFormat="false" ht="15" hidden="false" customHeight="false" outlineLevel="0" collapsed="false">
      <c r="B126" s="27"/>
      <c r="C126" s="25"/>
      <c r="D126" s="25"/>
      <c r="E126" s="28"/>
      <c r="F126" s="25"/>
      <c r="G126" s="25"/>
      <c r="I126" s="24" t="str">
        <f aca="false">IF(D126="","",IFERROR(INDEX(Categorias!$C$6:$C$45,MATCH(D126,Categorias!$B$6:$B$45,0)),"Sem grupo"))</f>
        <v/>
      </c>
      <c r="J126" s="29" t="str">
        <f aca="false">IF(B126="","",DATE(YEAR(B126),MONTH(B126),1))</f>
        <v/>
      </c>
    </row>
    <row r="127" customFormat="false" ht="15" hidden="false" customHeight="false" outlineLevel="0" collapsed="false">
      <c r="B127" s="27"/>
      <c r="C127" s="25"/>
      <c r="D127" s="25"/>
      <c r="E127" s="28"/>
      <c r="F127" s="25"/>
      <c r="G127" s="25"/>
      <c r="I127" s="24" t="str">
        <f aca="false">IF(D127="","",IFERROR(INDEX(Categorias!$C$6:$C$45,MATCH(D127,Categorias!$B$6:$B$45,0)),"Sem grupo"))</f>
        <v/>
      </c>
      <c r="J127" s="29" t="str">
        <f aca="false">IF(B127="","",DATE(YEAR(B127),MONTH(B127),1))</f>
        <v/>
      </c>
    </row>
    <row r="128" customFormat="false" ht="15" hidden="false" customHeight="false" outlineLevel="0" collapsed="false">
      <c r="B128" s="27"/>
      <c r="C128" s="25"/>
      <c r="D128" s="25"/>
      <c r="E128" s="28"/>
      <c r="F128" s="25"/>
      <c r="G128" s="25"/>
      <c r="I128" s="24" t="str">
        <f aca="false">IF(D128="","",IFERROR(INDEX(Categorias!$C$6:$C$45,MATCH(D128,Categorias!$B$6:$B$45,0)),"Sem grupo"))</f>
        <v/>
      </c>
      <c r="J128" s="29" t="str">
        <f aca="false">IF(B128="","",DATE(YEAR(B128),MONTH(B128),1))</f>
        <v/>
      </c>
    </row>
    <row r="129" customFormat="false" ht="15" hidden="false" customHeight="false" outlineLevel="0" collapsed="false">
      <c r="B129" s="27"/>
      <c r="C129" s="25"/>
      <c r="D129" s="25"/>
      <c r="E129" s="28"/>
      <c r="F129" s="25"/>
      <c r="G129" s="25"/>
      <c r="I129" s="24" t="str">
        <f aca="false">IF(D129="","",IFERROR(INDEX(Categorias!$C$6:$C$45,MATCH(D129,Categorias!$B$6:$B$45,0)),"Sem grupo"))</f>
        <v/>
      </c>
      <c r="J129" s="29" t="str">
        <f aca="false">IF(B129="","",DATE(YEAR(B129),MONTH(B129),1))</f>
        <v/>
      </c>
    </row>
    <row r="130" customFormat="false" ht="15" hidden="false" customHeight="false" outlineLevel="0" collapsed="false">
      <c r="B130" s="27"/>
      <c r="C130" s="25"/>
      <c r="D130" s="25"/>
      <c r="E130" s="28"/>
      <c r="F130" s="25"/>
      <c r="G130" s="25"/>
      <c r="I130" s="24" t="str">
        <f aca="false">IF(D130="","",IFERROR(INDEX(Categorias!$C$6:$C$45,MATCH(D130,Categorias!$B$6:$B$45,0)),"Sem grupo"))</f>
        <v/>
      </c>
      <c r="J130" s="29" t="str">
        <f aca="false">IF(B130="","",DATE(YEAR(B130),MONTH(B130),1))</f>
        <v/>
      </c>
    </row>
    <row r="131" customFormat="false" ht="15" hidden="false" customHeight="false" outlineLevel="0" collapsed="false">
      <c r="B131" s="27"/>
      <c r="C131" s="25"/>
      <c r="D131" s="25"/>
      <c r="E131" s="28"/>
      <c r="F131" s="25"/>
      <c r="G131" s="25"/>
      <c r="I131" s="24" t="str">
        <f aca="false">IF(D131="","",IFERROR(INDEX(Categorias!$C$6:$C$45,MATCH(D131,Categorias!$B$6:$B$45,0)),"Sem grupo"))</f>
        <v/>
      </c>
      <c r="J131" s="29" t="str">
        <f aca="false">IF(B131="","",DATE(YEAR(B131),MONTH(B131),1))</f>
        <v/>
      </c>
    </row>
    <row r="132" customFormat="false" ht="15" hidden="false" customHeight="false" outlineLevel="0" collapsed="false">
      <c r="B132" s="27"/>
      <c r="C132" s="25"/>
      <c r="D132" s="25"/>
      <c r="E132" s="28"/>
      <c r="F132" s="25"/>
      <c r="G132" s="25"/>
      <c r="I132" s="24" t="str">
        <f aca="false">IF(D132="","",IFERROR(INDEX(Categorias!$C$6:$C$45,MATCH(D132,Categorias!$B$6:$B$45,0)),"Sem grupo"))</f>
        <v/>
      </c>
      <c r="J132" s="29" t="str">
        <f aca="false">IF(B132="","",DATE(YEAR(B132),MONTH(B132),1))</f>
        <v/>
      </c>
    </row>
    <row r="133" customFormat="false" ht="15" hidden="false" customHeight="false" outlineLevel="0" collapsed="false">
      <c r="B133" s="27"/>
      <c r="C133" s="25"/>
      <c r="D133" s="25"/>
      <c r="E133" s="28"/>
      <c r="F133" s="25"/>
      <c r="G133" s="25"/>
      <c r="I133" s="24" t="str">
        <f aca="false">IF(D133="","",IFERROR(INDEX(Categorias!$C$6:$C$45,MATCH(D133,Categorias!$B$6:$B$45,0)),"Sem grupo"))</f>
        <v/>
      </c>
      <c r="J133" s="29" t="str">
        <f aca="false">IF(B133="","",DATE(YEAR(B133),MONTH(B133),1))</f>
        <v/>
      </c>
    </row>
    <row r="134" customFormat="false" ht="15" hidden="false" customHeight="false" outlineLevel="0" collapsed="false">
      <c r="B134" s="27"/>
      <c r="C134" s="25"/>
      <c r="D134" s="25"/>
      <c r="E134" s="28"/>
      <c r="F134" s="25"/>
      <c r="G134" s="25"/>
      <c r="I134" s="24" t="str">
        <f aca="false">IF(D134="","",IFERROR(INDEX(Categorias!$C$6:$C$45,MATCH(D134,Categorias!$B$6:$B$45,0)),"Sem grupo"))</f>
        <v/>
      </c>
      <c r="J134" s="29" t="str">
        <f aca="false">IF(B134="","",DATE(YEAR(B134),MONTH(B134),1))</f>
        <v/>
      </c>
    </row>
    <row r="135" customFormat="false" ht="15" hidden="false" customHeight="false" outlineLevel="0" collapsed="false">
      <c r="B135" s="27"/>
      <c r="C135" s="25"/>
      <c r="D135" s="25"/>
      <c r="E135" s="28"/>
      <c r="F135" s="25"/>
      <c r="G135" s="25"/>
      <c r="I135" s="24" t="str">
        <f aca="false">IF(D135="","",IFERROR(INDEX(Categorias!$C$6:$C$45,MATCH(D135,Categorias!$B$6:$B$45,0)),"Sem grupo"))</f>
        <v/>
      </c>
      <c r="J135" s="29" t="str">
        <f aca="false">IF(B135="","",DATE(YEAR(B135),MONTH(B135),1))</f>
        <v/>
      </c>
    </row>
    <row r="136" customFormat="false" ht="15" hidden="false" customHeight="false" outlineLevel="0" collapsed="false">
      <c r="B136" s="27"/>
      <c r="C136" s="25"/>
      <c r="D136" s="25"/>
      <c r="E136" s="28"/>
      <c r="F136" s="25"/>
      <c r="G136" s="25"/>
      <c r="I136" s="24" t="str">
        <f aca="false">IF(D136="","",IFERROR(INDEX(Categorias!$C$6:$C$45,MATCH(D136,Categorias!$B$6:$B$45,0)),"Sem grupo"))</f>
        <v/>
      </c>
      <c r="J136" s="29" t="str">
        <f aca="false">IF(B136="","",DATE(YEAR(B136),MONTH(B136),1))</f>
        <v/>
      </c>
    </row>
    <row r="137" customFormat="false" ht="15" hidden="false" customHeight="false" outlineLevel="0" collapsed="false">
      <c r="B137" s="27"/>
      <c r="C137" s="25"/>
      <c r="D137" s="25"/>
      <c r="E137" s="28"/>
      <c r="F137" s="25"/>
      <c r="G137" s="25"/>
      <c r="I137" s="24" t="str">
        <f aca="false">IF(D137="","",IFERROR(INDEX(Categorias!$C$6:$C$45,MATCH(D137,Categorias!$B$6:$B$45,0)),"Sem grupo"))</f>
        <v/>
      </c>
      <c r="J137" s="29" t="str">
        <f aca="false">IF(B137="","",DATE(YEAR(B137),MONTH(B137),1))</f>
        <v/>
      </c>
    </row>
    <row r="138" customFormat="false" ht="15" hidden="false" customHeight="false" outlineLevel="0" collapsed="false">
      <c r="B138" s="27"/>
      <c r="C138" s="25"/>
      <c r="D138" s="25"/>
      <c r="E138" s="28"/>
      <c r="F138" s="25"/>
      <c r="G138" s="25"/>
      <c r="I138" s="24" t="str">
        <f aca="false">IF(D138="","",IFERROR(INDEX(Categorias!$C$6:$C$45,MATCH(D138,Categorias!$B$6:$B$45,0)),"Sem grupo"))</f>
        <v/>
      </c>
      <c r="J138" s="29" t="str">
        <f aca="false">IF(B138="","",DATE(YEAR(B138),MONTH(B138),1))</f>
        <v/>
      </c>
    </row>
    <row r="139" customFormat="false" ht="15" hidden="false" customHeight="false" outlineLevel="0" collapsed="false">
      <c r="B139" s="27"/>
      <c r="C139" s="25"/>
      <c r="D139" s="25"/>
      <c r="E139" s="28"/>
      <c r="F139" s="25"/>
      <c r="G139" s="25"/>
      <c r="I139" s="24" t="str">
        <f aca="false">IF(D139="","",IFERROR(INDEX(Categorias!$C$6:$C$45,MATCH(D139,Categorias!$B$6:$B$45,0)),"Sem grupo"))</f>
        <v/>
      </c>
      <c r="J139" s="29" t="str">
        <f aca="false">IF(B139="","",DATE(YEAR(B139),MONTH(B139),1))</f>
        <v/>
      </c>
    </row>
    <row r="140" customFormat="false" ht="15" hidden="false" customHeight="false" outlineLevel="0" collapsed="false">
      <c r="B140" s="27"/>
      <c r="C140" s="25"/>
      <c r="D140" s="25"/>
      <c r="E140" s="28"/>
      <c r="F140" s="25"/>
      <c r="G140" s="25"/>
      <c r="I140" s="24" t="str">
        <f aca="false">IF(D140="","",IFERROR(INDEX(Categorias!$C$6:$C$45,MATCH(D140,Categorias!$B$6:$B$45,0)),"Sem grupo"))</f>
        <v/>
      </c>
      <c r="J140" s="29" t="str">
        <f aca="false">IF(B140="","",DATE(YEAR(B140),MONTH(B140),1))</f>
        <v/>
      </c>
    </row>
    <row r="141" customFormat="false" ht="15" hidden="false" customHeight="false" outlineLevel="0" collapsed="false">
      <c r="B141" s="27"/>
      <c r="C141" s="25"/>
      <c r="D141" s="25"/>
      <c r="E141" s="28"/>
      <c r="F141" s="25"/>
      <c r="G141" s="25"/>
      <c r="I141" s="24" t="str">
        <f aca="false">IF(D141="","",IFERROR(INDEX(Categorias!$C$6:$C$45,MATCH(D141,Categorias!$B$6:$B$45,0)),"Sem grupo"))</f>
        <v/>
      </c>
      <c r="J141" s="29" t="str">
        <f aca="false">IF(B141="","",DATE(YEAR(B141),MONTH(B141),1))</f>
        <v/>
      </c>
    </row>
    <row r="142" customFormat="false" ht="15" hidden="false" customHeight="false" outlineLevel="0" collapsed="false">
      <c r="B142" s="27"/>
      <c r="C142" s="25"/>
      <c r="D142" s="25"/>
      <c r="E142" s="28"/>
      <c r="F142" s="25"/>
      <c r="G142" s="25"/>
      <c r="I142" s="24" t="str">
        <f aca="false">IF(D142="","",IFERROR(INDEX(Categorias!$C$6:$C$45,MATCH(D142,Categorias!$B$6:$B$45,0)),"Sem grupo"))</f>
        <v/>
      </c>
      <c r="J142" s="29" t="str">
        <f aca="false">IF(B142="","",DATE(YEAR(B142),MONTH(B142),1))</f>
        <v/>
      </c>
    </row>
    <row r="143" customFormat="false" ht="15" hidden="false" customHeight="false" outlineLevel="0" collapsed="false">
      <c r="B143" s="27"/>
      <c r="C143" s="25"/>
      <c r="D143" s="25"/>
      <c r="E143" s="28"/>
      <c r="F143" s="25"/>
      <c r="G143" s="25"/>
      <c r="I143" s="24" t="str">
        <f aca="false">IF(D143="","",IFERROR(INDEX(Categorias!$C$6:$C$45,MATCH(D143,Categorias!$B$6:$B$45,0)),"Sem grupo"))</f>
        <v/>
      </c>
      <c r="J143" s="29" t="str">
        <f aca="false">IF(B143="","",DATE(YEAR(B143),MONTH(B143),1))</f>
        <v/>
      </c>
    </row>
    <row r="144" customFormat="false" ht="15" hidden="false" customHeight="false" outlineLevel="0" collapsed="false">
      <c r="B144" s="27"/>
      <c r="C144" s="25"/>
      <c r="D144" s="25"/>
      <c r="E144" s="28"/>
      <c r="F144" s="25"/>
      <c r="G144" s="25"/>
      <c r="I144" s="24" t="str">
        <f aca="false">IF(D144="","",IFERROR(INDEX(Categorias!$C$6:$C$45,MATCH(D144,Categorias!$B$6:$B$45,0)),"Sem grupo"))</f>
        <v/>
      </c>
      <c r="J144" s="29" t="str">
        <f aca="false">IF(B144="","",DATE(YEAR(B144),MONTH(B144),1))</f>
        <v/>
      </c>
    </row>
    <row r="145" customFormat="false" ht="15" hidden="false" customHeight="false" outlineLevel="0" collapsed="false">
      <c r="B145" s="27"/>
      <c r="C145" s="25"/>
      <c r="D145" s="25"/>
      <c r="E145" s="28"/>
      <c r="F145" s="25"/>
      <c r="G145" s="25"/>
      <c r="I145" s="24" t="str">
        <f aca="false">IF(D145="","",IFERROR(INDEX(Categorias!$C$6:$C$45,MATCH(D145,Categorias!$B$6:$B$45,0)),"Sem grupo"))</f>
        <v/>
      </c>
      <c r="J145" s="29" t="str">
        <f aca="false">IF(B145="","",DATE(YEAR(B145),MONTH(B145),1))</f>
        <v/>
      </c>
    </row>
    <row r="146" customFormat="false" ht="15" hidden="false" customHeight="false" outlineLevel="0" collapsed="false">
      <c r="B146" s="27"/>
      <c r="C146" s="25"/>
      <c r="D146" s="25"/>
      <c r="E146" s="28"/>
      <c r="F146" s="25"/>
      <c r="G146" s="25"/>
      <c r="I146" s="24" t="str">
        <f aca="false">IF(D146="","",IFERROR(INDEX(Categorias!$C$6:$C$45,MATCH(D146,Categorias!$B$6:$B$45,0)),"Sem grupo"))</f>
        <v/>
      </c>
      <c r="J146" s="29" t="str">
        <f aca="false">IF(B146="","",DATE(YEAR(B146),MONTH(B146),1))</f>
        <v/>
      </c>
    </row>
    <row r="147" customFormat="false" ht="15" hidden="false" customHeight="false" outlineLevel="0" collapsed="false">
      <c r="B147" s="27"/>
      <c r="C147" s="25"/>
      <c r="D147" s="25"/>
      <c r="E147" s="28"/>
      <c r="F147" s="25"/>
      <c r="G147" s="25"/>
      <c r="I147" s="24" t="str">
        <f aca="false">IF(D147="","",IFERROR(INDEX(Categorias!$C$6:$C$45,MATCH(D147,Categorias!$B$6:$B$45,0)),"Sem grupo"))</f>
        <v/>
      </c>
      <c r="J147" s="29" t="str">
        <f aca="false">IF(B147="","",DATE(YEAR(B147),MONTH(B147),1))</f>
        <v/>
      </c>
    </row>
    <row r="148" customFormat="false" ht="15" hidden="false" customHeight="false" outlineLevel="0" collapsed="false">
      <c r="B148" s="27"/>
      <c r="C148" s="25"/>
      <c r="D148" s="25"/>
      <c r="E148" s="28"/>
      <c r="F148" s="25"/>
      <c r="G148" s="25"/>
      <c r="I148" s="24" t="str">
        <f aca="false">IF(D148="","",IFERROR(INDEX(Categorias!$C$6:$C$45,MATCH(D148,Categorias!$B$6:$B$45,0)),"Sem grupo"))</f>
        <v/>
      </c>
      <c r="J148" s="29" t="str">
        <f aca="false">IF(B148="","",DATE(YEAR(B148),MONTH(B148),1))</f>
        <v/>
      </c>
    </row>
    <row r="149" customFormat="false" ht="15" hidden="false" customHeight="false" outlineLevel="0" collapsed="false">
      <c r="B149" s="27"/>
      <c r="C149" s="25"/>
      <c r="D149" s="25"/>
      <c r="E149" s="28"/>
      <c r="F149" s="25"/>
      <c r="G149" s="25"/>
      <c r="I149" s="24" t="str">
        <f aca="false">IF(D149="","",IFERROR(INDEX(Categorias!$C$6:$C$45,MATCH(D149,Categorias!$B$6:$B$45,0)),"Sem grupo"))</f>
        <v/>
      </c>
      <c r="J149" s="29" t="str">
        <f aca="false">IF(B149="","",DATE(YEAR(B149),MONTH(B149),1))</f>
        <v/>
      </c>
    </row>
    <row r="150" customFormat="false" ht="15" hidden="false" customHeight="false" outlineLevel="0" collapsed="false">
      <c r="B150" s="27"/>
      <c r="C150" s="25"/>
      <c r="D150" s="25"/>
      <c r="E150" s="28"/>
      <c r="F150" s="25"/>
      <c r="G150" s="25"/>
      <c r="I150" s="24" t="str">
        <f aca="false">IF(D150="","",IFERROR(INDEX(Categorias!$C$6:$C$45,MATCH(D150,Categorias!$B$6:$B$45,0)),"Sem grupo"))</f>
        <v/>
      </c>
      <c r="J150" s="29" t="str">
        <f aca="false">IF(B150="","",DATE(YEAR(B150),MONTH(B150),1))</f>
        <v/>
      </c>
    </row>
    <row r="151" customFormat="false" ht="15" hidden="false" customHeight="false" outlineLevel="0" collapsed="false">
      <c r="B151" s="27"/>
      <c r="C151" s="25"/>
      <c r="D151" s="25"/>
      <c r="E151" s="28"/>
      <c r="F151" s="25"/>
      <c r="G151" s="25"/>
      <c r="I151" s="24" t="str">
        <f aca="false">IF(D151="","",IFERROR(INDEX(Categorias!$C$6:$C$45,MATCH(D151,Categorias!$B$6:$B$45,0)),"Sem grupo"))</f>
        <v/>
      </c>
      <c r="J151" s="29" t="str">
        <f aca="false">IF(B151="","",DATE(YEAR(B151),MONTH(B151),1))</f>
        <v/>
      </c>
    </row>
    <row r="152" customFormat="false" ht="15" hidden="false" customHeight="false" outlineLevel="0" collapsed="false">
      <c r="B152" s="27"/>
      <c r="C152" s="25"/>
      <c r="D152" s="25"/>
      <c r="E152" s="28"/>
      <c r="F152" s="25"/>
      <c r="G152" s="25"/>
      <c r="I152" s="24" t="str">
        <f aca="false">IF(D152="","",IFERROR(INDEX(Categorias!$C$6:$C$45,MATCH(D152,Categorias!$B$6:$B$45,0)),"Sem grupo"))</f>
        <v/>
      </c>
      <c r="J152" s="29" t="str">
        <f aca="false">IF(B152="","",DATE(YEAR(B152),MONTH(B152),1))</f>
        <v/>
      </c>
    </row>
    <row r="153" customFormat="false" ht="15" hidden="false" customHeight="false" outlineLevel="0" collapsed="false">
      <c r="B153" s="27"/>
      <c r="C153" s="25"/>
      <c r="D153" s="25"/>
      <c r="E153" s="28"/>
      <c r="F153" s="25"/>
      <c r="G153" s="25"/>
      <c r="I153" s="24" t="str">
        <f aca="false">IF(D153="","",IFERROR(INDEX(Categorias!$C$6:$C$45,MATCH(D153,Categorias!$B$6:$B$45,0)),"Sem grupo"))</f>
        <v/>
      </c>
      <c r="J153" s="29" t="str">
        <f aca="false">IF(B153="","",DATE(YEAR(B153),MONTH(B153),1))</f>
        <v/>
      </c>
    </row>
    <row r="154" customFormat="false" ht="15" hidden="false" customHeight="false" outlineLevel="0" collapsed="false">
      <c r="B154" s="27"/>
      <c r="C154" s="25"/>
      <c r="D154" s="25"/>
      <c r="E154" s="28"/>
      <c r="F154" s="25"/>
      <c r="G154" s="25"/>
      <c r="I154" s="24" t="str">
        <f aca="false">IF(D154="","",IFERROR(INDEX(Categorias!$C$6:$C$45,MATCH(D154,Categorias!$B$6:$B$45,0)),"Sem grupo"))</f>
        <v/>
      </c>
      <c r="J154" s="29" t="str">
        <f aca="false">IF(B154="","",DATE(YEAR(B154),MONTH(B154),1))</f>
        <v/>
      </c>
    </row>
    <row r="155" customFormat="false" ht="15" hidden="false" customHeight="false" outlineLevel="0" collapsed="false">
      <c r="B155" s="27"/>
      <c r="C155" s="25"/>
      <c r="D155" s="25"/>
      <c r="E155" s="28"/>
      <c r="F155" s="25"/>
      <c r="G155" s="25"/>
      <c r="I155" s="24" t="str">
        <f aca="false">IF(D155="","",IFERROR(INDEX(Categorias!$C$6:$C$45,MATCH(D155,Categorias!$B$6:$B$45,0)),"Sem grupo"))</f>
        <v/>
      </c>
      <c r="J155" s="29" t="str">
        <f aca="false">IF(B155="","",DATE(YEAR(B155),MONTH(B155),1))</f>
        <v/>
      </c>
    </row>
    <row r="156" customFormat="false" ht="15" hidden="false" customHeight="false" outlineLevel="0" collapsed="false">
      <c r="B156" s="27"/>
      <c r="C156" s="25"/>
      <c r="D156" s="25"/>
      <c r="E156" s="28"/>
      <c r="F156" s="25"/>
      <c r="G156" s="25"/>
      <c r="I156" s="24" t="str">
        <f aca="false">IF(D156="","",IFERROR(INDEX(Categorias!$C$6:$C$45,MATCH(D156,Categorias!$B$6:$B$45,0)),"Sem grupo"))</f>
        <v/>
      </c>
      <c r="J156" s="29" t="str">
        <f aca="false">IF(B156="","",DATE(YEAR(B156),MONTH(B156),1))</f>
        <v/>
      </c>
    </row>
    <row r="157" customFormat="false" ht="15" hidden="false" customHeight="false" outlineLevel="0" collapsed="false">
      <c r="B157" s="27"/>
      <c r="C157" s="25"/>
      <c r="D157" s="25"/>
      <c r="E157" s="28"/>
      <c r="F157" s="25"/>
      <c r="G157" s="25"/>
      <c r="I157" s="24" t="str">
        <f aca="false">IF(D157="","",IFERROR(INDEX(Categorias!$C$6:$C$45,MATCH(D157,Categorias!$B$6:$B$45,0)),"Sem grupo"))</f>
        <v/>
      </c>
      <c r="J157" s="29" t="str">
        <f aca="false">IF(B157="","",DATE(YEAR(B157),MONTH(B157),1))</f>
        <v/>
      </c>
    </row>
    <row r="158" customFormat="false" ht="15" hidden="false" customHeight="false" outlineLevel="0" collapsed="false">
      <c r="B158" s="27"/>
      <c r="C158" s="25"/>
      <c r="D158" s="25"/>
      <c r="E158" s="28"/>
      <c r="F158" s="25"/>
      <c r="G158" s="25"/>
      <c r="I158" s="24" t="str">
        <f aca="false">IF(D158="","",IFERROR(INDEX(Categorias!$C$6:$C$45,MATCH(D158,Categorias!$B$6:$B$45,0)),"Sem grupo"))</f>
        <v/>
      </c>
      <c r="J158" s="29" t="str">
        <f aca="false">IF(B158="","",DATE(YEAR(B158),MONTH(B158),1))</f>
        <v/>
      </c>
    </row>
    <row r="159" customFormat="false" ht="15" hidden="false" customHeight="false" outlineLevel="0" collapsed="false">
      <c r="B159" s="27"/>
      <c r="C159" s="25"/>
      <c r="D159" s="25"/>
      <c r="E159" s="28"/>
      <c r="F159" s="25"/>
      <c r="G159" s="25"/>
      <c r="I159" s="24" t="str">
        <f aca="false">IF(D159="","",IFERROR(INDEX(Categorias!$C$6:$C$45,MATCH(D159,Categorias!$B$6:$B$45,0)),"Sem grupo"))</f>
        <v/>
      </c>
      <c r="J159" s="29" t="str">
        <f aca="false">IF(B159="","",DATE(YEAR(B159),MONTH(B159),1))</f>
        <v/>
      </c>
    </row>
    <row r="160" customFormat="false" ht="15" hidden="false" customHeight="false" outlineLevel="0" collapsed="false">
      <c r="B160" s="27"/>
      <c r="C160" s="25"/>
      <c r="D160" s="25"/>
      <c r="E160" s="28"/>
      <c r="F160" s="25"/>
      <c r="G160" s="25"/>
      <c r="I160" s="24" t="str">
        <f aca="false">IF(D160="","",IFERROR(INDEX(Categorias!$C$6:$C$45,MATCH(D160,Categorias!$B$6:$B$45,0)),"Sem grupo"))</f>
        <v/>
      </c>
      <c r="J160" s="29" t="str">
        <f aca="false">IF(B160="","",DATE(YEAR(B160),MONTH(B160),1))</f>
        <v/>
      </c>
    </row>
    <row r="161" customFormat="false" ht="15" hidden="false" customHeight="false" outlineLevel="0" collapsed="false">
      <c r="B161" s="27"/>
      <c r="C161" s="25"/>
      <c r="D161" s="25"/>
      <c r="E161" s="28"/>
      <c r="F161" s="25"/>
      <c r="G161" s="25"/>
      <c r="I161" s="24" t="str">
        <f aca="false">IF(D161="","",IFERROR(INDEX(Categorias!$C$6:$C$45,MATCH(D161,Categorias!$B$6:$B$45,0)),"Sem grupo"))</f>
        <v/>
      </c>
      <c r="J161" s="29" t="str">
        <f aca="false">IF(B161="","",DATE(YEAR(B161),MONTH(B161),1))</f>
        <v/>
      </c>
    </row>
    <row r="162" customFormat="false" ht="15" hidden="false" customHeight="false" outlineLevel="0" collapsed="false">
      <c r="B162" s="27"/>
      <c r="C162" s="25"/>
      <c r="D162" s="25"/>
      <c r="E162" s="28"/>
      <c r="F162" s="25"/>
      <c r="G162" s="25"/>
      <c r="I162" s="24" t="str">
        <f aca="false">IF(D162="","",IFERROR(INDEX(Categorias!$C$6:$C$45,MATCH(D162,Categorias!$B$6:$B$45,0)),"Sem grupo"))</f>
        <v/>
      </c>
      <c r="J162" s="29" t="str">
        <f aca="false">IF(B162="","",DATE(YEAR(B162),MONTH(B162),1))</f>
        <v/>
      </c>
    </row>
    <row r="163" customFormat="false" ht="15" hidden="false" customHeight="false" outlineLevel="0" collapsed="false">
      <c r="B163" s="27"/>
      <c r="C163" s="25"/>
      <c r="D163" s="25"/>
      <c r="E163" s="28"/>
      <c r="F163" s="25"/>
      <c r="G163" s="25"/>
      <c r="I163" s="24" t="str">
        <f aca="false">IF(D163="","",IFERROR(INDEX(Categorias!$C$6:$C$45,MATCH(D163,Categorias!$B$6:$B$45,0)),"Sem grupo"))</f>
        <v/>
      </c>
      <c r="J163" s="29" t="str">
        <f aca="false">IF(B163="","",DATE(YEAR(B163),MONTH(B163),1))</f>
        <v/>
      </c>
    </row>
    <row r="164" customFormat="false" ht="15" hidden="false" customHeight="false" outlineLevel="0" collapsed="false">
      <c r="B164" s="27"/>
      <c r="C164" s="25"/>
      <c r="D164" s="25"/>
      <c r="E164" s="28"/>
      <c r="F164" s="25"/>
      <c r="G164" s="25"/>
      <c r="I164" s="24" t="str">
        <f aca="false">IF(D164="","",IFERROR(INDEX(Categorias!$C$6:$C$45,MATCH(D164,Categorias!$B$6:$B$45,0)),"Sem grupo"))</f>
        <v/>
      </c>
      <c r="J164" s="29" t="str">
        <f aca="false">IF(B164="","",DATE(YEAR(B164),MONTH(B164),1))</f>
        <v/>
      </c>
    </row>
    <row r="165" customFormat="false" ht="15" hidden="false" customHeight="false" outlineLevel="0" collapsed="false">
      <c r="B165" s="27"/>
      <c r="C165" s="25"/>
      <c r="D165" s="25"/>
      <c r="E165" s="28"/>
      <c r="F165" s="25"/>
      <c r="G165" s="25"/>
      <c r="I165" s="24" t="str">
        <f aca="false">IF(D165="","",IFERROR(INDEX(Categorias!$C$6:$C$45,MATCH(D165,Categorias!$B$6:$B$45,0)),"Sem grupo"))</f>
        <v/>
      </c>
      <c r="J165" s="29" t="str">
        <f aca="false">IF(B165="","",DATE(YEAR(B165),MONTH(B165),1))</f>
        <v/>
      </c>
    </row>
    <row r="166" customFormat="false" ht="15" hidden="false" customHeight="false" outlineLevel="0" collapsed="false">
      <c r="B166" s="27"/>
      <c r="C166" s="25"/>
      <c r="D166" s="25"/>
      <c r="E166" s="28"/>
      <c r="F166" s="25"/>
      <c r="G166" s="25"/>
      <c r="I166" s="24" t="str">
        <f aca="false">IF(D166="","",IFERROR(INDEX(Categorias!$C$6:$C$45,MATCH(D166,Categorias!$B$6:$B$45,0)),"Sem grupo"))</f>
        <v/>
      </c>
      <c r="J166" s="29" t="str">
        <f aca="false">IF(B166="","",DATE(YEAR(B166),MONTH(B166),1))</f>
        <v/>
      </c>
    </row>
    <row r="167" customFormat="false" ht="15" hidden="false" customHeight="false" outlineLevel="0" collapsed="false">
      <c r="B167" s="27"/>
      <c r="C167" s="25"/>
      <c r="D167" s="25"/>
      <c r="E167" s="28"/>
      <c r="F167" s="25"/>
      <c r="G167" s="25"/>
      <c r="I167" s="24" t="str">
        <f aca="false">IF(D167="","",IFERROR(INDEX(Categorias!$C$6:$C$45,MATCH(D167,Categorias!$B$6:$B$45,0)),"Sem grupo"))</f>
        <v/>
      </c>
      <c r="J167" s="29" t="str">
        <f aca="false">IF(B167="","",DATE(YEAR(B167),MONTH(B167),1))</f>
        <v/>
      </c>
    </row>
    <row r="168" customFormat="false" ht="15" hidden="false" customHeight="false" outlineLevel="0" collapsed="false">
      <c r="B168" s="27"/>
      <c r="C168" s="25"/>
      <c r="D168" s="25"/>
      <c r="E168" s="28"/>
      <c r="F168" s="25"/>
      <c r="G168" s="25"/>
      <c r="I168" s="24" t="str">
        <f aca="false">IF(D168="","",IFERROR(INDEX(Categorias!$C$6:$C$45,MATCH(D168,Categorias!$B$6:$B$45,0)),"Sem grupo"))</f>
        <v/>
      </c>
      <c r="J168" s="29" t="str">
        <f aca="false">IF(B168="","",DATE(YEAR(B168),MONTH(B168),1))</f>
        <v/>
      </c>
    </row>
    <row r="169" customFormat="false" ht="15" hidden="false" customHeight="false" outlineLevel="0" collapsed="false">
      <c r="B169" s="27"/>
      <c r="C169" s="25"/>
      <c r="D169" s="25"/>
      <c r="E169" s="28"/>
      <c r="F169" s="25"/>
      <c r="G169" s="25"/>
      <c r="I169" s="24" t="str">
        <f aca="false">IF(D169="","",IFERROR(INDEX(Categorias!$C$6:$C$45,MATCH(D169,Categorias!$B$6:$B$45,0)),"Sem grupo"))</f>
        <v/>
      </c>
      <c r="J169" s="29" t="str">
        <f aca="false">IF(B169="","",DATE(YEAR(B169),MONTH(B169),1))</f>
        <v/>
      </c>
    </row>
    <row r="170" customFormat="false" ht="15" hidden="false" customHeight="false" outlineLevel="0" collapsed="false">
      <c r="B170" s="27"/>
      <c r="C170" s="25"/>
      <c r="D170" s="25"/>
      <c r="E170" s="28"/>
      <c r="F170" s="25"/>
      <c r="G170" s="25"/>
      <c r="I170" s="24" t="str">
        <f aca="false">IF(D170="","",IFERROR(INDEX(Categorias!$C$6:$C$45,MATCH(D170,Categorias!$B$6:$B$45,0)),"Sem grupo"))</f>
        <v/>
      </c>
      <c r="J170" s="29" t="str">
        <f aca="false">IF(B170="","",DATE(YEAR(B170),MONTH(B170),1))</f>
        <v/>
      </c>
    </row>
    <row r="171" customFormat="false" ht="15" hidden="false" customHeight="false" outlineLevel="0" collapsed="false">
      <c r="B171" s="27"/>
      <c r="C171" s="25"/>
      <c r="D171" s="25"/>
      <c r="E171" s="28"/>
      <c r="F171" s="25"/>
      <c r="G171" s="25"/>
      <c r="I171" s="24" t="str">
        <f aca="false">IF(D171="","",IFERROR(INDEX(Categorias!$C$6:$C$45,MATCH(D171,Categorias!$B$6:$B$45,0)),"Sem grupo"))</f>
        <v/>
      </c>
      <c r="J171" s="29" t="str">
        <f aca="false">IF(B171="","",DATE(YEAR(B171),MONTH(B171),1))</f>
        <v/>
      </c>
    </row>
    <row r="172" customFormat="false" ht="15" hidden="false" customHeight="false" outlineLevel="0" collapsed="false">
      <c r="B172" s="27"/>
      <c r="C172" s="25"/>
      <c r="D172" s="25"/>
      <c r="E172" s="28"/>
      <c r="F172" s="25"/>
      <c r="G172" s="25"/>
      <c r="I172" s="24" t="str">
        <f aca="false">IF(D172="","",IFERROR(INDEX(Categorias!$C$6:$C$45,MATCH(D172,Categorias!$B$6:$B$45,0)),"Sem grupo"))</f>
        <v/>
      </c>
      <c r="J172" s="29" t="str">
        <f aca="false">IF(B172="","",DATE(YEAR(B172),MONTH(B172),1))</f>
        <v/>
      </c>
    </row>
    <row r="173" customFormat="false" ht="15" hidden="false" customHeight="false" outlineLevel="0" collapsed="false">
      <c r="B173" s="27"/>
      <c r="C173" s="25"/>
      <c r="D173" s="25"/>
      <c r="E173" s="28"/>
      <c r="F173" s="25"/>
      <c r="G173" s="25"/>
      <c r="I173" s="24" t="str">
        <f aca="false">IF(D173="","",IFERROR(INDEX(Categorias!$C$6:$C$45,MATCH(D173,Categorias!$B$6:$B$45,0)),"Sem grupo"))</f>
        <v/>
      </c>
      <c r="J173" s="29" t="str">
        <f aca="false">IF(B173="","",DATE(YEAR(B173),MONTH(B173),1))</f>
        <v/>
      </c>
    </row>
    <row r="174" customFormat="false" ht="15" hidden="false" customHeight="false" outlineLevel="0" collapsed="false">
      <c r="B174" s="27"/>
      <c r="C174" s="25"/>
      <c r="D174" s="25"/>
      <c r="E174" s="28"/>
      <c r="F174" s="25"/>
      <c r="G174" s="25"/>
      <c r="I174" s="24" t="str">
        <f aca="false">IF(D174="","",IFERROR(INDEX(Categorias!$C$6:$C$45,MATCH(D174,Categorias!$B$6:$B$45,0)),"Sem grupo"))</f>
        <v/>
      </c>
      <c r="J174" s="29" t="str">
        <f aca="false">IF(B174="","",DATE(YEAR(B174),MONTH(B174),1))</f>
        <v/>
      </c>
    </row>
    <row r="175" customFormat="false" ht="15" hidden="false" customHeight="false" outlineLevel="0" collapsed="false">
      <c r="B175" s="27"/>
      <c r="C175" s="25"/>
      <c r="D175" s="25"/>
      <c r="E175" s="28"/>
      <c r="F175" s="25"/>
      <c r="G175" s="25"/>
      <c r="I175" s="24" t="str">
        <f aca="false">IF(D175="","",IFERROR(INDEX(Categorias!$C$6:$C$45,MATCH(D175,Categorias!$B$6:$B$45,0)),"Sem grupo"))</f>
        <v/>
      </c>
      <c r="J175" s="29" t="str">
        <f aca="false">IF(B175="","",DATE(YEAR(B175),MONTH(B175),1))</f>
        <v/>
      </c>
    </row>
    <row r="176" customFormat="false" ht="15" hidden="false" customHeight="false" outlineLevel="0" collapsed="false">
      <c r="B176" s="27"/>
      <c r="C176" s="25"/>
      <c r="D176" s="25"/>
      <c r="E176" s="28"/>
      <c r="F176" s="25"/>
      <c r="G176" s="25"/>
      <c r="I176" s="24" t="str">
        <f aca="false">IF(D176="","",IFERROR(INDEX(Categorias!$C$6:$C$45,MATCH(D176,Categorias!$B$6:$B$45,0)),"Sem grupo"))</f>
        <v/>
      </c>
      <c r="J176" s="29" t="str">
        <f aca="false">IF(B176="","",DATE(YEAR(B176),MONTH(B176),1))</f>
        <v/>
      </c>
    </row>
    <row r="177" customFormat="false" ht="15" hidden="false" customHeight="false" outlineLevel="0" collapsed="false">
      <c r="B177" s="27"/>
      <c r="C177" s="25"/>
      <c r="D177" s="25"/>
      <c r="E177" s="28"/>
      <c r="F177" s="25"/>
      <c r="G177" s="25"/>
      <c r="I177" s="24" t="str">
        <f aca="false">IF(D177="","",IFERROR(INDEX(Categorias!$C$6:$C$45,MATCH(D177,Categorias!$B$6:$B$45,0)),"Sem grupo"))</f>
        <v/>
      </c>
      <c r="J177" s="29" t="str">
        <f aca="false">IF(B177="","",DATE(YEAR(B177),MONTH(B177),1))</f>
        <v/>
      </c>
    </row>
    <row r="178" customFormat="false" ht="15" hidden="false" customHeight="false" outlineLevel="0" collapsed="false">
      <c r="B178" s="27"/>
      <c r="C178" s="25"/>
      <c r="D178" s="25"/>
      <c r="E178" s="28"/>
      <c r="F178" s="25"/>
      <c r="G178" s="25"/>
      <c r="I178" s="24" t="str">
        <f aca="false">IF(D178="","",IFERROR(INDEX(Categorias!$C$6:$C$45,MATCH(D178,Categorias!$B$6:$B$45,0)),"Sem grupo"))</f>
        <v/>
      </c>
      <c r="J178" s="29" t="str">
        <f aca="false">IF(B178="","",DATE(YEAR(B178),MONTH(B178),1))</f>
        <v/>
      </c>
    </row>
    <row r="179" customFormat="false" ht="15" hidden="false" customHeight="false" outlineLevel="0" collapsed="false">
      <c r="B179" s="27"/>
      <c r="C179" s="25"/>
      <c r="D179" s="25"/>
      <c r="E179" s="28"/>
      <c r="F179" s="25"/>
      <c r="G179" s="25"/>
      <c r="I179" s="24" t="str">
        <f aca="false">IF(D179="","",IFERROR(INDEX(Categorias!$C$6:$C$45,MATCH(D179,Categorias!$B$6:$B$45,0)),"Sem grupo"))</f>
        <v/>
      </c>
      <c r="J179" s="29" t="str">
        <f aca="false">IF(B179="","",DATE(YEAR(B179),MONTH(B179),1))</f>
        <v/>
      </c>
    </row>
    <row r="180" customFormat="false" ht="15" hidden="false" customHeight="false" outlineLevel="0" collapsed="false">
      <c r="B180" s="27"/>
      <c r="C180" s="25"/>
      <c r="D180" s="25"/>
      <c r="E180" s="28"/>
      <c r="F180" s="25"/>
      <c r="G180" s="25"/>
      <c r="I180" s="24" t="str">
        <f aca="false">IF(D180="","",IFERROR(INDEX(Categorias!$C$6:$C$45,MATCH(D180,Categorias!$B$6:$B$45,0)),"Sem grupo"))</f>
        <v/>
      </c>
      <c r="J180" s="29" t="str">
        <f aca="false">IF(B180="","",DATE(YEAR(B180),MONTH(B180),1))</f>
        <v/>
      </c>
    </row>
    <row r="181" customFormat="false" ht="15" hidden="false" customHeight="false" outlineLevel="0" collapsed="false">
      <c r="B181" s="27"/>
      <c r="C181" s="25"/>
      <c r="D181" s="25"/>
      <c r="E181" s="28"/>
      <c r="F181" s="25"/>
      <c r="G181" s="25"/>
      <c r="I181" s="24" t="str">
        <f aca="false">IF(D181="","",IFERROR(INDEX(Categorias!$C$6:$C$45,MATCH(D181,Categorias!$B$6:$B$45,0)),"Sem grupo"))</f>
        <v/>
      </c>
      <c r="J181" s="29" t="str">
        <f aca="false">IF(B181="","",DATE(YEAR(B181),MONTH(B181),1))</f>
        <v/>
      </c>
    </row>
    <row r="182" customFormat="false" ht="15" hidden="false" customHeight="false" outlineLevel="0" collapsed="false">
      <c r="B182" s="27"/>
      <c r="C182" s="25"/>
      <c r="D182" s="25"/>
      <c r="E182" s="28"/>
      <c r="F182" s="25"/>
      <c r="G182" s="25"/>
      <c r="I182" s="24" t="str">
        <f aca="false">IF(D182="","",IFERROR(INDEX(Categorias!$C$6:$C$45,MATCH(D182,Categorias!$B$6:$B$45,0)),"Sem grupo"))</f>
        <v/>
      </c>
      <c r="J182" s="29" t="str">
        <f aca="false">IF(B182="","",DATE(YEAR(B182),MONTH(B182),1))</f>
        <v/>
      </c>
    </row>
    <row r="183" customFormat="false" ht="15" hidden="false" customHeight="false" outlineLevel="0" collapsed="false">
      <c r="B183" s="27"/>
      <c r="C183" s="25"/>
      <c r="D183" s="25"/>
      <c r="E183" s="28"/>
      <c r="F183" s="25"/>
      <c r="G183" s="25"/>
      <c r="I183" s="24" t="str">
        <f aca="false">IF(D183="","",IFERROR(INDEX(Categorias!$C$6:$C$45,MATCH(D183,Categorias!$B$6:$B$45,0)),"Sem grupo"))</f>
        <v/>
      </c>
      <c r="J183" s="29" t="str">
        <f aca="false">IF(B183="","",DATE(YEAR(B183),MONTH(B183),1))</f>
        <v/>
      </c>
    </row>
    <row r="184" customFormat="false" ht="15" hidden="false" customHeight="false" outlineLevel="0" collapsed="false">
      <c r="B184" s="27"/>
      <c r="C184" s="25"/>
      <c r="D184" s="25"/>
      <c r="E184" s="28"/>
      <c r="F184" s="25"/>
      <c r="G184" s="25"/>
      <c r="I184" s="24" t="str">
        <f aca="false">IF(D184="","",IFERROR(INDEX(Categorias!$C$6:$C$45,MATCH(D184,Categorias!$B$6:$B$45,0)),"Sem grupo"))</f>
        <v/>
      </c>
      <c r="J184" s="29" t="str">
        <f aca="false">IF(B184="","",DATE(YEAR(B184),MONTH(B184),1))</f>
        <v/>
      </c>
    </row>
    <row r="185" customFormat="false" ht="15" hidden="false" customHeight="false" outlineLevel="0" collapsed="false">
      <c r="B185" s="27"/>
      <c r="C185" s="25"/>
      <c r="D185" s="25"/>
      <c r="E185" s="28"/>
      <c r="F185" s="25"/>
      <c r="G185" s="25"/>
      <c r="I185" s="24" t="str">
        <f aca="false">IF(D185="","",IFERROR(INDEX(Categorias!$C$6:$C$45,MATCH(D185,Categorias!$B$6:$B$45,0)),"Sem grupo"))</f>
        <v/>
      </c>
      <c r="J185" s="29" t="str">
        <f aca="false">IF(B185="","",DATE(YEAR(B185),MONTH(B185),1))</f>
        <v/>
      </c>
    </row>
    <row r="186" customFormat="false" ht="15" hidden="false" customHeight="false" outlineLevel="0" collapsed="false">
      <c r="B186" s="27"/>
      <c r="C186" s="25"/>
      <c r="D186" s="25"/>
      <c r="E186" s="28"/>
      <c r="F186" s="25"/>
      <c r="G186" s="25"/>
      <c r="I186" s="24" t="str">
        <f aca="false">IF(D186="","",IFERROR(INDEX(Categorias!$C$6:$C$45,MATCH(D186,Categorias!$B$6:$B$45,0)),"Sem grupo"))</f>
        <v/>
      </c>
      <c r="J186" s="29" t="str">
        <f aca="false">IF(B186="","",DATE(YEAR(B186),MONTH(B186),1))</f>
        <v/>
      </c>
    </row>
    <row r="187" customFormat="false" ht="15" hidden="false" customHeight="false" outlineLevel="0" collapsed="false">
      <c r="B187" s="27"/>
      <c r="C187" s="25"/>
      <c r="D187" s="25"/>
      <c r="E187" s="28"/>
      <c r="F187" s="25"/>
      <c r="G187" s="25"/>
      <c r="I187" s="24" t="str">
        <f aca="false">IF(D187="","",IFERROR(INDEX(Categorias!$C$6:$C$45,MATCH(D187,Categorias!$B$6:$B$45,0)),"Sem grupo"))</f>
        <v/>
      </c>
      <c r="J187" s="29" t="str">
        <f aca="false">IF(B187="","",DATE(YEAR(B187),MONTH(B187),1))</f>
        <v/>
      </c>
    </row>
    <row r="188" customFormat="false" ht="15" hidden="false" customHeight="false" outlineLevel="0" collapsed="false">
      <c r="B188" s="27"/>
      <c r="C188" s="25"/>
      <c r="D188" s="25"/>
      <c r="E188" s="28"/>
      <c r="F188" s="25"/>
      <c r="G188" s="25"/>
      <c r="I188" s="24" t="str">
        <f aca="false">IF(D188="","",IFERROR(INDEX(Categorias!$C$6:$C$45,MATCH(D188,Categorias!$B$6:$B$45,0)),"Sem grupo"))</f>
        <v/>
      </c>
      <c r="J188" s="29" t="str">
        <f aca="false">IF(B188="","",DATE(YEAR(B188),MONTH(B188),1))</f>
        <v/>
      </c>
    </row>
    <row r="189" customFormat="false" ht="15" hidden="false" customHeight="false" outlineLevel="0" collapsed="false">
      <c r="B189" s="27"/>
      <c r="C189" s="25"/>
      <c r="D189" s="25"/>
      <c r="E189" s="28"/>
      <c r="F189" s="25"/>
      <c r="G189" s="25"/>
      <c r="I189" s="24" t="str">
        <f aca="false">IF(D189="","",IFERROR(INDEX(Categorias!$C$6:$C$45,MATCH(D189,Categorias!$B$6:$B$45,0)),"Sem grupo"))</f>
        <v/>
      </c>
      <c r="J189" s="29" t="str">
        <f aca="false">IF(B189="","",DATE(YEAR(B189),MONTH(B189),1))</f>
        <v/>
      </c>
    </row>
    <row r="190" customFormat="false" ht="15" hidden="false" customHeight="false" outlineLevel="0" collapsed="false">
      <c r="B190" s="27"/>
      <c r="C190" s="25"/>
      <c r="D190" s="25"/>
      <c r="E190" s="28"/>
      <c r="F190" s="25"/>
      <c r="G190" s="25"/>
      <c r="I190" s="24" t="str">
        <f aca="false">IF(D190="","",IFERROR(INDEX(Categorias!$C$6:$C$45,MATCH(D190,Categorias!$B$6:$B$45,0)),"Sem grupo"))</f>
        <v/>
      </c>
      <c r="J190" s="29" t="str">
        <f aca="false">IF(B190="","",DATE(YEAR(B190),MONTH(B190),1))</f>
        <v/>
      </c>
    </row>
    <row r="191" customFormat="false" ht="15" hidden="false" customHeight="false" outlineLevel="0" collapsed="false">
      <c r="B191" s="27"/>
      <c r="C191" s="25"/>
      <c r="D191" s="25"/>
      <c r="E191" s="28"/>
      <c r="F191" s="25"/>
      <c r="G191" s="25"/>
      <c r="I191" s="24" t="str">
        <f aca="false">IF(D191="","",IFERROR(INDEX(Categorias!$C$6:$C$45,MATCH(D191,Categorias!$B$6:$B$45,0)),"Sem grupo"))</f>
        <v/>
      </c>
      <c r="J191" s="29" t="str">
        <f aca="false">IF(B191="","",DATE(YEAR(B191),MONTH(B191),1))</f>
        <v/>
      </c>
    </row>
    <row r="192" customFormat="false" ht="15" hidden="false" customHeight="false" outlineLevel="0" collapsed="false">
      <c r="B192" s="27"/>
      <c r="C192" s="25"/>
      <c r="D192" s="25"/>
      <c r="E192" s="28"/>
      <c r="F192" s="25"/>
      <c r="G192" s="25"/>
      <c r="I192" s="24" t="str">
        <f aca="false">IF(D192="","",IFERROR(INDEX(Categorias!$C$6:$C$45,MATCH(D192,Categorias!$B$6:$B$45,0)),"Sem grupo"))</f>
        <v/>
      </c>
      <c r="J192" s="29" t="str">
        <f aca="false">IF(B192="","",DATE(YEAR(B192),MONTH(B192),1))</f>
        <v/>
      </c>
    </row>
    <row r="193" customFormat="false" ht="15" hidden="false" customHeight="false" outlineLevel="0" collapsed="false">
      <c r="B193" s="27"/>
      <c r="C193" s="25"/>
      <c r="D193" s="25"/>
      <c r="E193" s="28"/>
      <c r="F193" s="25"/>
      <c r="G193" s="25"/>
      <c r="I193" s="24" t="str">
        <f aca="false">IF(D193="","",IFERROR(INDEX(Categorias!$C$6:$C$45,MATCH(D193,Categorias!$B$6:$B$45,0)),"Sem grupo"))</f>
        <v/>
      </c>
      <c r="J193" s="29" t="str">
        <f aca="false">IF(B193="","",DATE(YEAR(B193),MONTH(B193),1))</f>
        <v/>
      </c>
    </row>
    <row r="194" customFormat="false" ht="15" hidden="false" customHeight="false" outlineLevel="0" collapsed="false">
      <c r="B194" s="27"/>
      <c r="C194" s="25"/>
      <c r="D194" s="25"/>
      <c r="E194" s="28"/>
      <c r="F194" s="25"/>
      <c r="G194" s="25"/>
      <c r="I194" s="24" t="str">
        <f aca="false">IF(D194="","",IFERROR(INDEX(Categorias!$C$6:$C$45,MATCH(D194,Categorias!$B$6:$B$45,0)),"Sem grupo"))</f>
        <v/>
      </c>
      <c r="J194" s="29" t="str">
        <f aca="false">IF(B194="","",DATE(YEAR(B194),MONTH(B194),1))</f>
        <v/>
      </c>
    </row>
    <row r="195" customFormat="false" ht="15" hidden="false" customHeight="false" outlineLevel="0" collapsed="false">
      <c r="B195" s="27"/>
      <c r="C195" s="25"/>
      <c r="D195" s="25"/>
      <c r="E195" s="28"/>
      <c r="F195" s="25"/>
      <c r="G195" s="25"/>
      <c r="I195" s="24" t="str">
        <f aca="false">IF(D195="","",IFERROR(INDEX(Categorias!$C$6:$C$45,MATCH(D195,Categorias!$B$6:$B$45,0)),"Sem grupo"))</f>
        <v/>
      </c>
      <c r="J195" s="29" t="str">
        <f aca="false">IF(B195="","",DATE(YEAR(B195),MONTH(B195),1))</f>
        <v/>
      </c>
    </row>
    <row r="196" customFormat="false" ht="15" hidden="false" customHeight="false" outlineLevel="0" collapsed="false">
      <c r="B196" s="27"/>
      <c r="C196" s="25"/>
      <c r="D196" s="25"/>
      <c r="E196" s="28"/>
      <c r="F196" s="25"/>
      <c r="G196" s="25"/>
      <c r="I196" s="24" t="str">
        <f aca="false">IF(D196="","",IFERROR(INDEX(Categorias!$C$6:$C$45,MATCH(D196,Categorias!$B$6:$B$45,0)),"Sem grupo"))</f>
        <v/>
      </c>
      <c r="J196" s="29" t="str">
        <f aca="false">IF(B196="","",DATE(YEAR(B196),MONTH(B196),1))</f>
        <v/>
      </c>
    </row>
    <row r="197" customFormat="false" ht="15" hidden="false" customHeight="false" outlineLevel="0" collapsed="false">
      <c r="B197" s="27"/>
      <c r="C197" s="25"/>
      <c r="D197" s="25"/>
      <c r="E197" s="28"/>
      <c r="F197" s="25"/>
      <c r="G197" s="25"/>
      <c r="I197" s="24" t="str">
        <f aca="false">IF(D197="","",IFERROR(INDEX(Categorias!$C$6:$C$45,MATCH(D197,Categorias!$B$6:$B$45,0)),"Sem grupo"))</f>
        <v/>
      </c>
      <c r="J197" s="29" t="str">
        <f aca="false">IF(B197="","",DATE(YEAR(B197),MONTH(B197),1))</f>
        <v/>
      </c>
    </row>
    <row r="198" customFormat="false" ht="15" hidden="false" customHeight="false" outlineLevel="0" collapsed="false">
      <c r="B198" s="27"/>
      <c r="C198" s="25"/>
      <c r="D198" s="25"/>
      <c r="E198" s="28"/>
      <c r="F198" s="25"/>
      <c r="G198" s="25"/>
      <c r="I198" s="24" t="str">
        <f aca="false">IF(D198="","",IFERROR(INDEX(Categorias!$C$6:$C$45,MATCH(D198,Categorias!$B$6:$B$45,0)),"Sem grupo"))</f>
        <v/>
      </c>
      <c r="J198" s="29" t="str">
        <f aca="false">IF(B198="","",DATE(YEAR(B198),MONTH(B198),1))</f>
        <v/>
      </c>
    </row>
    <row r="199" customFormat="false" ht="15" hidden="false" customHeight="false" outlineLevel="0" collapsed="false">
      <c r="B199" s="27"/>
      <c r="C199" s="25"/>
      <c r="D199" s="25"/>
      <c r="E199" s="28"/>
      <c r="F199" s="25"/>
      <c r="G199" s="25"/>
      <c r="I199" s="24" t="str">
        <f aca="false">IF(D199="","",IFERROR(INDEX(Categorias!$C$6:$C$45,MATCH(D199,Categorias!$B$6:$B$45,0)),"Sem grupo"))</f>
        <v/>
      </c>
      <c r="J199" s="29" t="str">
        <f aca="false">IF(B199="","",DATE(YEAR(B199),MONTH(B199),1))</f>
        <v/>
      </c>
    </row>
    <row r="200" customFormat="false" ht="15" hidden="false" customHeight="false" outlineLevel="0" collapsed="false">
      <c r="B200" s="27"/>
      <c r="C200" s="25"/>
      <c r="D200" s="25"/>
      <c r="E200" s="28"/>
      <c r="F200" s="25"/>
      <c r="G200" s="25"/>
      <c r="I200" s="24" t="str">
        <f aca="false">IF(D200="","",IFERROR(INDEX(Categorias!$C$6:$C$45,MATCH(D200,Categorias!$B$6:$B$45,0)),"Sem grupo"))</f>
        <v/>
      </c>
      <c r="J200" s="29" t="str">
        <f aca="false">IF(B200="","",DATE(YEAR(B200),MONTH(B200),1))</f>
        <v/>
      </c>
    </row>
    <row r="201" customFormat="false" ht="15" hidden="false" customHeight="false" outlineLevel="0" collapsed="false">
      <c r="B201" s="27"/>
      <c r="C201" s="25"/>
      <c r="D201" s="25"/>
      <c r="E201" s="28"/>
      <c r="F201" s="25"/>
      <c r="G201" s="25"/>
      <c r="I201" s="24" t="str">
        <f aca="false">IF(D201="","",IFERROR(INDEX(Categorias!$C$6:$C$45,MATCH(D201,Categorias!$B$6:$B$45,0)),"Sem grupo"))</f>
        <v/>
      </c>
      <c r="J201" s="29" t="str">
        <f aca="false">IF(B201="","",DATE(YEAR(B201),MONTH(B201),1))</f>
        <v/>
      </c>
    </row>
    <row r="202" customFormat="false" ht="15" hidden="false" customHeight="false" outlineLevel="0" collapsed="false">
      <c r="B202" s="27"/>
      <c r="C202" s="25"/>
      <c r="D202" s="25"/>
      <c r="E202" s="28"/>
      <c r="F202" s="25"/>
      <c r="G202" s="25"/>
      <c r="I202" s="24" t="str">
        <f aca="false">IF(D202="","",IFERROR(INDEX(Categorias!$C$6:$C$45,MATCH(D202,Categorias!$B$6:$B$45,0)),"Sem grupo"))</f>
        <v/>
      </c>
      <c r="J202" s="29" t="str">
        <f aca="false">IF(B202="","",DATE(YEAR(B202),MONTH(B202),1))</f>
        <v/>
      </c>
    </row>
    <row r="203" customFormat="false" ht="15" hidden="false" customHeight="false" outlineLevel="0" collapsed="false">
      <c r="B203" s="27"/>
      <c r="C203" s="25"/>
      <c r="D203" s="25"/>
      <c r="E203" s="28"/>
      <c r="F203" s="25"/>
      <c r="G203" s="25"/>
      <c r="I203" s="24" t="str">
        <f aca="false">IF(D203="","",IFERROR(INDEX(Categorias!$C$6:$C$45,MATCH(D203,Categorias!$B$6:$B$45,0)),"Sem grupo"))</f>
        <v/>
      </c>
      <c r="J203" s="29" t="str">
        <f aca="false">IF(B203="","",DATE(YEAR(B203),MONTH(B203),1))</f>
        <v/>
      </c>
    </row>
    <row r="204" customFormat="false" ht="15" hidden="false" customHeight="false" outlineLevel="0" collapsed="false">
      <c r="B204" s="27"/>
      <c r="C204" s="25"/>
      <c r="D204" s="25"/>
      <c r="E204" s="28"/>
      <c r="F204" s="25"/>
      <c r="G204" s="25"/>
      <c r="I204" s="24" t="str">
        <f aca="false">IF(D204="","",IFERROR(INDEX(Categorias!$C$6:$C$45,MATCH(D204,Categorias!$B$6:$B$45,0)),"Sem grupo"))</f>
        <v/>
      </c>
      <c r="J204" s="29" t="str">
        <f aca="false">IF(B204="","",DATE(YEAR(B204),MONTH(B204),1))</f>
        <v/>
      </c>
    </row>
    <row r="205" customFormat="false" ht="15" hidden="false" customHeight="false" outlineLevel="0" collapsed="false">
      <c r="B205" s="27"/>
      <c r="C205" s="25"/>
      <c r="D205" s="25"/>
      <c r="E205" s="28"/>
      <c r="F205" s="25"/>
      <c r="G205" s="25"/>
      <c r="I205" s="24" t="str">
        <f aca="false">IF(D205="","",IFERROR(INDEX(Categorias!$C$6:$C$45,MATCH(D205,Categorias!$B$6:$B$45,0)),"Sem grupo"))</f>
        <v/>
      </c>
      <c r="J205" s="29" t="str">
        <f aca="false">IF(B205="","",DATE(YEAR(B205),MONTH(B205),1))</f>
        <v/>
      </c>
    </row>
    <row r="206" customFormat="false" ht="15" hidden="false" customHeight="false" outlineLevel="0" collapsed="false">
      <c r="B206" s="27"/>
      <c r="C206" s="25"/>
      <c r="D206" s="25"/>
      <c r="E206" s="28"/>
      <c r="F206" s="25"/>
      <c r="G206" s="25"/>
      <c r="I206" s="24" t="str">
        <f aca="false">IF(D206="","",IFERROR(INDEX(Categorias!$C$6:$C$45,MATCH(D206,Categorias!$B$6:$B$45,0)),"Sem grupo"))</f>
        <v/>
      </c>
      <c r="J206" s="29" t="str">
        <f aca="false">IF(B206="","",DATE(YEAR(B206),MONTH(B206),1))</f>
        <v/>
      </c>
    </row>
    <row r="207" customFormat="false" ht="15" hidden="false" customHeight="false" outlineLevel="0" collapsed="false">
      <c r="B207" s="27"/>
      <c r="C207" s="25"/>
      <c r="D207" s="25"/>
      <c r="E207" s="28"/>
      <c r="F207" s="25"/>
      <c r="G207" s="25"/>
      <c r="I207" s="24" t="str">
        <f aca="false">IF(D207="","",IFERROR(INDEX(Categorias!$C$6:$C$45,MATCH(D207,Categorias!$B$6:$B$45,0)),"Sem grupo"))</f>
        <v/>
      </c>
      <c r="J207" s="29" t="str">
        <f aca="false">IF(B207="","",DATE(YEAR(B207),MONTH(B207),1))</f>
        <v/>
      </c>
    </row>
    <row r="208" customFormat="false" ht="15" hidden="false" customHeight="false" outlineLevel="0" collapsed="false">
      <c r="B208" s="27"/>
      <c r="C208" s="25"/>
      <c r="D208" s="25"/>
      <c r="E208" s="28"/>
      <c r="F208" s="25"/>
      <c r="G208" s="25"/>
      <c r="I208" s="24" t="str">
        <f aca="false">IF(D208="","",IFERROR(INDEX(Categorias!$C$6:$C$45,MATCH(D208,Categorias!$B$6:$B$45,0)),"Sem grupo"))</f>
        <v/>
      </c>
      <c r="J208" s="29" t="str">
        <f aca="false">IF(B208="","",DATE(YEAR(B208),MONTH(B208),1))</f>
        <v/>
      </c>
    </row>
    <row r="209" customFormat="false" ht="15" hidden="false" customHeight="false" outlineLevel="0" collapsed="false">
      <c r="B209" s="27"/>
      <c r="C209" s="25"/>
      <c r="D209" s="25"/>
      <c r="E209" s="28"/>
      <c r="F209" s="25"/>
      <c r="G209" s="25"/>
      <c r="I209" s="24" t="str">
        <f aca="false">IF(D209="","",IFERROR(INDEX(Categorias!$C$6:$C$45,MATCH(D209,Categorias!$B$6:$B$45,0)),"Sem grupo"))</f>
        <v/>
      </c>
      <c r="J209" s="29" t="str">
        <f aca="false">IF(B209="","",DATE(YEAR(B209),MONTH(B209),1))</f>
        <v/>
      </c>
    </row>
    <row r="210" customFormat="false" ht="15" hidden="false" customHeight="false" outlineLevel="0" collapsed="false">
      <c r="B210" s="27"/>
      <c r="C210" s="25"/>
      <c r="D210" s="25"/>
      <c r="E210" s="28"/>
      <c r="F210" s="25"/>
      <c r="G210" s="25"/>
      <c r="I210" s="24" t="str">
        <f aca="false">IF(D210="","",IFERROR(INDEX(Categorias!$C$6:$C$45,MATCH(D210,Categorias!$B$6:$B$45,0)),"Sem grupo"))</f>
        <v/>
      </c>
      <c r="J210" s="29" t="str">
        <f aca="false">IF(B210="","",DATE(YEAR(B210),MONTH(B210),1))</f>
        <v/>
      </c>
    </row>
    <row r="211" customFormat="false" ht="15" hidden="false" customHeight="false" outlineLevel="0" collapsed="false">
      <c r="B211" s="27"/>
      <c r="C211" s="25"/>
      <c r="D211" s="25"/>
      <c r="E211" s="28"/>
      <c r="F211" s="25"/>
      <c r="G211" s="25"/>
      <c r="I211" s="24" t="str">
        <f aca="false">IF(D211="","",IFERROR(INDEX(Categorias!$C$6:$C$45,MATCH(D211,Categorias!$B$6:$B$45,0)),"Sem grupo"))</f>
        <v/>
      </c>
      <c r="J211" s="29" t="str">
        <f aca="false">IF(B211="","",DATE(YEAR(B211),MONTH(B211),1))</f>
        <v/>
      </c>
    </row>
    <row r="212" customFormat="false" ht="15" hidden="false" customHeight="false" outlineLevel="0" collapsed="false">
      <c r="B212" s="27"/>
      <c r="C212" s="25"/>
      <c r="D212" s="25"/>
      <c r="E212" s="28"/>
      <c r="F212" s="25"/>
      <c r="G212" s="25"/>
      <c r="I212" s="24" t="str">
        <f aca="false">IF(D212="","",IFERROR(INDEX(Categorias!$C$6:$C$45,MATCH(D212,Categorias!$B$6:$B$45,0)),"Sem grupo"))</f>
        <v/>
      </c>
      <c r="J212" s="29" t="str">
        <f aca="false">IF(B212="","",DATE(YEAR(B212),MONTH(B212),1))</f>
        <v/>
      </c>
    </row>
    <row r="213" customFormat="false" ht="15" hidden="false" customHeight="false" outlineLevel="0" collapsed="false">
      <c r="B213" s="27"/>
      <c r="C213" s="25"/>
      <c r="D213" s="25"/>
      <c r="E213" s="28"/>
      <c r="F213" s="25"/>
      <c r="G213" s="25"/>
      <c r="I213" s="24" t="str">
        <f aca="false">IF(D213="","",IFERROR(INDEX(Categorias!$C$6:$C$45,MATCH(D213,Categorias!$B$6:$B$45,0)),"Sem grupo"))</f>
        <v/>
      </c>
      <c r="J213" s="29" t="str">
        <f aca="false">IF(B213="","",DATE(YEAR(B213),MONTH(B213),1))</f>
        <v/>
      </c>
    </row>
    <row r="214" customFormat="false" ht="15" hidden="false" customHeight="false" outlineLevel="0" collapsed="false">
      <c r="B214" s="27"/>
      <c r="C214" s="25"/>
      <c r="D214" s="25"/>
      <c r="E214" s="28"/>
      <c r="F214" s="25"/>
      <c r="G214" s="25"/>
      <c r="I214" s="24" t="str">
        <f aca="false">IF(D214="","",IFERROR(INDEX(Categorias!$C$6:$C$45,MATCH(D214,Categorias!$B$6:$B$45,0)),"Sem grupo"))</f>
        <v/>
      </c>
      <c r="J214" s="29" t="str">
        <f aca="false">IF(B214="","",DATE(YEAR(B214),MONTH(B214),1))</f>
        <v/>
      </c>
    </row>
    <row r="215" customFormat="false" ht="15" hidden="false" customHeight="false" outlineLevel="0" collapsed="false">
      <c r="B215" s="27"/>
      <c r="C215" s="25"/>
      <c r="D215" s="25"/>
      <c r="E215" s="28"/>
      <c r="F215" s="25"/>
      <c r="G215" s="25"/>
      <c r="I215" s="24" t="str">
        <f aca="false">IF(D215="","",IFERROR(INDEX(Categorias!$C$6:$C$45,MATCH(D215,Categorias!$B$6:$B$45,0)),"Sem grupo"))</f>
        <v/>
      </c>
      <c r="J215" s="29" t="str">
        <f aca="false">IF(B215="","",DATE(YEAR(B215),MONTH(B215),1))</f>
        <v/>
      </c>
    </row>
    <row r="216" customFormat="false" ht="15" hidden="false" customHeight="false" outlineLevel="0" collapsed="false">
      <c r="B216" s="27"/>
      <c r="C216" s="25"/>
      <c r="D216" s="25"/>
      <c r="E216" s="28"/>
      <c r="F216" s="25"/>
      <c r="G216" s="25"/>
      <c r="I216" s="24" t="str">
        <f aca="false">IF(D216="","",IFERROR(INDEX(Categorias!$C$6:$C$45,MATCH(D216,Categorias!$B$6:$B$45,0)),"Sem grupo"))</f>
        <v/>
      </c>
      <c r="J216" s="29" t="str">
        <f aca="false">IF(B216="","",DATE(YEAR(B216),MONTH(B216),1))</f>
        <v/>
      </c>
    </row>
    <row r="217" customFormat="false" ht="15" hidden="false" customHeight="false" outlineLevel="0" collapsed="false">
      <c r="B217" s="27"/>
      <c r="C217" s="25"/>
      <c r="D217" s="25"/>
      <c r="E217" s="28"/>
      <c r="F217" s="25"/>
      <c r="G217" s="25"/>
      <c r="I217" s="24" t="str">
        <f aca="false">IF(D217="","",IFERROR(INDEX(Categorias!$C$6:$C$45,MATCH(D217,Categorias!$B$6:$B$45,0)),"Sem grupo"))</f>
        <v/>
      </c>
      <c r="J217" s="29" t="str">
        <f aca="false">IF(B217="","",DATE(YEAR(B217),MONTH(B217),1))</f>
        <v/>
      </c>
    </row>
    <row r="218" customFormat="false" ht="15" hidden="false" customHeight="false" outlineLevel="0" collapsed="false">
      <c r="B218" s="27"/>
      <c r="C218" s="25"/>
      <c r="D218" s="25"/>
      <c r="E218" s="28"/>
      <c r="F218" s="25"/>
      <c r="G218" s="25"/>
      <c r="I218" s="24" t="str">
        <f aca="false">IF(D218="","",IFERROR(INDEX(Categorias!$C$6:$C$45,MATCH(D218,Categorias!$B$6:$B$45,0)),"Sem grupo"))</f>
        <v/>
      </c>
      <c r="J218" s="29" t="str">
        <f aca="false">IF(B218="","",DATE(YEAR(B218),MONTH(B218),1))</f>
        <v/>
      </c>
    </row>
    <row r="219" customFormat="false" ht="15" hidden="false" customHeight="false" outlineLevel="0" collapsed="false">
      <c r="B219" s="27"/>
      <c r="C219" s="25"/>
      <c r="D219" s="25"/>
      <c r="E219" s="28"/>
      <c r="F219" s="25"/>
      <c r="G219" s="25"/>
      <c r="I219" s="24" t="str">
        <f aca="false">IF(D219="","",IFERROR(INDEX(Categorias!$C$6:$C$45,MATCH(D219,Categorias!$B$6:$B$45,0)),"Sem grupo"))</f>
        <v/>
      </c>
      <c r="J219" s="29" t="str">
        <f aca="false">IF(B219="","",DATE(YEAR(B219),MONTH(B219),1))</f>
        <v/>
      </c>
    </row>
    <row r="220" customFormat="false" ht="15" hidden="false" customHeight="false" outlineLevel="0" collapsed="false">
      <c r="B220" s="27"/>
      <c r="C220" s="25"/>
      <c r="D220" s="25"/>
      <c r="E220" s="28"/>
      <c r="F220" s="25"/>
      <c r="G220" s="25"/>
      <c r="I220" s="24" t="str">
        <f aca="false">IF(D220="","",IFERROR(INDEX(Categorias!$C$6:$C$45,MATCH(D220,Categorias!$B$6:$B$45,0)),"Sem grupo"))</f>
        <v/>
      </c>
      <c r="J220" s="29" t="str">
        <f aca="false">IF(B220="","",DATE(YEAR(B220),MONTH(B220),1))</f>
        <v/>
      </c>
    </row>
    <row r="221" customFormat="false" ht="15" hidden="false" customHeight="false" outlineLevel="0" collapsed="false">
      <c r="B221" s="27"/>
      <c r="C221" s="25"/>
      <c r="D221" s="25"/>
      <c r="E221" s="28"/>
      <c r="F221" s="25"/>
      <c r="G221" s="25"/>
      <c r="I221" s="24" t="str">
        <f aca="false">IF(D221="","",IFERROR(INDEX(Categorias!$C$6:$C$45,MATCH(D221,Categorias!$B$6:$B$45,0)),"Sem grupo"))</f>
        <v/>
      </c>
      <c r="J221" s="29" t="str">
        <f aca="false">IF(B221="","",DATE(YEAR(B221),MONTH(B221),1))</f>
        <v/>
      </c>
    </row>
    <row r="222" customFormat="false" ht="15" hidden="false" customHeight="false" outlineLevel="0" collapsed="false">
      <c r="B222" s="27"/>
      <c r="C222" s="25"/>
      <c r="D222" s="25"/>
      <c r="E222" s="28"/>
      <c r="F222" s="25"/>
      <c r="G222" s="25"/>
      <c r="I222" s="24" t="str">
        <f aca="false">IF(D222="","",IFERROR(INDEX(Categorias!$C$6:$C$45,MATCH(D222,Categorias!$B$6:$B$45,0)),"Sem grupo"))</f>
        <v/>
      </c>
      <c r="J222" s="29" t="str">
        <f aca="false">IF(B222="","",DATE(YEAR(B222),MONTH(B222),1))</f>
        <v/>
      </c>
    </row>
    <row r="223" customFormat="false" ht="15" hidden="false" customHeight="false" outlineLevel="0" collapsed="false">
      <c r="B223" s="27"/>
      <c r="C223" s="25"/>
      <c r="D223" s="25"/>
      <c r="E223" s="28"/>
      <c r="F223" s="25"/>
      <c r="G223" s="25"/>
      <c r="I223" s="24" t="str">
        <f aca="false">IF(D223="","",IFERROR(INDEX(Categorias!$C$6:$C$45,MATCH(D223,Categorias!$B$6:$B$45,0)),"Sem grupo"))</f>
        <v/>
      </c>
      <c r="J223" s="29" t="str">
        <f aca="false">IF(B223="","",DATE(YEAR(B223),MONTH(B223),1))</f>
        <v/>
      </c>
    </row>
    <row r="224" customFormat="false" ht="15" hidden="false" customHeight="false" outlineLevel="0" collapsed="false">
      <c r="B224" s="27"/>
      <c r="C224" s="25"/>
      <c r="D224" s="25"/>
      <c r="E224" s="28"/>
      <c r="F224" s="25"/>
      <c r="G224" s="25"/>
      <c r="I224" s="24" t="str">
        <f aca="false">IF(D224="","",IFERROR(INDEX(Categorias!$C$6:$C$45,MATCH(D224,Categorias!$B$6:$B$45,0)),"Sem grupo"))</f>
        <v/>
      </c>
      <c r="J224" s="29" t="str">
        <f aca="false">IF(B224="","",DATE(YEAR(B224),MONTH(B224),1))</f>
        <v/>
      </c>
    </row>
    <row r="225" customFormat="false" ht="15" hidden="false" customHeight="false" outlineLevel="0" collapsed="false">
      <c r="B225" s="27"/>
      <c r="C225" s="25"/>
      <c r="D225" s="25"/>
      <c r="E225" s="28"/>
      <c r="F225" s="25"/>
      <c r="G225" s="25"/>
      <c r="I225" s="24" t="str">
        <f aca="false">IF(D225="","",IFERROR(INDEX(Categorias!$C$6:$C$45,MATCH(D225,Categorias!$B$6:$B$45,0)),"Sem grupo"))</f>
        <v/>
      </c>
      <c r="J225" s="29" t="str">
        <f aca="false">IF(B225="","",DATE(YEAR(B225),MONTH(B225),1))</f>
        <v/>
      </c>
    </row>
    <row r="226" customFormat="false" ht="15" hidden="false" customHeight="false" outlineLevel="0" collapsed="false">
      <c r="B226" s="27"/>
      <c r="C226" s="25"/>
      <c r="D226" s="25"/>
      <c r="E226" s="28"/>
      <c r="F226" s="25"/>
      <c r="G226" s="25"/>
      <c r="I226" s="24" t="str">
        <f aca="false">IF(D226="","",IFERROR(INDEX(Categorias!$C$6:$C$45,MATCH(D226,Categorias!$B$6:$B$45,0)),"Sem grupo"))</f>
        <v/>
      </c>
      <c r="J226" s="29" t="str">
        <f aca="false">IF(B226="","",DATE(YEAR(B226),MONTH(B226),1))</f>
        <v/>
      </c>
    </row>
    <row r="227" customFormat="false" ht="15" hidden="false" customHeight="false" outlineLevel="0" collapsed="false">
      <c r="B227" s="27"/>
      <c r="C227" s="25"/>
      <c r="D227" s="25"/>
      <c r="E227" s="28"/>
      <c r="F227" s="25"/>
      <c r="G227" s="25"/>
      <c r="I227" s="24" t="str">
        <f aca="false">IF(D227="","",IFERROR(INDEX(Categorias!$C$6:$C$45,MATCH(D227,Categorias!$B$6:$B$45,0)),"Sem grupo"))</f>
        <v/>
      </c>
      <c r="J227" s="29" t="str">
        <f aca="false">IF(B227="","",DATE(YEAR(B227),MONTH(B227),1))</f>
        <v/>
      </c>
    </row>
    <row r="228" customFormat="false" ht="15" hidden="false" customHeight="false" outlineLevel="0" collapsed="false">
      <c r="B228" s="27"/>
      <c r="C228" s="25"/>
      <c r="D228" s="25"/>
      <c r="E228" s="28"/>
      <c r="F228" s="25"/>
      <c r="G228" s="25"/>
      <c r="I228" s="24" t="str">
        <f aca="false">IF(D228="","",IFERROR(INDEX(Categorias!$C$6:$C$45,MATCH(D228,Categorias!$B$6:$B$45,0)),"Sem grupo"))</f>
        <v/>
      </c>
      <c r="J228" s="29" t="str">
        <f aca="false">IF(B228="","",DATE(YEAR(B228),MONTH(B228),1))</f>
        <v/>
      </c>
    </row>
    <row r="229" customFormat="false" ht="15" hidden="false" customHeight="false" outlineLevel="0" collapsed="false">
      <c r="B229" s="27"/>
      <c r="C229" s="25"/>
      <c r="D229" s="25"/>
      <c r="E229" s="28"/>
      <c r="F229" s="25"/>
      <c r="G229" s="25"/>
      <c r="I229" s="24" t="str">
        <f aca="false">IF(D229="","",IFERROR(INDEX(Categorias!$C$6:$C$45,MATCH(D229,Categorias!$B$6:$B$45,0)),"Sem grupo"))</f>
        <v/>
      </c>
      <c r="J229" s="29" t="str">
        <f aca="false">IF(B229="","",DATE(YEAR(B229),MONTH(B229),1))</f>
        <v/>
      </c>
    </row>
    <row r="230" customFormat="false" ht="15" hidden="false" customHeight="false" outlineLevel="0" collapsed="false">
      <c r="B230" s="27"/>
      <c r="C230" s="25"/>
      <c r="D230" s="25"/>
      <c r="E230" s="28"/>
      <c r="F230" s="25"/>
      <c r="G230" s="25"/>
      <c r="I230" s="24" t="str">
        <f aca="false">IF(D230="","",IFERROR(INDEX(Categorias!$C$6:$C$45,MATCH(D230,Categorias!$B$6:$B$45,0)),"Sem grupo"))</f>
        <v/>
      </c>
      <c r="J230" s="29" t="str">
        <f aca="false">IF(B230="","",DATE(YEAR(B230),MONTH(B230),1))</f>
        <v/>
      </c>
    </row>
    <row r="231" customFormat="false" ht="15" hidden="false" customHeight="false" outlineLevel="0" collapsed="false">
      <c r="B231" s="27"/>
      <c r="C231" s="25"/>
      <c r="D231" s="25"/>
      <c r="E231" s="28"/>
      <c r="F231" s="25"/>
      <c r="G231" s="25"/>
      <c r="I231" s="24" t="str">
        <f aca="false">IF(D231="","",IFERROR(INDEX(Categorias!$C$6:$C$45,MATCH(D231,Categorias!$B$6:$B$45,0)),"Sem grupo"))</f>
        <v/>
      </c>
      <c r="J231" s="29" t="str">
        <f aca="false">IF(B231="","",DATE(YEAR(B231),MONTH(B231),1))</f>
        <v/>
      </c>
    </row>
    <row r="232" customFormat="false" ht="15" hidden="false" customHeight="false" outlineLevel="0" collapsed="false">
      <c r="B232" s="27"/>
      <c r="C232" s="25"/>
      <c r="D232" s="25"/>
      <c r="E232" s="28"/>
      <c r="F232" s="25"/>
      <c r="G232" s="25"/>
      <c r="I232" s="24" t="str">
        <f aca="false">IF(D232="","",IFERROR(INDEX(Categorias!$C$6:$C$45,MATCH(D232,Categorias!$B$6:$B$45,0)),"Sem grupo"))</f>
        <v/>
      </c>
      <c r="J232" s="29" t="str">
        <f aca="false">IF(B232="","",DATE(YEAR(B232),MONTH(B232),1))</f>
        <v/>
      </c>
    </row>
    <row r="233" customFormat="false" ht="15" hidden="false" customHeight="false" outlineLevel="0" collapsed="false">
      <c r="B233" s="27"/>
      <c r="C233" s="25"/>
      <c r="D233" s="25"/>
      <c r="E233" s="28"/>
      <c r="F233" s="25"/>
      <c r="G233" s="25"/>
      <c r="I233" s="24" t="str">
        <f aca="false">IF(D233="","",IFERROR(INDEX(Categorias!$C$6:$C$45,MATCH(D233,Categorias!$B$6:$B$45,0)),"Sem grupo"))</f>
        <v/>
      </c>
      <c r="J233" s="29" t="str">
        <f aca="false">IF(B233="","",DATE(YEAR(B233),MONTH(B233),1))</f>
        <v/>
      </c>
    </row>
    <row r="234" customFormat="false" ht="15" hidden="false" customHeight="false" outlineLevel="0" collapsed="false">
      <c r="B234" s="27"/>
      <c r="C234" s="25"/>
      <c r="D234" s="25"/>
      <c r="E234" s="28"/>
      <c r="F234" s="25"/>
      <c r="G234" s="25"/>
      <c r="I234" s="24" t="str">
        <f aca="false">IF(D234="","",IFERROR(INDEX(Categorias!$C$6:$C$45,MATCH(D234,Categorias!$B$6:$B$45,0)),"Sem grupo"))</f>
        <v/>
      </c>
      <c r="J234" s="29" t="str">
        <f aca="false">IF(B234="","",DATE(YEAR(B234),MONTH(B234),1))</f>
        <v/>
      </c>
    </row>
    <row r="235" customFormat="false" ht="15" hidden="false" customHeight="false" outlineLevel="0" collapsed="false">
      <c r="B235" s="27"/>
      <c r="C235" s="25"/>
      <c r="D235" s="25"/>
      <c r="E235" s="28"/>
      <c r="F235" s="25"/>
      <c r="G235" s="25"/>
      <c r="I235" s="24" t="str">
        <f aca="false">IF(D235="","",IFERROR(INDEX(Categorias!$C$6:$C$45,MATCH(D235,Categorias!$B$6:$B$45,0)),"Sem grupo"))</f>
        <v/>
      </c>
      <c r="J235" s="29" t="str">
        <f aca="false">IF(B235="","",DATE(YEAR(B235),MONTH(B235),1))</f>
        <v/>
      </c>
    </row>
    <row r="236" customFormat="false" ht="15" hidden="false" customHeight="false" outlineLevel="0" collapsed="false">
      <c r="B236" s="27"/>
      <c r="C236" s="25"/>
      <c r="D236" s="25"/>
      <c r="E236" s="28"/>
      <c r="F236" s="25"/>
      <c r="G236" s="25"/>
      <c r="I236" s="24" t="str">
        <f aca="false">IF(D236="","",IFERROR(INDEX(Categorias!$C$6:$C$45,MATCH(D236,Categorias!$B$6:$B$45,0)),"Sem grupo"))</f>
        <v/>
      </c>
      <c r="J236" s="29" t="str">
        <f aca="false">IF(B236="","",DATE(YEAR(B236),MONTH(B236),1))</f>
        <v/>
      </c>
    </row>
    <row r="237" customFormat="false" ht="15" hidden="false" customHeight="false" outlineLevel="0" collapsed="false">
      <c r="B237" s="27"/>
      <c r="C237" s="25"/>
      <c r="D237" s="25"/>
      <c r="E237" s="28"/>
      <c r="F237" s="25"/>
      <c r="G237" s="25"/>
      <c r="I237" s="24" t="str">
        <f aca="false">IF(D237="","",IFERROR(INDEX(Categorias!$C$6:$C$45,MATCH(D237,Categorias!$B$6:$B$45,0)),"Sem grupo"))</f>
        <v/>
      </c>
      <c r="J237" s="29" t="str">
        <f aca="false">IF(B237="","",DATE(YEAR(B237),MONTH(B237),1))</f>
        <v/>
      </c>
    </row>
    <row r="238" customFormat="false" ht="15" hidden="false" customHeight="false" outlineLevel="0" collapsed="false">
      <c r="B238" s="27"/>
      <c r="C238" s="25"/>
      <c r="D238" s="25"/>
      <c r="E238" s="28"/>
      <c r="F238" s="25"/>
      <c r="G238" s="25"/>
      <c r="I238" s="24" t="str">
        <f aca="false">IF(D238="","",IFERROR(INDEX(Categorias!$C$6:$C$45,MATCH(D238,Categorias!$B$6:$B$45,0)),"Sem grupo"))</f>
        <v/>
      </c>
      <c r="J238" s="29" t="str">
        <f aca="false">IF(B238="","",DATE(YEAR(B238),MONTH(B238),1))</f>
        <v/>
      </c>
    </row>
    <row r="239" customFormat="false" ht="15" hidden="false" customHeight="false" outlineLevel="0" collapsed="false">
      <c r="B239" s="27"/>
      <c r="C239" s="25"/>
      <c r="D239" s="25"/>
      <c r="E239" s="28"/>
      <c r="F239" s="25"/>
      <c r="G239" s="25"/>
      <c r="I239" s="24" t="str">
        <f aca="false">IF(D239="","",IFERROR(INDEX(Categorias!$C$6:$C$45,MATCH(D239,Categorias!$B$6:$B$45,0)),"Sem grupo"))</f>
        <v/>
      </c>
      <c r="J239" s="29" t="str">
        <f aca="false">IF(B239="","",DATE(YEAR(B239),MONTH(B239),1))</f>
        <v/>
      </c>
    </row>
    <row r="240" customFormat="false" ht="15" hidden="false" customHeight="false" outlineLevel="0" collapsed="false">
      <c r="B240" s="27"/>
      <c r="C240" s="25"/>
      <c r="D240" s="25"/>
      <c r="E240" s="28"/>
      <c r="F240" s="25"/>
      <c r="G240" s="25"/>
      <c r="I240" s="24" t="str">
        <f aca="false">IF(D240="","",IFERROR(INDEX(Categorias!$C$6:$C$45,MATCH(D240,Categorias!$B$6:$B$45,0)),"Sem grupo"))</f>
        <v/>
      </c>
      <c r="J240" s="29" t="str">
        <f aca="false">IF(B240="","",DATE(YEAR(B240),MONTH(B240),1))</f>
        <v/>
      </c>
    </row>
    <row r="241" customFormat="false" ht="15" hidden="false" customHeight="false" outlineLevel="0" collapsed="false">
      <c r="B241" s="27"/>
      <c r="C241" s="25"/>
      <c r="D241" s="25"/>
      <c r="E241" s="28"/>
      <c r="F241" s="25"/>
      <c r="G241" s="25"/>
      <c r="I241" s="24" t="str">
        <f aca="false">IF(D241="","",IFERROR(INDEX(Categorias!$C$6:$C$45,MATCH(D241,Categorias!$B$6:$B$45,0)),"Sem grupo"))</f>
        <v/>
      </c>
      <c r="J241" s="29" t="str">
        <f aca="false">IF(B241="","",DATE(YEAR(B241),MONTH(B241),1))</f>
        <v/>
      </c>
    </row>
    <row r="242" customFormat="false" ht="15" hidden="false" customHeight="false" outlineLevel="0" collapsed="false">
      <c r="B242" s="27"/>
      <c r="C242" s="25"/>
      <c r="D242" s="25"/>
      <c r="E242" s="28"/>
      <c r="F242" s="25"/>
      <c r="G242" s="25"/>
      <c r="I242" s="24" t="str">
        <f aca="false">IF(D242="","",IFERROR(INDEX(Categorias!$C$6:$C$45,MATCH(D242,Categorias!$B$6:$B$45,0)),"Sem grupo"))</f>
        <v/>
      </c>
      <c r="J242" s="29" t="str">
        <f aca="false">IF(B242="","",DATE(YEAR(B242),MONTH(B242),1))</f>
        <v/>
      </c>
    </row>
    <row r="243" customFormat="false" ht="15" hidden="false" customHeight="false" outlineLevel="0" collapsed="false">
      <c r="B243" s="27"/>
      <c r="C243" s="25"/>
      <c r="D243" s="25"/>
      <c r="E243" s="28"/>
      <c r="F243" s="25"/>
      <c r="G243" s="25"/>
      <c r="I243" s="24" t="str">
        <f aca="false">IF(D243="","",IFERROR(INDEX(Categorias!$C$6:$C$45,MATCH(D243,Categorias!$B$6:$B$45,0)),"Sem grupo"))</f>
        <v/>
      </c>
      <c r="J243" s="29" t="str">
        <f aca="false">IF(B243="","",DATE(YEAR(B243),MONTH(B243),1))</f>
        <v/>
      </c>
    </row>
    <row r="244" customFormat="false" ht="15" hidden="false" customHeight="false" outlineLevel="0" collapsed="false">
      <c r="B244" s="27"/>
      <c r="C244" s="25"/>
      <c r="D244" s="25"/>
      <c r="E244" s="28"/>
      <c r="F244" s="25"/>
      <c r="G244" s="25"/>
      <c r="I244" s="24" t="str">
        <f aca="false">IF(D244="","",IFERROR(INDEX(Categorias!$C$6:$C$45,MATCH(D244,Categorias!$B$6:$B$45,0)),"Sem grupo"))</f>
        <v/>
      </c>
      <c r="J244" s="29" t="str">
        <f aca="false">IF(B244="","",DATE(YEAR(B244),MONTH(B244),1))</f>
        <v/>
      </c>
    </row>
    <row r="245" customFormat="false" ht="15" hidden="false" customHeight="false" outlineLevel="0" collapsed="false">
      <c r="B245" s="27"/>
      <c r="C245" s="25"/>
      <c r="D245" s="25"/>
      <c r="E245" s="28"/>
      <c r="F245" s="25"/>
      <c r="G245" s="25"/>
      <c r="I245" s="24" t="str">
        <f aca="false">IF(D245="","",IFERROR(INDEX(Categorias!$C$6:$C$45,MATCH(D245,Categorias!$B$6:$B$45,0)),"Sem grupo"))</f>
        <v/>
      </c>
      <c r="J245" s="29" t="str">
        <f aca="false">IF(B245="","",DATE(YEAR(B245),MONTH(B245),1))</f>
        <v/>
      </c>
    </row>
    <row r="246" customFormat="false" ht="15" hidden="false" customHeight="false" outlineLevel="0" collapsed="false">
      <c r="B246" s="27"/>
      <c r="C246" s="25"/>
      <c r="D246" s="25"/>
      <c r="E246" s="28"/>
      <c r="F246" s="25"/>
      <c r="G246" s="25"/>
      <c r="I246" s="24" t="str">
        <f aca="false">IF(D246="","",IFERROR(INDEX(Categorias!$C$6:$C$45,MATCH(D246,Categorias!$B$6:$B$45,0)),"Sem grupo"))</f>
        <v/>
      </c>
      <c r="J246" s="29" t="str">
        <f aca="false">IF(B246="","",DATE(YEAR(B246),MONTH(B246),1))</f>
        <v/>
      </c>
    </row>
    <row r="247" customFormat="false" ht="15" hidden="false" customHeight="false" outlineLevel="0" collapsed="false">
      <c r="B247" s="27"/>
      <c r="C247" s="25"/>
      <c r="D247" s="25"/>
      <c r="E247" s="28"/>
      <c r="F247" s="25"/>
      <c r="G247" s="25"/>
      <c r="I247" s="24" t="str">
        <f aca="false">IF(D247="","",IFERROR(INDEX(Categorias!$C$6:$C$45,MATCH(D247,Categorias!$B$6:$B$45,0)),"Sem grupo"))</f>
        <v/>
      </c>
      <c r="J247" s="29" t="str">
        <f aca="false">IF(B247="","",DATE(YEAR(B247),MONTH(B247),1))</f>
        <v/>
      </c>
    </row>
    <row r="248" customFormat="false" ht="15" hidden="false" customHeight="false" outlineLevel="0" collapsed="false">
      <c r="B248" s="27"/>
      <c r="C248" s="25"/>
      <c r="D248" s="25"/>
      <c r="E248" s="28"/>
      <c r="F248" s="25"/>
      <c r="G248" s="25"/>
      <c r="I248" s="24" t="str">
        <f aca="false">IF(D248="","",IFERROR(INDEX(Categorias!$C$6:$C$45,MATCH(D248,Categorias!$B$6:$B$45,0)),"Sem grupo"))</f>
        <v/>
      </c>
      <c r="J248" s="29" t="str">
        <f aca="false">IF(B248="","",DATE(YEAR(B248),MONTH(B248),1))</f>
        <v/>
      </c>
    </row>
    <row r="249" customFormat="false" ht="15" hidden="false" customHeight="false" outlineLevel="0" collapsed="false">
      <c r="B249" s="27"/>
      <c r="C249" s="25"/>
      <c r="D249" s="25"/>
      <c r="E249" s="28"/>
      <c r="F249" s="25"/>
      <c r="G249" s="25"/>
      <c r="I249" s="24" t="str">
        <f aca="false">IF(D249="","",IFERROR(INDEX(Categorias!$C$6:$C$45,MATCH(D249,Categorias!$B$6:$B$45,0)),"Sem grupo"))</f>
        <v/>
      </c>
      <c r="J249" s="29" t="str">
        <f aca="false">IF(B249="","",DATE(YEAR(B249),MONTH(B249),1))</f>
        <v/>
      </c>
    </row>
    <row r="250" customFormat="false" ht="15" hidden="false" customHeight="false" outlineLevel="0" collapsed="false">
      <c r="B250" s="27"/>
      <c r="C250" s="25"/>
      <c r="D250" s="25"/>
      <c r="E250" s="28"/>
      <c r="F250" s="25"/>
      <c r="G250" s="25"/>
      <c r="I250" s="24" t="str">
        <f aca="false">IF(D250="","",IFERROR(INDEX(Categorias!$C$6:$C$45,MATCH(D250,Categorias!$B$6:$B$45,0)),"Sem grupo"))</f>
        <v/>
      </c>
      <c r="J250" s="29" t="str">
        <f aca="false">IF(B250="","",DATE(YEAR(B250),MONTH(B250),1))</f>
        <v/>
      </c>
    </row>
    <row r="251" customFormat="false" ht="15" hidden="false" customHeight="false" outlineLevel="0" collapsed="false">
      <c r="B251" s="27"/>
      <c r="C251" s="25"/>
      <c r="D251" s="25"/>
      <c r="E251" s="28"/>
      <c r="F251" s="25"/>
      <c r="G251" s="25"/>
      <c r="I251" s="24" t="str">
        <f aca="false">IF(D251="","",IFERROR(INDEX(Categorias!$C$6:$C$45,MATCH(D251,Categorias!$B$6:$B$45,0)),"Sem grupo"))</f>
        <v/>
      </c>
      <c r="J251" s="29" t="str">
        <f aca="false">IF(B251="","",DATE(YEAR(B251),MONTH(B251),1))</f>
        <v/>
      </c>
    </row>
    <row r="252" customFormat="false" ht="15" hidden="false" customHeight="false" outlineLevel="0" collapsed="false">
      <c r="B252" s="27"/>
      <c r="C252" s="25"/>
      <c r="D252" s="25"/>
      <c r="E252" s="28"/>
      <c r="F252" s="25"/>
      <c r="G252" s="25"/>
      <c r="I252" s="24" t="str">
        <f aca="false">IF(D252="","",IFERROR(INDEX(Categorias!$C$6:$C$45,MATCH(D252,Categorias!$B$6:$B$45,0)),"Sem grupo"))</f>
        <v/>
      </c>
      <c r="J252" s="29" t="str">
        <f aca="false">IF(B252="","",DATE(YEAR(B252),MONTH(B252),1))</f>
        <v/>
      </c>
    </row>
    <row r="253" customFormat="false" ht="15" hidden="false" customHeight="false" outlineLevel="0" collapsed="false">
      <c r="B253" s="27"/>
      <c r="C253" s="25"/>
      <c r="D253" s="25"/>
      <c r="E253" s="28"/>
      <c r="F253" s="25"/>
      <c r="G253" s="25"/>
      <c r="I253" s="24" t="str">
        <f aca="false">IF(D253="","",IFERROR(INDEX(Categorias!$C$6:$C$45,MATCH(D253,Categorias!$B$6:$B$45,0)),"Sem grupo"))</f>
        <v/>
      </c>
      <c r="J253" s="29" t="str">
        <f aca="false">IF(B253="","",DATE(YEAR(B253),MONTH(B253),1))</f>
        <v/>
      </c>
    </row>
    <row r="254" customFormat="false" ht="15" hidden="false" customHeight="false" outlineLevel="0" collapsed="false">
      <c r="B254" s="27"/>
      <c r="C254" s="25"/>
      <c r="D254" s="25"/>
      <c r="E254" s="28"/>
      <c r="F254" s="25"/>
      <c r="G254" s="25"/>
      <c r="I254" s="24" t="str">
        <f aca="false">IF(D254="","",IFERROR(INDEX(Categorias!$C$6:$C$45,MATCH(D254,Categorias!$B$6:$B$45,0)),"Sem grupo"))</f>
        <v/>
      </c>
      <c r="J254" s="29" t="str">
        <f aca="false">IF(B254="","",DATE(YEAR(B254),MONTH(B254),1))</f>
        <v/>
      </c>
    </row>
    <row r="255" customFormat="false" ht="15" hidden="false" customHeight="false" outlineLevel="0" collapsed="false">
      <c r="B255" s="27"/>
      <c r="C255" s="25"/>
      <c r="D255" s="25"/>
      <c r="E255" s="28"/>
      <c r="F255" s="25"/>
      <c r="G255" s="25"/>
      <c r="I255" s="24" t="str">
        <f aca="false">IF(D255="","",IFERROR(INDEX(Categorias!$C$6:$C$45,MATCH(D255,Categorias!$B$6:$B$45,0)),"Sem grupo"))</f>
        <v/>
      </c>
      <c r="J255" s="29" t="str">
        <f aca="false">IF(B255="","",DATE(YEAR(B255),MONTH(B255),1))</f>
        <v/>
      </c>
    </row>
    <row r="256" customFormat="false" ht="15" hidden="false" customHeight="false" outlineLevel="0" collapsed="false">
      <c r="B256" s="27"/>
      <c r="C256" s="25"/>
      <c r="D256" s="25"/>
      <c r="E256" s="28"/>
      <c r="F256" s="25"/>
      <c r="G256" s="25"/>
      <c r="I256" s="24" t="str">
        <f aca="false">IF(D256="","",IFERROR(INDEX(Categorias!$C$6:$C$45,MATCH(D256,Categorias!$B$6:$B$45,0)),"Sem grupo"))</f>
        <v/>
      </c>
      <c r="J256" s="29" t="str">
        <f aca="false">IF(B256="","",DATE(YEAR(B256),MONTH(B256),1))</f>
        <v/>
      </c>
    </row>
    <row r="257" customFormat="false" ht="15" hidden="false" customHeight="false" outlineLevel="0" collapsed="false">
      <c r="B257" s="27"/>
      <c r="C257" s="25"/>
      <c r="D257" s="25"/>
      <c r="E257" s="28"/>
      <c r="F257" s="25"/>
      <c r="G257" s="25"/>
      <c r="I257" s="24" t="str">
        <f aca="false">IF(D257="","",IFERROR(INDEX(Categorias!$C$6:$C$45,MATCH(D257,Categorias!$B$6:$B$45,0)),"Sem grupo"))</f>
        <v/>
      </c>
      <c r="J257" s="29" t="str">
        <f aca="false">IF(B257="","",DATE(YEAR(B257),MONTH(B257),1))</f>
        <v/>
      </c>
    </row>
    <row r="258" customFormat="false" ht="15" hidden="false" customHeight="false" outlineLevel="0" collapsed="false">
      <c r="B258" s="27"/>
      <c r="C258" s="25"/>
      <c r="D258" s="25"/>
      <c r="E258" s="28"/>
      <c r="F258" s="25"/>
      <c r="G258" s="25"/>
      <c r="I258" s="24" t="str">
        <f aca="false">IF(D258="","",IFERROR(INDEX(Categorias!$C$6:$C$45,MATCH(D258,Categorias!$B$6:$B$45,0)),"Sem grupo"))</f>
        <v/>
      </c>
      <c r="J258" s="29" t="str">
        <f aca="false">IF(B258="","",DATE(YEAR(B258),MONTH(B258),1))</f>
        <v/>
      </c>
    </row>
    <row r="259" customFormat="false" ht="15" hidden="false" customHeight="false" outlineLevel="0" collapsed="false">
      <c r="B259" s="27"/>
      <c r="C259" s="25"/>
      <c r="D259" s="25"/>
      <c r="E259" s="28"/>
      <c r="F259" s="25"/>
      <c r="G259" s="25"/>
      <c r="I259" s="24" t="str">
        <f aca="false">IF(D259="","",IFERROR(INDEX(Categorias!$C$6:$C$45,MATCH(D259,Categorias!$B$6:$B$45,0)),"Sem grupo"))</f>
        <v/>
      </c>
      <c r="J259" s="29" t="str">
        <f aca="false">IF(B259="","",DATE(YEAR(B259),MONTH(B259),1))</f>
        <v/>
      </c>
    </row>
    <row r="260" customFormat="false" ht="15" hidden="false" customHeight="false" outlineLevel="0" collapsed="false">
      <c r="B260" s="27"/>
      <c r="C260" s="25"/>
      <c r="D260" s="25"/>
      <c r="E260" s="28"/>
      <c r="F260" s="25"/>
      <c r="G260" s="25"/>
      <c r="I260" s="24" t="str">
        <f aca="false">IF(D260="","",IFERROR(INDEX(Categorias!$C$6:$C$45,MATCH(D260,Categorias!$B$6:$B$45,0)),"Sem grupo"))</f>
        <v/>
      </c>
      <c r="J260" s="29" t="str">
        <f aca="false">IF(B260="","",DATE(YEAR(B260),MONTH(B260),1))</f>
        <v/>
      </c>
    </row>
    <row r="261" customFormat="false" ht="15" hidden="false" customHeight="false" outlineLevel="0" collapsed="false">
      <c r="B261" s="27"/>
      <c r="C261" s="25"/>
      <c r="D261" s="25"/>
      <c r="E261" s="28"/>
      <c r="F261" s="25"/>
      <c r="G261" s="25"/>
      <c r="I261" s="24" t="str">
        <f aca="false">IF(D261="","",IFERROR(INDEX(Categorias!$C$6:$C$45,MATCH(D261,Categorias!$B$6:$B$45,0)),"Sem grupo"))</f>
        <v/>
      </c>
      <c r="J261" s="29" t="str">
        <f aca="false">IF(B261="","",DATE(YEAR(B261),MONTH(B261),1))</f>
        <v/>
      </c>
    </row>
    <row r="262" customFormat="false" ht="15" hidden="false" customHeight="false" outlineLevel="0" collapsed="false">
      <c r="B262" s="27"/>
      <c r="C262" s="25"/>
      <c r="D262" s="25"/>
      <c r="E262" s="28"/>
      <c r="F262" s="25"/>
      <c r="G262" s="25"/>
      <c r="I262" s="24" t="str">
        <f aca="false">IF(D262="","",IFERROR(INDEX(Categorias!$C$6:$C$45,MATCH(D262,Categorias!$B$6:$B$45,0)),"Sem grupo"))</f>
        <v/>
      </c>
      <c r="J262" s="29" t="str">
        <f aca="false">IF(B262="","",DATE(YEAR(B262),MONTH(B262),1))</f>
        <v/>
      </c>
    </row>
    <row r="263" customFormat="false" ht="15" hidden="false" customHeight="false" outlineLevel="0" collapsed="false">
      <c r="B263" s="27"/>
      <c r="C263" s="25"/>
      <c r="D263" s="25"/>
      <c r="E263" s="28"/>
      <c r="F263" s="25"/>
      <c r="G263" s="25"/>
      <c r="I263" s="24" t="str">
        <f aca="false">IF(D263="","",IFERROR(INDEX(Categorias!$C$6:$C$45,MATCH(D263,Categorias!$B$6:$B$45,0)),"Sem grupo"))</f>
        <v/>
      </c>
      <c r="J263" s="29" t="str">
        <f aca="false">IF(B263="","",DATE(YEAR(B263),MONTH(B263),1))</f>
        <v/>
      </c>
    </row>
    <row r="264" customFormat="false" ht="15" hidden="false" customHeight="false" outlineLevel="0" collapsed="false">
      <c r="B264" s="27"/>
      <c r="C264" s="25"/>
      <c r="D264" s="25"/>
      <c r="E264" s="28"/>
      <c r="F264" s="25"/>
      <c r="G264" s="25"/>
      <c r="I264" s="24" t="str">
        <f aca="false">IF(D264="","",IFERROR(INDEX(Categorias!$C$6:$C$45,MATCH(D264,Categorias!$B$6:$B$45,0)),"Sem grupo"))</f>
        <v/>
      </c>
      <c r="J264" s="29" t="str">
        <f aca="false">IF(B264="","",DATE(YEAR(B264),MONTH(B264),1))</f>
        <v/>
      </c>
    </row>
    <row r="265" customFormat="false" ht="15" hidden="false" customHeight="false" outlineLevel="0" collapsed="false">
      <c r="B265" s="27"/>
      <c r="C265" s="25"/>
      <c r="D265" s="25"/>
      <c r="E265" s="28"/>
      <c r="F265" s="25"/>
      <c r="G265" s="25"/>
      <c r="I265" s="24" t="str">
        <f aca="false">IF(D265="","",IFERROR(INDEX(Categorias!$C$6:$C$45,MATCH(D265,Categorias!$B$6:$B$45,0)),"Sem grupo"))</f>
        <v/>
      </c>
      <c r="J265" s="29" t="str">
        <f aca="false">IF(B265="","",DATE(YEAR(B265),MONTH(B265),1))</f>
        <v/>
      </c>
    </row>
    <row r="266" customFormat="false" ht="15" hidden="false" customHeight="false" outlineLevel="0" collapsed="false">
      <c r="B266" s="27"/>
      <c r="C266" s="25"/>
      <c r="D266" s="25"/>
      <c r="E266" s="28"/>
      <c r="F266" s="25"/>
      <c r="G266" s="25"/>
      <c r="I266" s="24" t="str">
        <f aca="false">IF(D266="","",IFERROR(INDEX(Categorias!$C$6:$C$45,MATCH(D266,Categorias!$B$6:$B$45,0)),"Sem grupo"))</f>
        <v/>
      </c>
      <c r="J266" s="29" t="str">
        <f aca="false">IF(B266="","",DATE(YEAR(B266),MONTH(B266),1))</f>
        <v/>
      </c>
    </row>
    <row r="267" customFormat="false" ht="15" hidden="false" customHeight="false" outlineLevel="0" collapsed="false">
      <c r="B267" s="27"/>
      <c r="C267" s="25"/>
      <c r="D267" s="25"/>
      <c r="E267" s="28"/>
      <c r="F267" s="25"/>
      <c r="G267" s="25"/>
      <c r="I267" s="24" t="str">
        <f aca="false">IF(D267="","",IFERROR(INDEX(Categorias!$C$6:$C$45,MATCH(D267,Categorias!$B$6:$B$45,0)),"Sem grupo"))</f>
        <v/>
      </c>
      <c r="J267" s="29" t="str">
        <f aca="false">IF(B267="","",DATE(YEAR(B267),MONTH(B267),1))</f>
        <v/>
      </c>
    </row>
    <row r="268" customFormat="false" ht="15" hidden="false" customHeight="false" outlineLevel="0" collapsed="false">
      <c r="B268" s="27"/>
      <c r="C268" s="25"/>
      <c r="D268" s="25"/>
      <c r="E268" s="28"/>
      <c r="F268" s="25"/>
      <c r="G268" s="25"/>
      <c r="I268" s="24" t="str">
        <f aca="false">IF(D268="","",IFERROR(INDEX(Categorias!$C$6:$C$45,MATCH(D268,Categorias!$B$6:$B$45,0)),"Sem grupo"))</f>
        <v/>
      </c>
      <c r="J268" s="29" t="str">
        <f aca="false">IF(B268="","",DATE(YEAR(B268),MONTH(B268),1))</f>
        <v/>
      </c>
    </row>
    <row r="269" customFormat="false" ht="15" hidden="false" customHeight="false" outlineLevel="0" collapsed="false">
      <c r="B269" s="27"/>
      <c r="C269" s="25"/>
      <c r="D269" s="25"/>
      <c r="E269" s="28"/>
      <c r="F269" s="25"/>
      <c r="G269" s="25"/>
      <c r="I269" s="24" t="str">
        <f aca="false">IF(D269="","",IFERROR(INDEX(Categorias!$C$6:$C$45,MATCH(D269,Categorias!$B$6:$B$45,0)),"Sem grupo"))</f>
        <v/>
      </c>
      <c r="J269" s="29" t="str">
        <f aca="false">IF(B269="","",DATE(YEAR(B269),MONTH(B269),1))</f>
        <v/>
      </c>
    </row>
    <row r="270" customFormat="false" ht="15" hidden="false" customHeight="false" outlineLevel="0" collapsed="false">
      <c r="B270" s="27"/>
      <c r="C270" s="25"/>
      <c r="D270" s="25"/>
      <c r="E270" s="28"/>
      <c r="F270" s="25"/>
      <c r="G270" s="25"/>
      <c r="I270" s="24" t="str">
        <f aca="false">IF(D270="","",IFERROR(INDEX(Categorias!$C$6:$C$45,MATCH(D270,Categorias!$B$6:$B$45,0)),"Sem grupo"))</f>
        <v/>
      </c>
      <c r="J270" s="29" t="str">
        <f aca="false">IF(B270="","",DATE(YEAR(B270),MONTH(B270),1))</f>
        <v/>
      </c>
    </row>
    <row r="271" customFormat="false" ht="15" hidden="false" customHeight="false" outlineLevel="0" collapsed="false">
      <c r="B271" s="27"/>
      <c r="C271" s="25"/>
      <c r="D271" s="25"/>
      <c r="E271" s="28"/>
      <c r="F271" s="25"/>
      <c r="G271" s="25"/>
      <c r="I271" s="24" t="str">
        <f aca="false">IF(D271="","",IFERROR(INDEX(Categorias!$C$6:$C$45,MATCH(D271,Categorias!$B$6:$B$45,0)),"Sem grupo"))</f>
        <v/>
      </c>
      <c r="J271" s="29" t="str">
        <f aca="false">IF(B271="","",DATE(YEAR(B271),MONTH(B271),1))</f>
        <v/>
      </c>
    </row>
    <row r="272" customFormat="false" ht="15" hidden="false" customHeight="false" outlineLevel="0" collapsed="false">
      <c r="B272" s="27"/>
      <c r="C272" s="25"/>
      <c r="D272" s="25"/>
      <c r="E272" s="28"/>
      <c r="F272" s="25"/>
      <c r="G272" s="25"/>
      <c r="I272" s="24" t="str">
        <f aca="false">IF(D272="","",IFERROR(INDEX(Categorias!$C$6:$C$45,MATCH(D272,Categorias!$B$6:$B$45,0)),"Sem grupo"))</f>
        <v/>
      </c>
      <c r="J272" s="29" t="str">
        <f aca="false">IF(B272="","",DATE(YEAR(B272),MONTH(B272),1))</f>
        <v/>
      </c>
    </row>
    <row r="273" customFormat="false" ht="15" hidden="false" customHeight="false" outlineLevel="0" collapsed="false">
      <c r="B273" s="27"/>
      <c r="C273" s="25"/>
      <c r="D273" s="25"/>
      <c r="E273" s="28"/>
      <c r="F273" s="25"/>
      <c r="G273" s="25"/>
      <c r="I273" s="24" t="str">
        <f aca="false">IF(D273="","",IFERROR(INDEX(Categorias!$C$6:$C$45,MATCH(D273,Categorias!$B$6:$B$45,0)),"Sem grupo"))</f>
        <v/>
      </c>
      <c r="J273" s="29" t="str">
        <f aca="false">IF(B273="","",DATE(YEAR(B273),MONTH(B273),1))</f>
        <v/>
      </c>
    </row>
    <row r="274" customFormat="false" ht="15" hidden="false" customHeight="false" outlineLevel="0" collapsed="false">
      <c r="B274" s="27"/>
      <c r="C274" s="25"/>
      <c r="D274" s="25"/>
      <c r="E274" s="28"/>
      <c r="F274" s="25"/>
      <c r="G274" s="25"/>
      <c r="I274" s="24" t="str">
        <f aca="false">IF(D274="","",IFERROR(INDEX(Categorias!$C$6:$C$45,MATCH(D274,Categorias!$B$6:$B$45,0)),"Sem grupo"))</f>
        <v/>
      </c>
      <c r="J274" s="29" t="str">
        <f aca="false">IF(B274="","",DATE(YEAR(B274),MONTH(B274),1))</f>
        <v/>
      </c>
    </row>
    <row r="275" customFormat="false" ht="15" hidden="false" customHeight="false" outlineLevel="0" collapsed="false">
      <c r="B275" s="27"/>
      <c r="C275" s="25"/>
      <c r="D275" s="25"/>
      <c r="E275" s="28"/>
      <c r="F275" s="25"/>
      <c r="G275" s="25"/>
      <c r="I275" s="24" t="str">
        <f aca="false">IF(D275="","",IFERROR(INDEX(Categorias!$C$6:$C$45,MATCH(D275,Categorias!$B$6:$B$45,0)),"Sem grupo"))</f>
        <v/>
      </c>
      <c r="J275" s="29" t="str">
        <f aca="false">IF(B275="","",DATE(YEAR(B275),MONTH(B275),1))</f>
        <v/>
      </c>
    </row>
    <row r="276" customFormat="false" ht="15" hidden="false" customHeight="false" outlineLevel="0" collapsed="false">
      <c r="B276" s="27"/>
      <c r="C276" s="25"/>
      <c r="D276" s="25"/>
      <c r="E276" s="28"/>
      <c r="F276" s="25"/>
      <c r="G276" s="25"/>
      <c r="I276" s="24" t="str">
        <f aca="false">IF(D276="","",IFERROR(INDEX(Categorias!$C$6:$C$45,MATCH(D276,Categorias!$B$6:$B$45,0)),"Sem grupo"))</f>
        <v/>
      </c>
      <c r="J276" s="29" t="str">
        <f aca="false">IF(B276="","",DATE(YEAR(B276),MONTH(B276),1))</f>
        <v/>
      </c>
    </row>
    <row r="277" customFormat="false" ht="15" hidden="false" customHeight="false" outlineLevel="0" collapsed="false">
      <c r="B277" s="27"/>
      <c r="C277" s="25"/>
      <c r="D277" s="25"/>
      <c r="E277" s="28"/>
      <c r="F277" s="25"/>
      <c r="G277" s="25"/>
      <c r="I277" s="24" t="str">
        <f aca="false">IF(D277="","",IFERROR(INDEX(Categorias!$C$6:$C$45,MATCH(D277,Categorias!$B$6:$B$45,0)),"Sem grupo"))</f>
        <v/>
      </c>
      <c r="J277" s="29" t="str">
        <f aca="false">IF(B277="","",DATE(YEAR(B277),MONTH(B277),1))</f>
        <v/>
      </c>
    </row>
    <row r="278" customFormat="false" ht="15" hidden="false" customHeight="false" outlineLevel="0" collapsed="false">
      <c r="B278" s="27"/>
      <c r="C278" s="25"/>
      <c r="D278" s="25"/>
      <c r="E278" s="28"/>
      <c r="F278" s="25"/>
      <c r="G278" s="25"/>
      <c r="I278" s="24" t="str">
        <f aca="false">IF(D278="","",IFERROR(INDEX(Categorias!$C$6:$C$45,MATCH(D278,Categorias!$B$6:$B$45,0)),"Sem grupo"))</f>
        <v/>
      </c>
      <c r="J278" s="29" t="str">
        <f aca="false">IF(B278="","",DATE(YEAR(B278),MONTH(B278),1))</f>
        <v/>
      </c>
    </row>
    <row r="279" customFormat="false" ht="15" hidden="false" customHeight="false" outlineLevel="0" collapsed="false">
      <c r="B279" s="27"/>
      <c r="C279" s="25"/>
      <c r="D279" s="25"/>
      <c r="E279" s="28"/>
      <c r="F279" s="25"/>
      <c r="G279" s="25"/>
      <c r="I279" s="24" t="str">
        <f aca="false">IF(D279="","",IFERROR(INDEX(Categorias!$C$6:$C$45,MATCH(D279,Categorias!$B$6:$B$45,0)),"Sem grupo"))</f>
        <v/>
      </c>
      <c r="J279" s="29" t="str">
        <f aca="false">IF(B279="","",DATE(YEAR(B279),MONTH(B279),1))</f>
        <v/>
      </c>
    </row>
    <row r="280" customFormat="false" ht="15" hidden="false" customHeight="false" outlineLevel="0" collapsed="false">
      <c r="B280" s="27"/>
      <c r="C280" s="25"/>
      <c r="D280" s="25"/>
      <c r="E280" s="28"/>
      <c r="F280" s="25"/>
      <c r="G280" s="25"/>
      <c r="I280" s="24" t="str">
        <f aca="false">IF(D280="","",IFERROR(INDEX(Categorias!$C$6:$C$45,MATCH(D280,Categorias!$B$6:$B$45,0)),"Sem grupo"))</f>
        <v/>
      </c>
      <c r="J280" s="29" t="str">
        <f aca="false">IF(B280="","",DATE(YEAR(B280),MONTH(B280),1))</f>
        <v/>
      </c>
    </row>
    <row r="281" customFormat="false" ht="15" hidden="false" customHeight="false" outlineLevel="0" collapsed="false">
      <c r="B281" s="27"/>
      <c r="C281" s="25"/>
      <c r="D281" s="25"/>
      <c r="E281" s="28"/>
      <c r="F281" s="25"/>
      <c r="G281" s="25"/>
      <c r="I281" s="24" t="str">
        <f aca="false">IF(D281="","",IFERROR(INDEX(Categorias!$C$6:$C$45,MATCH(D281,Categorias!$B$6:$B$45,0)),"Sem grupo"))</f>
        <v/>
      </c>
      <c r="J281" s="29" t="str">
        <f aca="false">IF(B281="","",DATE(YEAR(B281),MONTH(B281),1))</f>
        <v/>
      </c>
    </row>
    <row r="282" customFormat="false" ht="15" hidden="false" customHeight="false" outlineLevel="0" collapsed="false">
      <c r="B282" s="27"/>
      <c r="C282" s="25"/>
      <c r="D282" s="25"/>
      <c r="E282" s="28"/>
      <c r="F282" s="25"/>
      <c r="G282" s="25"/>
      <c r="I282" s="24" t="str">
        <f aca="false">IF(D282="","",IFERROR(INDEX(Categorias!$C$6:$C$45,MATCH(D282,Categorias!$B$6:$B$45,0)),"Sem grupo"))</f>
        <v/>
      </c>
      <c r="J282" s="29" t="str">
        <f aca="false">IF(B282="","",DATE(YEAR(B282),MONTH(B282),1))</f>
        <v/>
      </c>
    </row>
    <row r="283" customFormat="false" ht="15" hidden="false" customHeight="false" outlineLevel="0" collapsed="false">
      <c r="B283" s="27"/>
      <c r="C283" s="25"/>
      <c r="D283" s="25"/>
      <c r="E283" s="28"/>
      <c r="F283" s="25"/>
      <c r="G283" s="25"/>
      <c r="I283" s="24" t="str">
        <f aca="false">IF(D283="","",IFERROR(INDEX(Categorias!$C$6:$C$45,MATCH(D283,Categorias!$B$6:$B$45,0)),"Sem grupo"))</f>
        <v/>
      </c>
      <c r="J283" s="29" t="str">
        <f aca="false">IF(B283="","",DATE(YEAR(B283),MONTH(B283),1))</f>
        <v/>
      </c>
    </row>
    <row r="284" customFormat="false" ht="15" hidden="false" customHeight="false" outlineLevel="0" collapsed="false">
      <c r="B284" s="27"/>
      <c r="C284" s="25"/>
      <c r="D284" s="25"/>
      <c r="E284" s="28"/>
      <c r="F284" s="25"/>
      <c r="G284" s="25"/>
      <c r="I284" s="24" t="str">
        <f aca="false">IF(D284="","",IFERROR(INDEX(Categorias!$C$6:$C$45,MATCH(D284,Categorias!$B$6:$B$45,0)),"Sem grupo"))</f>
        <v/>
      </c>
      <c r="J284" s="29" t="str">
        <f aca="false">IF(B284="","",DATE(YEAR(B284),MONTH(B284),1))</f>
        <v/>
      </c>
    </row>
    <row r="285" customFormat="false" ht="15" hidden="false" customHeight="false" outlineLevel="0" collapsed="false">
      <c r="B285" s="27"/>
      <c r="C285" s="25"/>
      <c r="D285" s="25"/>
      <c r="E285" s="28"/>
      <c r="F285" s="25"/>
      <c r="G285" s="25"/>
      <c r="I285" s="24" t="str">
        <f aca="false">IF(D285="","",IFERROR(INDEX(Categorias!$C$6:$C$45,MATCH(D285,Categorias!$B$6:$B$45,0)),"Sem grupo"))</f>
        <v/>
      </c>
      <c r="J285" s="29" t="str">
        <f aca="false">IF(B285="","",DATE(YEAR(B285),MONTH(B285),1))</f>
        <v/>
      </c>
    </row>
    <row r="286" customFormat="false" ht="15" hidden="false" customHeight="false" outlineLevel="0" collapsed="false">
      <c r="B286" s="27"/>
      <c r="C286" s="25"/>
      <c r="D286" s="25"/>
      <c r="E286" s="28"/>
      <c r="F286" s="25"/>
      <c r="G286" s="25"/>
      <c r="I286" s="24" t="str">
        <f aca="false">IF(D286="","",IFERROR(INDEX(Categorias!$C$6:$C$45,MATCH(D286,Categorias!$B$6:$B$45,0)),"Sem grupo"))</f>
        <v/>
      </c>
      <c r="J286" s="29" t="str">
        <f aca="false">IF(B286="","",DATE(YEAR(B286),MONTH(B286),1))</f>
        <v/>
      </c>
    </row>
    <row r="287" customFormat="false" ht="15" hidden="false" customHeight="false" outlineLevel="0" collapsed="false">
      <c r="B287" s="27"/>
      <c r="C287" s="25"/>
      <c r="D287" s="25"/>
      <c r="E287" s="28"/>
      <c r="F287" s="25"/>
      <c r="G287" s="25"/>
      <c r="I287" s="24" t="str">
        <f aca="false">IF(D287="","",IFERROR(INDEX(Categorias!$C$6:$C$45,MATCH(D287,Categorias!$B$6:$B$45,0)),"Sem grupo"))</f>
        <v/>
      </c>
      <c r="J287" s="29" t="str">
        <f aca="false">IF(B287="","",DATE(YEAR(B287),MONTH(B287),1))</f>
        <v/>
      </c>
    </row>
    <row r="288" customFormat="false" ht="15" hidden="false" customHeight="false" outlineLevel="0" collapsed="false">
      <c r="B288" s="27"/>
      <c r="C288" s="25"/>
      <c r="D288" s="25"/>
      <c r="E288" s="28"/>
      <c r="F288" s="25"/>
      <c r="G288" s="25"/>
      <c r="I288" s="24" t="str">
        <f aca="false">IF(D288="","",IFERROR(INDEX(Categorias!$C$6:$C$45,MATCH(D288,Categorias!$B$6:$B$45,0)),"Sem grupo"))</f>
        <v/>
      </c>
      <c r="J288" s="29" t="str">
        <f aca="false">IF(B288="","",DATE(YEAR(B288),MONTH(B288),1))</f>
        <v/>
      </c>
    </row>
    <row r="289" customFormat="false" ht="15" hidden="false" customHeight="false" outlineLevel="0" collapsed="false">
      <c r="B289" s="27"/>
      <c r="C289" s="25"/>
      <c r="D289" s="25"/>
      <c r="E289" s="28"/>
      <c r="F289" s="25"/>
      <c r="G289" s="25"/>
      <c r="I289" s="24" t="str">
        <f aca="false">IF(D289="","",IFERROR(INDEX(Categorias!$C$6:$C$45,MATCH(D289,Categorias!$B$6:$B$45,0)),"Sem grupo"))</f>
        <v/>
      </c>
      <c r="J289" s="29" t="str">
        <f aca="false">IF(B289="","",DATE(YEAR(B289),MONTH(B289),1))</f>
        <v/>
      </c>
    </row>
    <row r="290" customFormat="false" ht="15" hidden="false" customHeight="false" outlineLevel="0" collapsed="false">
      <c r="B290" s="27"/>
      <c r="C290" s="25"/>
      <c r="D290" s="25"/>
      <c r="E290" s="28"/>
      <c r="F290" s="25"/>
      <c r="G290" s="25"/>
      <c r="I290" s="24" t="str">
        <f aca="false">IF(D290="","",IFERROR(INDEX(Categorias!$C$6:$C$45,MATCH(D290,Categorias!$B$6:$B$45,0)),"Sem grupo"))</f>
        <v/>
      </c>
      <c r="J290" s="29" t="str">
        <f aca="false">IF(B290="","",DATE(YEAR(B290),MONTH(B290),1))</f>
        <v/>
      </c>
    </row>
    <row r="291" customFormat="false" ht="15" hidden="false" customHeight="false" outlineLevel="0" collapsed="false">
      <c r="B291" s="27"/>
      <c r="C291" s="25"/>
      <c r="D291" s="25"/>
      <c r="E291" s="28"/>
      <c r="F291" s="25"/>
      <c r="G291" s="25"/>
      <c r="I291" s="24" t="str">
        <f aca="false">IF(D291="","",IFERROR(INDEX(Categorias!$C$6:$C$45,MATCH(D291,Categorias!$B$6:$B$45,0)),"Sem grupo"))</f>
        <v/>
      </c>
      <c r="J291" s="29" t="str">
        <f aca="false">IF(B291="","",DATE(YEAR(B291),MONTH(B291),1))</f>
        <v/>
      </c>
    </row>
    <row r="292" customFormat="false" ht="15" hidden="false" customHeight="false" outlineLevel="0" collapsed="false">
      <c r="B292" s="27"/>
      <c r="C292" s="25"/>
      <c r="D292" s="25"/>
      <c r="E292" s="28"/>
      <c r="F292" s="25"/>
      <c r="G292" s="25"/>
      <c r="I292" s="24" t="str">
        <f aca="false">IF(D292="","",IFERROR(INDEX(Categorias!$C$6:$C$45,MATCH(D292,Categorias!$B$6:$B$45,0)),"Sem grupo"))</f>
        <v/>
      </c>
      <c r="J292" s="29" t="str">
        <f aca="false">IF(B292="","",DATE(YEAR(B292),MONTH(B292),1))</f>
        <v/>
      </c>
    </row>
    <row r="293" customFormat="false" ht="15" hidden="false" customHeight="false" outlineLevel="0" collapsed="false">
      <c r="B293" s="27"/>
      <c r="C293" s="25"/>
      <c r="D293" s="25"/>
      <c r="E293" s="28"/>
      <c r="F293" s="25"/>
      <c r="G293" s="25"/>
      <c r="I293" s="24" t="str">
        <f aca="false">IF(D293="","",IFERROR(INDEX(Categorias!$C$6:$C$45,MATCH(D293,Categorias!$B$6:$B$45,0)),"Sem grupo"))</f>
        <v/>
      </c>
      <c r="J293" s="29" t="str">
        <f aca="false">IF(B293="","",DATE(YEAR(B293),MONTH(B293),1))</f>
        <v/>
      </c>
    </row>
    <row r="294" customFormat="false" ht="15" hidden="false" customHeight="false" outlineLevel="0" collapsed="false">
      <c r="B294" s="27"/>
      <c r="C294" s="25"/>
      <c r="D294" s="25"/>
      <c r="E294" s="28"/>
      <c r="F294" s="25"/>
      <c r="G294" s="25"/>
      <c r="I294" s="24" t="str">
        <f aca="false">IF(D294="","",IFERROR(INDEX(Categorias!$C$6:$C$45,MATCH(D294,Categorias!$B$6:$B$45,0)),"Sem grupo"))</f>
        <v/>
      </c>
      <c r="J294" s="29" t="str">
        <f aca="false">IF(B294="","",DATE(YEAR(B294),MONTH(B294),1))</f>
        <v/>
      </c>
    </row>
    <row r="295" customFormat="false" ht="15" hidden="false" customHeight="false" outlineLevel="0" collapsed="false">
      <c r="B295" s="27"/>
      <c r="C295" s="25"/>
      <c r="D295" s="25"/>
      <c r="E295" s="28"/>
      <c r="F295" s="25"/>
      <c r="G295" s="25"/>
      <c r="I295" s="24" t="str">
        <f aca="false">IF(D295="","",IFERROR(INDEX(Categorias!$C$6:$C$45,MATCH(D295,Categorias!$B$6:$B$45,0)),"Sem grupo"))</f>
        <v/>
      </c>
      <c r="J295" s="29" t="str">
        <f aca="false">IF(B295="","",DATE(YEAR(B295),MONTH(B295),1))</f>
        <v/>
      </c>
    </row>
    <row r="296" customFormat="false" ht="15" hidden="false" customHeight="false" outlineLevel="0" collapsed="false">
      <c r="B296" s="27"/>
      <c r="C296" s="25"/>
      <c r="D296" s="25"/>
      <c r="E296" s="28"/>
      <c r="F296" s="25"/>
      <c r="G296" s="25"/>
      <c r="I296" s="24" t="str">
        <f aca="false">IF(D296="","",IFERROR(INDEX(Categorias!$C$6:$C$45,MATCH(D296,Categorias!$B$6:$B$45,0)),"Sem grupo"))</f>
        <v/>
      </c>
      <c r="J296" s="29" t="str">
        <f aca="false">IF(B296="","",DATE(YEAR(B296),MONTH(B296),1))</f>
        <v/>
      </c>
    </row>
    <row r="297" customFormat="false" ht="15" hidden="false" customHeight="false" outlineLevel="0" collapsed="false">
      <c r="B297" s="27"/>
      <c r="C297" s="25"/>
      <c r="D297" s="25"/>
      <c r="E297" s="28"/>
      <c r="F297" s="25"/>
      <c r="G297" s="25"/>
      <c r="I297" s="24" t="str">
        <f aca="false">IF(D297="","",IFERROR(INDEX(Categorias!$C$6:$C$45,MATCH(D297,Categorias!$B$6:$B$45,0)),"Sem grupo"))</f>
        <v/>
      </c>
      <c r="J297" s="29" t="str">
        <f aca="false">IF(B297="","",DATE(YEAR(B297),MONTH(B297),1))</f>
        <v/>
      </c>
    </row>
    <row r="298" customFormat="false" ht="15" hidden="false" customHeight="false" outlineLevel="0" collapsed="false">
      <c r="B298" s="27"/>
      <c r="C298" s="25"/>
      <c r="D298" s="25"/>
      <c r="E298" s="28"/>
      <c r="F298" s="25"/>
      <c r="G298" s="25"/>
      <c r="I298" s="24" t="str">
        <f aca="false">IF(D298="","",IFERROR(INDEX(Categorias!$C$6:$C$45,MATCH(D298,Categorias!$B$6:$B$45,0)),"Sem grupo"))</f>
        <v/>
      </c>
      <c r="J298" s="29" t="str">
        <f aca="false">IF(B298="","",DATE(YEAR(B298),MONTH(B298),1))</f>
        <v/>
      </c>
    </row>
    <row r="299" customFormat="false" ht="15" hidden="false" customHeight="false" outlineLevel="0" collapsed="false">
      <c r="B299" s="27"/>
      <c r="C299" s="25"/>
      <c r="D299" s="25"/>
      <c r="E299" s="28"/>
      <c r="F299" s="25"/>
      <c r="G299" s="25"/>
      <c r="I299" s="24" t="str">
        <f aca="false">IF(D299="","",IFERROR(INDEX(Categorias!$C$6:$C$45,MATCH(D299,Categorias!$B$6:$B$45,0)),"Sem grupo"))</f>
        <v/>
      </c>
      <c r="J299" s="29" t="str">
        <f aca="false">IF(B299="","",DATE(YEAR(B299),MONTH(B299),1))</f>
        <v/>
      </c>
    </row>
    <row r="300" customFormat="false" ht="15" hidden="false" customHeight="false" outlineLevel="0" collapsed="false">
      <c r="B300" s="27"/>
      <c r="C300" s="25"/>
      <c r="D300" s="25"/>
      <c r="E300" s="28"/>
      <c r="F300" s="25"/>
      <c r="G300" s="25"/>
      <c r="I300" s="24" t="str">
        <f aca="false">IF(D300="","",IFERROR(INDEX(Categorias!$C$6:$C$45,MATCH(D300,Categorias!$B$6:$B$45,0)),"Sem grupo"))</f>
        <v/>
      </c>
      <c r="J300" s="29" t="str">
        <f aca="false">IF(B300="","",DATE(YEAR(B300),MONTH(B300),1))</f>
        <v/>
      </c>
    </row>
    <row r="301" customFormat="false" ht="15" hidden="false" customHeight="false" outlineLevel="0" collapsed="false">
      <c r="B301" s="27"/>
      <c r="C301" s="25"/>
      <c r="D301" s="25"/>
      <c r="E301" s="28"/>
      <c r="F301" s="25"/>
      <c r="G301" s="25"/>
      <c r="I301" s="24" t="str">
        <f aca="false">IF(D301="","",IFERROR(INDEX(Categorias!$C$6:$C$45,MATCH(D301,Categorias!$B$6:$B$45,0)),"Sem grupo"))</f>
        <v/>
      </c>
      <c r="J301" s="29" t="str">
        <f aca="false">IF(B301="","",DATE(YEAR(B301),MONTH(B301),1))</f>
        <v/>
      </c>
    </row>
    <row r="302" customFormat="false" ht="15" hidden="false" customHeight="false" outlineLevel="0" collapsed="false">
      <c r="B302" s="27"/>
      <c r="C302" s="25"/>
      <c r="D302" s="25"/>
      <c r="E302" s="28"/>
      <c r="F302" s="25"/>
      <c r="G302" s="25"/>
      <c r="I302" s="24" t="str">
        <f aca="false">IF(D302="","",IFERROR(INDEX(Categorias!$C$6:$C$45,MATCH(D302,Categorias!$B$6:$B$45,0)),"Sem grupo"))</f>
        <v/>
      </c>
      <c r="J302" s="29" t="str">
        <f aca="false">IF(B302="","",DATE(YEAR(B302),MONTH(B302),1))</f>
        <v/>
      </c>
    </row>
    <row r="303" customFormat="false" ht="15" hidden="false" customHeight="false" outlineLevel="0" collapsed="false">
      <c r="B303" s="27"/>
      <c r="C303" s="25"/>
      <c r="D303" s="25"/>
      <c r="E303" s="28"/>
      <c r="F303" s="25"/>
      <c r="G303" s="25"/>
      <c r="I303" s="24" t="str">
        <f aca="false">IF(D303="","",IFERROR(INDEX(Categorias!$C$6:$C$45,MATCH(D303,Categorias!$B$6:$B$45,0)),"Sem grupo"))</f>
        <v/>
      </c>
      <c r="J303" s="29" t="str">
        <f aca="false">IF(B303="","",DATE(YEAR(B303),MONTH(B303),1))</f>
        <v/>
      </c>
    </row>
    <row r="304" customFormat="false" ht="15" hidden="false" customHeight="false" outlineLevel="0" collapsed="false">
      <c r="B304" s="27"/>
      <c r="C304" s="25"/>
      <c r="D304" s="25"/>
      <c r="E304" s="28"/>
      <c r="F304" s="25"/>
      <c r="G304" s="25"/>
      <c r="I304" s="24" t="str">
        <f aca="false">IF(D304="","",IFERROR(INDEX(Categorias!$C$6:$C$45,MATCH(D304,Categorias!$B$6:$B$45,0)),"Sem grupo"))</f>
        <v/>
      </c>
      <c r="J304" s="29" t="str">
        <f aca="false">IF(B304="","",DATE(YEAR(B304),MONTH(B304),1))</f>
        <v/>
      </c>
    </row>
    <row r="305" customFormat="false" ht="15" hidden="false" customHeight="false" outlineLevel="0" collapsed="false">
      <c r="B305" s="27"/>
      <c r="C305" s="25"/>
      <c r="D305" s="25"/>
      <c r="E305" s="28"/>
      <c r="F305" s="25"/>
      <c r="G305" s="25"/>
      <c r="I305" s="24" t="str">
        <f aca="false">IF(D305="","",IFERROR(INDEX(Categorias!$C$6:$C$45,MATCH(D305,Categorias!$B$6:$B$45,0)),"Sem grupo"))</f>
        <v/>
      </c>
      <c r="J305" s="29" t="str">
        <f aca="false">IF(B305="","",DATE(YEAR(B305),MONTH(B305),1))</f>
        <v/>
      </c>
    </row>
    <row r="306" customFormat="false" ht="15" hidden="false" customHeight="false" outlineLevel="0" collapsed="false">
      <c r="B306" s="27"/>
      <c r="C306" s="25"/>
      <c r="D306" s="25"/>
      <c r="E306" s="28"/>
      <c r="F306" s="25"/>
      <c r="G306" s="25"/>
      <c r="I306" s="24" t="str">
        <f aca="false">IF(D306="","",IFERROR(INDEX(Categorias!$C$6:$C$45,MATCH(D306,Categorias!$B$6:$B$45,0)),"Sem grupo"))</f>
        <v/>
      </c>
      <c r="J306" s="29" t="str">
        <f aca="false">IF(B306="","",DATE(YEAR(B306),MONTH(B306),1))</f>
        <v/>
      </c>
    </row>
    <row r="307" customFormat="false" ht="15" hidden="false" customHeight="false" outlineLevel="0" collapsed="false">
      <c r="B307" s="27"/>
      <c r="C307" s="25"/>
      <c r="D307" s="25"/>
      <c r="E307" s="28"/>
      <c r="F307" s="25"/>
      <c r="G307" s="25"/>
      <c r="I307" s="24" t="str">
        <f aca="false">IF(D307="","",IFERROR(INDEX(Categorias!$C$6:$C$45,MATCH(D307,Categorias!$B$6:$B$45,0)),"Sem grupo"))</f>
        <v/>
      </c>
      <c r="J307" s="29" t="str">
        <f aca="false">IF(B307="","",DATE(YEAR(B307),MONTH(B307),1))</f>
        <v/>
      </c>
    </row>
    <row r="308" customFormat="false" ht="15" hidden="false" customHeight="false" outlineLevel="0" collapsed="false">
      <c r="B308" s="27"/>
      <c r="C308" s="25"/>
      <c r="D308" s="25"/>
      <c r="E308" s="28"/>
      <c r="F308" s="25"/>
      <c r="G308" s="25"/>
      <c r="I308" s="24" t="str">
        <f aca="false">IF(D308="","",IFERROR(INDEX(Categorias!$C$6:$C$45,MATCH(D308,Categorias!$B$6:$B$45,0)),"Sem grupo"))</f>
        <v/>
      </c>
      <c r="J308" s="29" t="str">
        <f aca="false">IF(B308="","",DATE(YEAR(B308),MONTH(B308),1))</f>
        <v/>
      </c>
    </row>
    <row r="309" customFormat="false" ht="15" hidden="false" customHeight="false" outlineLevel="0" collapsed="false">
      <c r="B309" s="27"/>
      <c r="C309" s="25"/>
      <c r="D309" s="25"/>
      <c r="E309" s="28"/>
      <c r="F309" s="25"/>
      <c r="G309" s="25"/>
      <c r="I309" s="24" t="str">
        <f aca="false">IF(D309="","",IFERROR(INDEX(Categorias!$C$6:$C$45,MATCH(D309,Categorias!$B$6:$B$45,0)),"Sem grupo"))</f>
        <v/>
      </c>
      <c r="J309" s="29" t="str">
        <f aca="false">IF(B309="","",DATE(YEAR(B309),MONTH(B309),1))</f>
        <v/>
      </c>
    </row>
    <row r="310" customFormat="false" ht="15" hidden="false" customHeight="false" outlineLevel="0" collapsed="false">
      <c r="B310" s="27"/>
      <c r="C310" s="25"/>
      <c r="D310" s="25"/>
      <c r="E310" s="28"/>
      <c r="F310" s="25"/>
      <c r="G310" s="25"/>
      <c r="I310" s="24" t="str">
        <f aca="false">IF(D310="","",IFERROR(INDEX(Categorias!$C$6:$C$45,MATCH(D310,Categorias!$B$6:$B$45,0)),"Sem grupo"))</f>
        <v/>
      </c>
      <c r="J310" s="29" t="str">
        <f aca="false">IF(B310="","",DATE(YEAR(B310),MONTH(B310),1))</f>
        <v/>
      </c>
    </row>
    <row r="311" customFormat="false" ht="15" hidden="false" customHeight="false" outlineLevel="0" collapsed="false">
      <c r="B311" s="27"/>
      <c r="C311" s="25"/>
      <c r="D311" s="25"/>
      <c r="E311" s="28"/>
      <c r="F311" s="25"/>
      <c r="G311" s="25"/>
      <c r="I311" s="24" t="str">
        <f aca="false">IF(D311="","",IFERROR(INDEX(Categorias!$C$6:$C$45,MATCH(D311,Categorias!$B$6:$B$45,0)),"Sem grupo"))</f>
        <v/>
      </c>
      <c r="J311" s="29" t="str">
        <f aca="false">IF(B311="","",DATE(YEAR(B311),MONTH(B311),1))</f>
        <v/>
      </c>
    </row>
    <row r="312" customFormat="false" ht="15" hidden="false" customHeight="false" outlineLevel="0" collapsed="false">
      <c r="B312" s="27"/>
      <c r="C312" s="25"/>
      <c r="D312" s="25"/>
      <c r="E312" s="28"/>
      <c r="F312" s="25"/>
      <c r="G312" s="25"/>
      <c r="I312" s="24" t="str">
        <f aca="false">IF(D312="","",IFERROR(INDEX(Categorias!$C$6:$C$45,MATCH(D312,Categorias!$B$6:$B$45,0)),"Sem grupo"))</f>
        <v/>
      </c>
      <c r="J312" s="29" t="str">
        <f aca="false">IF(B312="","",DATE(YEAR(B312),MONTH(B312),1))</f>
        <v/>
      </c>
    </row>
    <row r="313" customFormat="false" ht="15" hidden="false" customHeight="false" outlineLevel="0" collapsed="false">
      <c r="B313" s="27"/>
      <c r="C313" s="25"/>
      <c r="D313" s="25"/>
      <c r="E313" s="28"/>
      <c r="F313" s="25"/>
      <c r="G313" s="25"/>
      <c r="I313" s="24" t="str">
        <f aca="false">IF(D313="","",IFERROR(INDEX(Categorias!$C$6:$C$45,MATCH(D313,Categorias!$B$6:$B$45,0)),"Sem grupo"))</f>
        <v/>
      </c>
      <c r="J313" s="29" t="str">
        <f aca="false">IF(B313="","",DATE(YEAR(B313),MONTH(B313),1))</f>
        <v/>
      </c>
    </row>
    <row r="314" customFormat="false" ht="15" hidden="false" customHeight="false" outlineLevel="0" collapsed="false">
      <c r="B314" s="27"/>
      <c r="C314" s="25"/>
      <c r="D314" s="25"/>
      <c r="E314" s="28"/>
      <c r="F314" s="25"/>
      <c r="G314" s="25"/>
      <c r="I314" s="24" t="str">
        <f aca="false">IF(D314="","",IFERROR(INDEX(Categorias!$C$6:$C$45,MATCH(D314,Categorias!$B$6:$B$45,0)),"Sem grupo"))</f>
        <v/>
      </c>
      <c r="J314" s="29" t="str">
        <f aca="false">IF(B314="","",DATE(YEAR(B314),MONTH(B314),1))</f>
        <v/>
      </c>
    </row>
    <row r="315" customFormat="false" ht="15" hidden="false" customHeight="false" outlineLevel="0" collapsed="false">
      <c r="B315" s="27"/>
      <c r="C315" s="25"/>
      <c r="D315" s="25"/>
      <c r="E315" s="28"/>
      <c r="F315" s="25"/>
      <c r="G315" s="25"/>
      <c r="I315" s="24" t="str">
        <f aca="false">IF(D315="","",IFERROR(INDEX(Categorias!$C$6:$C$45,MATCH(D315,Categorias!$B$6:$B$45,0)),"Sem grupo"))</f>
        <v/>
      </c>
      <c r="J315" s="29" t="str">
        <f aca="false">IF(B315="","",DATE(YEAR(B315),MONTH(B315),1))</f>
        <v/>
      </c>
    </row>
    <row r="316" customFormat="false" ht="15" hidden="false" customHeight="false" outlineLevel="0" collapsed="false">
      <c r="B316" s="27"/>
      <c r="C316" s="25"/>
      <c r="D316" s="25"/>
      <c r="E316" s="28"/>
      <c r="F316" s="25"/>
      <c r="G316" s="25"/>
      <c r="I316" s="24" t="str">
        <f aca="false">IF(D316="","",IFERROR(INDEX(Categorias!$C$6:$C$45,MATCH(D316,Categorias!$B$6:$B$45,0)),"Sem grupo"))</f>
        <v/>
      </c>
      <c r="J316" s="29" t="str">
        <f aca="false">IF(B316="","",DATE(YEAR(B316),MONTH(B316),1))</f>
        <v/>
      </c>
    </row>
    <row r="317" customFormat="false" ht="15" hidden="false" customHeight="false" outlineLevel="0" collapsed="false">
      <c r="B317" s="27"/>
      <c r="C317" s="25"/>
      <c r="D317" s="25"/>
      <c r="E317" s="28"/>
      <c r="F317" s="25"/>
      <c r="G317" s="25"/>
      <c r="I317" s="24" t="str">
        <f aca="false">IF(D317="","",IFERROR(INDEX(Categorias!$C$6:$C$45,MATCH(D317,Categorias!$B$6:$B$45,0)),"Sem grupo"))</f>
        <v/>
      </c>
      <c r="J317" s="29" t="str">
        <f aca="false">IF(B317="","",DATE(YEAR(B317),MONTH(B317),1))</f>
        <v/>
      </c>
    </row>
    <row r="318" customFormat="false" ht="15" hidden="false" customHeight="false" outlineLevel="0" collapsed="false">
      <c r="B318" s="27"/>
      <c r="C318" s="25"/>
      <c r="D318" s="25"/>
      <c r="E318" s="28"/>
      <c r="F318" s="25"/>
      <c r="G318" s="25"/>
      <c r="I318" s="24" t="str">
        <f aca="false">IF(D318="","",IFERROR(INDEX(Categorias!$C$6:$C$45,MATCH(D318,Categorias!$B$6:$B$45,0)),"Sem grupo"))</f>
        <v/>
      </c>
      <c r="J318" s="29" t="str">
        <f aca="false">IF(B318="","",DATE(YEAR(B318),MONTH(B318),1))</f>
        <v/>
      </c>
    </row>
    <row r="319" customFormat="false" ht="15" hidden="false" customHeight="false" outlineLevel="0" collapsed="false">
      <c r="B319" s="27"/>
      <c r="C319" s="25"/>
      <c r="D319" s="25"/>
      <c r="E319" s="28"/>
      <c r="F319" s="25"/>
      <c r="G319" s="25"/>
      <c r="I319" s="24" t="str">
        <f aca="false">IF(D319="","",IFERROR(INDEX(Categorias!$C$6:$C$45,MATCH(D319,Categorias!$B$6:$B$45,0)),"Sem grupo"))</f>
        <v/>
      </c>
      <c r="J319" s="29" t="str">
        <f aca="false">IF(B319="","",DATE(YEAR(B319),MONTH(B319),1))</f>
        <v/>
      </c>
    </row>
    <row r="320" customFormat="false" ht="15" hidden="false" customHeight="false" outlineLevel="0" collapsed="false">
      <c r="B320" s="27"/>
      <c r="C320" s="25"/>
      <c r="D320" s="25"/>
      <c r="E320" s="28"/>
      <c r="F320" s="25"/>
      <c r="G320" s="25"/>
      <c r="I320" s="24" t="str">
        <f aca="false">IF(D320="","",IFERROR(INDEX(Categorias!$C$6:$C$45,MATCH(D320,Categorias!$B$6:$B$45,0)),"Sem grupo"))</f>
        <v/>
      </c>
      <c r="J320" s="29" t="str">
        <f aca="false">IF(B320="","",DATE(YEAR(B320),MONTH(B320),1))</f>
        <v/>
      </c>
    </row>
    <row r="321" customFormat="false" ht="15" hidden="false" customHeight="false" outlineLevel="0" collapsed="false">
      <c r="B321" s="27"/>
      <c r="C321" s="25"/>
      <c r="D321" s="25"/>
      <c r="E321" s="28"/>
      <c r="F321" s="25"/>
      <c r="G321" s="25"/>
      <c r="I321" s="24" t="str">
        <f aca="false">IF(D321="","",IFERROR(INDEX(Categorias!$C$6:$C$45,MATCH(D321,Categorias!$B$6:$B$45,0)),"Sem grupo"))</f>
        <v/>
      </c>
      <c r="J321" s="29" t="str">
        <f aca="false">IF(B321="","",DATE(YEAR(B321),MONTH(B321),1))</f>
        <v/>
      </c>
    </row>
    <row r="322" customFormat="false" ht="15" hidden="false" customHeight="false" outlineLevel="0" collapsed="false">
      <c r="B322" s="27"/>
      <c r="C322" s="25"/>
      <c r="D322" s="25"/>
      <c r="E322" s="28"/>
      <c r="F322" s="25"/>
      <c r="G322" s="25"/>
      <c r="I322" s="24" t="str">
        <f aca="false">IF(D322="","",IFERROR(INDEX(Categorias!$C$6:$C$45,MATCH(D322,Categorias!$B$6:$B$45,0)),"Sem grupo"))</f>
        <v/>
      </c>
      <c r="J322" s="29" t="str">
        <f aca="false">IF(B322="","",DATE(YEAR(B322),MONTH(B322),1))</f>
        <v/>
      </c>
    </row>
    <row r="323" customFormat="false" ht="15" hidden="false" customHeight="false" outlineLevel="0" collapsed="false">
      <c r="B323" s="27"/>
      <c r="C323" s="25"/>
      <c r="D323" s="25"/>
      <c r="E323" s="28"/>
      <c r="F323" s="25"/>
      <c r="G323" s="25"/>
      <c r="I323" s="24" t="str">
        <f aca="false">IF(D323="","",IFERROR(INDEX(Categorias!$C$6:$C$45,MATCH(D323,Categorias!$B$6:$B$45,0)),"Sem grupo"))</f>
        <v/>
      </c>
      <c r="J323" s="29" t="str">
        <f aca="false">IF(B323="","",DATE(YEAR(B323),MONTH(B323),1))</f>
        <v/>
      </c>
    </row>
    <row r="324" customFormat="false" ht="15" hidden="false" customHeight="false" outlineLevel="0" collapsed="false">
      <c r="B324" s="27"/>
      <c r="C324" s="25"/>
      <c r="D324" s="25"/>
      <c r="E324" s="28"/>
      <c r="F324" s="25"/>
      <c r="G324" s="25"/>
      <c r="I324" s="24" t="str">
        <f aca="false">IF(D324="","",IFERROR(INDEX(Categorias!$C$6:$C$45,MATCH(D324,Categorias!$B$6:$B$45,0)),"Sem grupo"))</f>
        <v/>
      </c>
      <c r="J324" s="29" t="str">
        <f aca="false">IF(B324="","",DATE(YEAR(B324),MONTH(B324),1))</f>
        <v/>
      </c>
    </row>
    <row r="325" customFormat="false" ht="15" hidden="false" customHeight="false" outlineLevel="0" collapsed="false">
      <c r="B325" s="27"/>
      <c r="C325" s="25"/>
      <c r="D325" s="25"/>
      <c r="E325" s="28"/>
      <c r="F325" s="25"/>
      <c r="G325" s="25"/>
      <c r="I325" s="24" t="str">
        <f aca="false">IF(D325="","",IFERROR(INDEX(Categorias!$C$6:$C$45,MATCH(D325,Categorias!$B$6:$B$45,0)),"Sem grupo"))</f>
        <v/>
      </c>
      <c r="J325" s="29" t="str">
        <f aca="false">IF(B325="","",DATE(YEAR(B325),MONTH(B325),1))</f>
        <v/>
      </c>
    </row>
    <row r="326" customFormat="false" ht="15" hidden="false" customHeight="false" outlineLevel="0" collapsed="false">
      <c r="B326" s="27"/>
      <c r="C326" s="25"/>
      <c r="D326" s="25"/>
      <c r="E326" s="28"/>
      <c r="F326" s="25"/>
      <c r="G326" s="25"/>
      <c r="I326" s="24" t="str">
        <f aca="false">IF(D326="","",IFERROR(INDEX(Categorias!$C$6:$C$45,MATCH(D326,Categorias!$B$6:$B$45,0)),"Sem grupo"))</f>
        <v/>
      </c>
      <c r="J326" s="29" t="str">
        <f aca="false">IF(B326="","",DATE(YEAR(B326),MONTH(B326),1))</f>
        <v/>
      </c>
    </row>
    <row r="327" customFormat="false" ht="15" hidden="false" customHeight="false" outlineLevel="0" collapsed="false">
      <c r="B327" s="27"/>
      <c r="C327" s="25"/>
      <c r="D327" s="25"/>
      <c r="E327" s="28"/>
      <c r="F327" s="25"/>
      <c r="G327" s="25"/>
      <c r="I327" s="24" t="str">
        <f aca="false">IF(D327="","",IFERROR(INDEX(Categorias!$C$6:$C$45,MATCH(D327,Categorias!$B$6:$B$45,0)),"Sem grupo"))</f>
        <v/>
      </c>
      <c r="J327" s="29" t="str">
        <f aca="false">IF(B327="","",DATE(YEAR(B327),MONTH(B327),1))</f>
        <v/>
      </c>
    </row>
    <row r="328" customFormat="false" ht="15" hidden="false" customHeight="false" outlineLevel="0" collapsed="false">
      <c r="B328" s="27"/>
      <c r="C328" s="25"/>
      <c r="D328" s="25"/>
      <c r="E328" s="28"/>
      <c r="F328" s="25"/>
      <c r="G328" s="25"/>
      <c r="I328" s="24" t="str">
        <f aca="false">IF(D328="","",IFERROR(INDEX(Categorias!$C$6:$C$45,MATCH(D328,Categorias!$B$6:$B$45,0)),"Sem grupo"))</f>
        <v/>
      </c>
      <c r="J328" s="29" t="str">
        <f aca="false">IF(B328="","",DATE(YEAR(B328),MONTH(B328),1))</f>
        <v/>
      </c>
    </row>
    <row r="329" customFormat="false" ht="15" hidden="false" customHeight="false" outlineLevel="0" collapsed="false">
      <c r="B329" s="27"/>
      <c r="C329" s="25"/>
      <c r="D329" s="25"/>
      <c r="E329" s="28"/>
      <c r="F329" s="25"/>
      <c r="G329" s="25"/>
      <c r="I329" s="24" t="str">
        <f aca="false">IF(D329="","",IFERROR(INDEX(Categorias!$C$6:$C$45,MATCH(D329,Categorias!$B$6:$B$45,0)),"Sem grupo"))</f>
        <v/>
      </c>
      <c r="J329" s="29" t="str">
        <f aca="false">IF(B329="","",DATE(YEAR(B329),MONTH(B329),1))</f>
        <v/>
      </c>
    </row>
    <row r="330" customFormat="false" ht="15" hidden="false" customHeight="false" outlineLevel="0" collapsed="false">
      <c r="B330" s="27"/>
      <c r="C330" s="25"/>
      <c r="D330" s="25"/>
      <c r="E330" s="28"/>
      <c r="F330" s="25"/>
      <c r="G330" s="25"/>
      <c r="I330" s="24" t="str">
        <f aca="false">IF(D330="","",IFERROR(INDEX(Categorias!$C$6:$C$45,MATCH(D330,Categorias!$B$6:$B$45,0)),"Sem grupo"))</f>
        <v/>
      </c>
      <c r="J330" s="29" t="str">
        <f aca="false">IF(B330="","",DATE(YEAR(B330),MONTH(B330),1))</f>
        <v/>
      </c>
    </row>
    <row r="331" customFormat="false" ht="15" hidden="false" customHeight="false" outlineLevel="0" collapsed="false">
      <c r="B331" s="27"/>
      <c r="C331" s="25"/>
      <c r="D331" s="25"/>
      <c r="E331" s="28"/>
      <c r="F331" s="25"/>
      <c r="G331" s="25"/>
      <c r="I331" s="24" t="str">
        <f aca="false">IF(D331="","",IFERROR(INDEX(Categorias!$C$6:$C$45,MATCH(D331,Categorias!$B$6:$B$45,0)),"Sem grupo"))</f>
        <v/>
      </c>
      <c r="J331" s="29" t="str">
        <f aca="false">IF(B331="","",DATE(YEAR(B331),MONTH(B331),1))</f>
        <v/>
      </c>
    </row>
    <row r="332" customFormat="false" ht="15" hidden="false" customHeight="false" outlineLevel="0" collapsed="false">
      <c r="B332" s="27"/>
      <c r="C332" s="25"/>
      <c r="D332" s="25"/>
      <c r="E332" s="28"/>
      <c r="F332" s="25"/>
      <c r="G332" s="25"/>
      <c r="I332" s="24" t="str">
        <f aca="false">IF(D332="","",IFERROR(INDEX(Categorias!$C$6:$C$45,MATCH(D332,Categorias!$B$6:$B$45,0)),"Sem grupo"))</f>
        <v/>
      </c>
      <c r="J332" s="29" t="str">
        <f aca="false">IF(B332="","",DATE(YEAR(B332),MONTH(B332),1))</f>
        <v/>
      </c>
    </row>
    <row r="333" customFormat="false" ht="15" hidden="false" customHeight="false" outlineLevel="0" collapsed="false">
      <c r="B333" s="27"/>
      <c r="C333" s="25"/>
      <c r="D333" s="25"/>
      <c r="E333" s="28"/>
      <c r="F333" s="25"/>
      <c r="G333" s="25"/>
      <c r="I333" s="24" t="str">
        <f aca="false">IF(D333="","",IFERROR(INDEX(Categorias!$C$6:$C$45,MATCH(D333,Categorias!$B$6:$B$45,0)),"Sem grupo"))</f>
        <v/>
      </c>
      <c r="J333" s="29" t="str">
        <f aca="false">IF(B333="","",DATE(YEAR(B333),MONTH(B333),1))</f>
        <v/>
      </c>
    </row>
    <row r="334" customFormat="false" ht="15" hidden="false" customHeight="false" outlineLevel="0" collapsed="false">
      <c r="B334" s="27"/>
      <c r="C334" s="25"/>
      <c r="D334" s="25"/>
      <c r="E334" s="28"/>
      <c r="F334" s="25"/>
      <c r="G334" s="25"/>
      <c r="I334" s="24" t="str">
        <f aca="false">IF(D334="","",IFERROR(INDEX(Categorias!$C$6:$C$45,MATCH(D334,Categorias!$B$6:$B$45,0)),"Sem grupo"))</f>
        <v/>
      </c>
      <c r="J334" s="29" t="str">
        <f aca="false">IF(B334="","",DATE(YEAR(B334),MONTH(B334),1))</f>
        <v/>
      </c>
    </row>
    <row r="335" customFormat="false" ht="15" hidden="false" customHeight="false" outlineLevel="0" collapsed="false">
      <c r="B335" s="27"/>
      <c r="C335" s="25"/>
      <c r="D335" s="25"/>
      <c r="E335" s="28"/>
      <c r="F335" s="25"/>
      <c r="G335" s="25"/>
      <c r="I335" s="24" t="str">
        <f aca="false">IF(D335="","",IFERROR(INDEX(Categorias!$C$6:$C$45,MATCH(D335,Categorias!$B$6:$B$45,0)),"Sem grupo"))</f>
        <v/>
      </c>
      <c r="J335" s="29" t="str">
        <f aca="false">IF(B335="","",DATE(YEAR(B335),MONTH(B335),1))</f>
        <v/>
      </c>
    </row>
    <row r="336" customFormat="false" ht="15" hidden="false" customHeight="false" outlineLevel="0" collapsed="false">
      <c r="B336" s="27"/>
      <c r="C336" s="25"/>
      <c r="D336" s="25"/>
      <c r="E336" s="28"/>
      <c r="F336" s="25"/>
      <c r="G336" s="25"/>
      <c r="I336" s="24" t="str">
        <f aca="false">IF(D336="","",IFERROR(INDEX(Categorias!$C$6:$C$45,MATCH(D336,Categorias!$B$6:$B$45,0)),"Sem grupo"))</f>
        <v/>
      </c>
      <c r="J336" s="29" t="str">
        <f aca="false">IF(B336="","",DATE(YEAR(B336),MONTH(B336),1))</f>
        <v/>
      </c>
    </row>
    <row r="337" customFormat="false" ht="15" hidden="false" customHeight="false" outlineLevel="0" collapsed="false">
      <c r="B337" s="27"/>
      <c r="C337" s="25"/>
      <c r="D337" s="25"/>
      <c r="E337" s="28"/>
      <c r="F337" s="25"/>
      <c r="G337" s="25"/>
      <c r="I337" s="24" t="str">
        <f aca="false">IF(D337="","",IFERROR(INDEX(Categorias!$C$6:$C$45,MATCH(D337,Categorias!$B$6:$B$45,0)),"Sem grupo"))</f>
        <v/>
      </c>
      <c r="J337" s="29" t="str">
        <f aca="false">IF(B337="","",DATE(YEAR(B337),MONTH(B337),1))</f>
        <v/>
      </c>
    </row>
    <row r="338" customFormat="false" ht="15" hidden="false" customHeight="false" outlineLevel="0" collapsed="false">
      <c r="B338" s="27"/>
      <c r="C338" s="25"/>
      <c r="D338" s="25"/>
      <c r="E338" s="28"/>
      <c r="F338" s="25"/>
      <c r="G338" s="25"/>
      <c r="I338" s="24" t="str">
        <f aca="false">IF(D338="","",IFERROR(INDEX(Categorias!$C$6:$C$45,MATCH(D338,Categorias!$B$6:$B$45,0)),"Sem grupo"))</f>
        <v/>
      </c>
      <c r="J338" s="29" t="str">
        <f aca="false">IF(B338="","",DATE(YEAR(B338),MONTH(B338),1))</f>
        <v/>
      </c>
    </row>
    <row r="339" customFormat="false" ht="15" hidden="false" customHeight="false" outlineLevel="0" collapsed="false">
      <c r="B339" s="27"/>
      <c r="C339" s="25"/>
      <c r="D339" s="25"/>
      <c r="E339" s="28"/>
      <c r="F339" s="25"/>
      <c r="G339" s="25"/>
      <c r="I339" s="24" t="str">
        <f aca="false">IF(D339="","",IFERROR(INDEX(Categorias!$C$6:$C$45,MATCH(D339,Categorias!$B$6:$B$45,0)),"Sem grupo"))</f>
        <v/>
      </c>
      <c r="J339" s="29" t="str">
        <f aca="false">IF(B339="","",DATE(YEAR(B339),MONTH(B339),1))</f>
        <v/>
      </c>
    </row>
    <row r="340" customFormat="false" ht="15" hidden="false" customHeight="false" outlineLevel="0" collapsed="false">
      <c r="B340" s="27"/>
      <c r="C340" s="25"/>
      <c r="D340" s="25"/>
      <c r="E340" s="28"/>
      <c r="F340" s="25"/>
      <c r="G340" s="25"/>
      <c r="I340" s="24" t="str">
        <f aca="false">IF(D340="","",IFERROR(INDEX(Categorias!$C$6:$C$45,MATCH(D340,Categorias!$B$6:$B$45,0)),"Sem grupo"))</f>
        <v/>
      </c>
      <c r="J340" s="29" t="str">
        <f aca="false">IF(B340="","",DATE(YEAR(B340),MONTH(B340),1))</f>
        <v/>
      </c>
    </row>
    <row r="341" customFormat="false" ht="15" hidden="false" customHeight="false" outlineLevel="0" collapsed="false">
      <c r="B341" s="27"/>
      <c r="C341" s="25"/>
      <c r="D341" s="25"/>
      <c r="E341" s="28"/>
      <c r="F341" s="25"/>
      <c r="G341" s="25"/>
      <c r="I341" s="24" t="str">
        <f aca="false">IF(D341="","",IFERROR(INDEX(Categorias!$C$6:$C$45,MATCH(D341,Categorias!$B$6:$B$45,0)),"Sem grupo"))</f>
        <v/>
      </c>
      <c r="J341" s="29" t="str">
        <f aca="false">IF(B341="","",DATE(YEAR(B341),MONTH(B341),1))</f>
        <v/>
      </c>
    </row>
    <row r="342" customFormat="false" ht="15" hidden="false" customHeight="false" outlineLevel="0" collapsed="false">
      <c r="B342" s="27"/>
      <c r="C342" s="25"/>
      <c r="D342" s="25"/>
      <c r="E342" s="28"/>
      <c r="F342" s="25"/>
      <c r="G342" s="25"/>
      <c r="I342" s="24" t="str">
        <f aca="false">IF(D342="","",IFERROR(INDEX(Categorias!$C$6:$C$45,MATCH(D342,Categorias!$B$6:$B$45,0)),"Sem grupo"))</f>
        <v/>
      </c>
      <c r="J342" s="29" t="str">
        <f aca="false">IF(B342="","",DATE(YEAR(B342),MONTH(B342),1))</f>
        <v/>
      </c>
    </row>
    <row r="343" customFormat="false" ht="15" hidden="false" customHeight="false" outlineLevel="0" collapsed="false">
      <c r="B343" s="27"/>
      <c r="C343" s="25"/>
      <c r="D343" s="25"/>
      <c r="E343" s="28"/>
      <c r="F343" s="25"/>
      <c r="G343" s="25"/>
      <c r="I343" s="24" t="str">
        <f aca="false">IF(D343="","",IFERROR(INDEX(Categorias!$C$6:$C$45,MATCH(D343,Categorias!$B$6:$B$45,0)),"Sem grupo"))</f>
        <v/>
      </c>
      <c r="J343" s="29" t="str">
        <f aca="false">IF(B343="","",DATE(YEAR(B343),MONTH(B343),1))</f>
        <v/>
      </c>
    </row>
    <row r="344" customFormat="false" ht="15" hidden="false" customHeight="false" outlineLevel="0" collapsed="false">
      <c r="B344" s="27"/>
      <c r="C344" s="25"/>
      <c r="D344" s="25"/>
      <c r="E344" s="28"/>
      <c r="F344" s="25"/>
      <c r="G344" s="25"/>
      <c r="I344" s="24" t="str">
        <f aca="false">IF(D344="","",IFERROR(INDEX(Categorias!$C$6:$C$45,MATCH(D344,Categorias!$B$6:$B$45,0)),"Sem grupo"))</f>
        <v/>
      </c>
      <c r="J344" s="29" t="str">
        <f aca="false">IF(B344="","",DATE(YEAR(B344),MONTH(B344),1))</f>
        <v/>
      </c>
    </row>
    <row r="345" customFormat="false" ht="15" hidden="false" customHeight="false" outlineLevel="0" collapsed="false">
      <c r="B345" s="27"/>
      <c r="C345" s="25"/>
      <c r="D345" s="25"/>
      <c r="E345" s="28"/>
      <c r="F345" s="25"/>
      <c r="G345" s="25"/>
      <c r="I345" s="24" t="str">
        <f aca="false">IF(D345="","",IFERROR(INDEX(Categorias!$C$6:$C$45,MATCH(D345,Categorias!$B$6:$B$45,0)),"Sem grupo"))</f>
        <v/>
      </c>
      <c r="J345" s="29" t="str">
        <f aca="false">IF(B345="","",DATE(YEAR(B345),MONTH(B345),1))</f>
        <v/>
      </c>
    </row>
    <row r="346" customFormat="false" ht="15" hidden="false" customHeight="false" outlineLevel="0" collapsed="false">
      <c r="B346" s="27"/>
      <c r="C346" s="25"/>
      <c r="D346" s="25"/>
      <c r="E346" s="28"/>
      <c r="F346" s="25"/>
      <c r="G346" s="25"/>
      <c r="I346" s="24" t="str">
        <f aca="false">IF(D346="","",IFERROR(INDEX(Categorias!$C$6:$C$45,MATCH(D346,Categorias!$B$6:$B$45,0)),"Sem grupo"))</f>
        <v/>
      </c>
      <c r="J346" s="29" t="str">
        <f aca="false">IF(B346="","",DATE(YEAR(B346),MONTH(B346),1))</f>
        <v/>
      </c>
    </row>
    <row r="347" customFormat="false" ht="15" hidden="false" customHeight="false" outlineLevel="0" collapsed="false">
      <c r="B347" s="27"/>
      <c r="C347" s="25"/>
      <c r="D347" s="25"/>
      <c r="E347" s="28"/>
      <c r="F347" s="25"/>
      <c r="G347" s="25"/>
      <c r="I347" s="24" t="str">
        <f aca="false">IF(D347="","",IFERROR(INDEX(Categorias!$C$6:$C$45,MATCH(D347,Categorias!$B$6:$B$45,0)),"Sem grupo"))</f>
        <v/>
      </c>
      <c r="J347" s="29" t="str">
        <f aca="false">IF(B347="","",DATE(YEAR(B347),MONTH(B347),1))</f>
        <v/>
      </c>
    </row>
    <row r="348" customFormat="false" ht="15" hidden="false" customHeight="false" outlineLevel="0" collapsed="false">
      <c r="B348" s="27"/>
      <c r="C348" s="25"/>
      <c r="D348" s="25"/>
      <c r="E348" s="28"/>
      <c r="F348" s="25"/>
      <c r="G348" s="25"/>
      <c r="I348" s="24" t="str">
        <f aca="false">IF(D348="","",IFERROR(INDEX(Categorias!$C$6:$C$45,MATCH(D348,Categorias!$B$6:$B$45,0)),"Sem grupo"))</f>
        <v/>
      </c>
      <c r="J348" s="29" t="str">
        <f aca="false">IF(B348="","",DATE(YEAR(B348),MONTH(B348),1))</f>
        <v/>
      </c>
    </row>
    <row r="349" customFormat="false" ht="15" hidden="false" customHeight="false" outlineLevel="0" collapsed="false">
      <c r="B349" s="27"/>
      <c r="C349" s="25"/>
      <c r="D349" s="25"/>
      <c r="E349" s="28"/>
      <c r="F349" s="25"/>
      <c r="G349" s="25"/>
      <c r="I349" s="24" t="str">
        <f aca="false">IF(D349="","",IFERROR(INDEX(Categorias!$C$6:$C$45,MATCH(D349,Categorias!$B$6:$B$45,0)),"Sem grupo"))</f>
        <v/>
      </c>
      <c r="J349" s="29" t="str">
        <f aca="false">IF(B349="","",DATE(YEAR(B349),MONTH(B349),1))</f>
        <v/>
      </c>
    </row>
    <row r="350" customFormat="false" ht="15" hidden="false" customHeight="false" outlineLevel="0" collapsed="false">
      <c r="B350" s="27"/>
      <c r="C350" s="25"/>
      <c r="D350" s="25"/>
      <c r="E350" s="28"/>
      <c r="F350" s="25"/>
      <c r="G350" s="25"/>
      <c r="I350" s="24" t="str">
        <f aca="false">IF(D350="","",IFERROR(INDEX(Categorias!$C$6:$C$45,MATCH(D350,Categorias!$B$6:$B$45,0)),"Sem grupo"))</f>
        <v/>
      </c>
      <c r="J350" s="29" t="str">
        <f aca="false">IF(B350="","",DATE(YEAR(B350),MONTH(B350),1))</f>
        <v/>
      </c>
    </row>
    <row r="351" customFormat="false" ht="15" hidden="false" customHeight="false" outlineLevel="0" collapsed="false">
      <c r="B351" s="27"/>
      <c r="C351" s="25"/>
      <c r="D351" s="25"/>
      <c r="E351" s="28"/>
      <c r="F351" s="25"/>
      <c r="G351" s="25"/>
      <c r="I351" s="24" t="str">
        <f aca="false">IF(D351="","",IFERROR(INDEX(Categorias!$C$6:$C$45,MATCH(D351,Categorias!$B$6:$B$45,0)),"Sem grupo"))</f>
        <v/>
      </c>
      <c r="J351" s="29" t="str">
        <f aca="false">IF(B351="","",DATE(YEAR(B351),MONTH(B351),1))</f>
        <v/>
      </c>
    </row>
    <row r="352" customFormat="false" ht="15" hidden="false" customHeight="false" outlineLevel="0" collapsed="false">
      <c r="B352" s="27"/>
      <c r="C352" s="25"/>
      <c r="D352" s="25"/>
      <c r="E352" s="28"/>
      <c r="F352" s="25"/>
      <c r="G352" s="25"/>
      <c r="I352" s="24" t="str">
        <f aca="false">IF(D352="","",IFERROR(INDEX(Categorias!$C$6:$C$45,MATCH(D352,Categorias!$B$6:$B$45,0)),"Sem grupo"))</f>
        <v/>
      </c>
      <c r="J352" s="29" t="str">
        <f aca="false">IF(B352="","",DATE(YEAR(B352),MONTH(B352),1))</f>
        <v/>
      </c>
    </row>
    <row r="353" customFormat="false" ht="15" hidden="false" customHeight="false" outlineLevel="0" collapsed="false">
      <c r="B353" s="27"/>
      <c r="C353" s="25"/>
      <c r="D353" s="25"/>
      <c r="E353" s="28"/>
      <c r="F353" s="25"/>
      <c r="G353" s="25"/>
      <c r="I353" s="24" t="str">
        <f aca="false">IF(D353="","",IFERROR(INDEX(Categorias!$C$6:$C$45,MATCH(D353,Categorias!$B$6:$B$45,0)),"Sem grupo"))</f>
        <v/>
      </c>
      <c r="J353" s="29" t="str">
        <f aca="false">IF(B353="","",DATE(YEAR(B353),MONTH(B353),1))</f>
        <v/>
      </c>
    </row>
    <row r="354" customFormat="false" ht="15" hidden="false" customHeight="false" outlineLevel="0" collapsed="false">
      <c r="B354" s="27"/>
      <c r="C354" s="25"/>
      <c r="D354" s="25"/>
      <c r="E354" s="28"/>
      <c r="F354" s="25"/>
      <c r="G354" s="25"/>
      <c r="I354" s="24" t="str">
        <f aca="false">IF(D354="","",IFERROR(INDEX(Categorias!$C$6:$C$45,MATCH(D354,Categorias!$B$6:$B$45,0)),"Sem grupo"))</f>
        <v/>
      </c>
      <c r="J354" s="29" t="str">
        <f aca="false">IF(B354="","",DATE(YEAR(B354),MONTH(B354),1))</f>
        <v/>
      </c>
    </row>
    <row r="355" customFormat="false" ht="15" hidden="false" customHeight="false" outlineLevel="0" collapsed="false">
      <c r="B355" s="27"/>
      <c r="C355" s="25"/>
      <c r="D355" s="25"/>
      <c r="E355" s="28"/>
      <c r="F355" s="25"/>
      <c r="G355" s="25"/>
      <c r="I355" s="24" t="str">
        <f aca="false">IF(D355="","",IFERROR(INDEX(Categorias!$C$6:$C$45,MATCH(D355,Categorias!$B$6:$B$45,0)),"Sem grupo"))</f>
        <v/>
      </c>
      <c r="J355" s="29" t="str">
        <f aca="false">IF(B355="","",DATE(YEAR(B355),MONTH(B355),1))</f>
        <v/>
      </c>
    </row>
    <row r="356" customFormat="false" ht="15" hidden="false" customHeight="false" outlineLevel="0" collapsed="false">
      <c r="B356" s="27"/>
      <c r="C356" s="25"/>
      <c r="D356" s="25"/>
      <c r="E356" s="28"/>
      <c r="F356" s="25"/>
      <c r="G356" s="25"/>
      <c r="I356" s="24" t="str">
        <f aca="false">IF(D356="","",IFERROR(INDEX(Categorias!$C$6:$C$45,MATCH(D356,Categorias!$B$6:$B$45,0)),"Sem grupo"))</f>
        <v/>
      </c>
      <c r="J356" s="29" t="str">
        <f aca="false">IF(B356="","",DATE(YEAR(B356),MONTH(B356),1))</f>
        <v/>
      </c>
    </row>
    <row r="357" customFormat="false" ht="15" hidden="false" customHeight="false" outlineLevel="0" collapsed="false">
      <c r="B357" s="27"/>
      <c r="C357" s="25"/>
      <c r="D357" s="25"/>
      <c r="E357" s="28"/>
      <c r="F357" s="25"/>
      <c r="G357" s="25"/>
      <c r="I357" s="24" t="str">
        <f aca="false">IF(D357="","",IFERROR(INDEX(Categorias!$C$6:$C$45,MATCH(D357,Categorias!$B$6:$B$45,0)),"Sem grupo"))</f>
        <v/>
      </c>
      <c r="J357" s="29" t="str">
        <f aca="false">IF(B357="","",DATE(YEAR(B357),MONTH(B357),1))</f>
        <v/>
      </c>
    </row>
    <row r="358" customFormat="false" ht="15" hidden="false" customHeight="false" outlineLevel="0" collapsed="false">
      <c r="B358" s="27"/>
      <c r="C358" s="25"/>
      <c r="D358" s="25"/>
      <c r="E358" s="28"/>
      <c r="F358" s="25"/>
      <c r="G358" s="25"/>
      <c r="I358" s="24" t="str">
        <f aca="false">IF(D358="","",IFERROR(INDEX(Categorias!$C$6:$C$45,MATCH(D358,Categorias!$B$6:$B$45,0)),"Sem grupo"))</f>
        <v/>
      </c>
      <c r="J358" s="29" t="str">
        <f aca="false">IF(B358="","",DATE(YEAR(B358),MONTH(B358),1))</f>
        <v/>
      </c>
    </row>
    <row r="359" customFormat="false" ht="15" hidden="false" customHeight="false" outlineLevel="0" collapsed="false">
      <c r="B359" s="27"/>
      <c r="C359" s="25"/>
      <c r="D359" s="25"/>
      <c r="E359" s="28"/>
      <c r="F359" s="25"/>
      <c r="G359" s="25"/>
      <c r="I359" s="24" t="str">
        <f aca="false">IF(D359="","",IFERROR(INDEX(Categorias!$C$6:$C$45,MATCH(D359,Categorias!$B$6:$B$45,0)),"Sem grupo"))</f>
        <v/>
      </c>
      <c r="J359" s="29" t="str">
        <f aca="false">IF(B359="","",DATE(YEAR(B359),MONTH(B359),1))</f>
        <v/>
      </c>
    </row>
    <row r="360" customFormat="false" ht="15" hidden="false" customHeight="false" outlineLevel="0" collapsed="false">
      <c r="B360" s="27"/>
      <c r="C360" s="25"/>
      <c r="D360" s="25"/>
      <c r="E360" s="28"/>
      <c r="F360" s="25"/>
      <c r="G360" s="25"/>
      <c r="I360" s="24" t="str">
        <f aca="false">IF(D360="","",IFERROR(INDEX(Categorias!$C$6:$C$45,MATCH(D360,Categorias!$B$6:$B$45,0)),"Sem grupo"))</f>
        <v/>
      </c>
      <c r="J360" s="29" t="str">
        <f aca="false">IF(B360="","",DATE(YEAR(B360),MONTH(B360),1))</f>
        <v/>
      </c>
    </row>
    <row r="361" customFormat="false" ht="15" hidden="false" customHeight="false" outlineLevel="0" collapsed="false">
      <c r="B361" s="27"/>
      <c r="C361" s="25"/>
      <c r="D361" s="25"/>
      <c r="E361" s="28"/>
      <c r="F361" s="25"/>
      <c r="G361" s="25"/>
      <c r="I361" s="24" t="str">
        <f aca="false">IF(D361="","",IFERROR(INDEX(Categorias!$C$6:$C$45,MATCH(D361,Categorias!$B$6:$B$45,0)),"Sem grupo"))</f>
        <v/>
      </c>
      <c r="J361" s="29" t="str">
        <f aca="false">IF(B361="","",DATE(YEAR(B361),MONTH(B361),1))</f>
        <v/>
      </c>
    </row>
    <row r="362" customFormat="false" ht="15" hidden="false" customHeight="false" outlineLevel="0" collapsed="false">
      <c r="B362" s="27"/>
      <c r="C362" s="25"/>
      <c r="D362" s="25"/>
      <c r="E362" s="28"/>
      <c r="F362" s="25"/>
      <c r="G362" s="25"/>
      <c r="I362" s="24" t="str">
        <f aca="false">IF(D362="","",IFERROR(INDEX(Categorias!$C$6:$C$45,MATCH(D362,Categorias!$B$6:$B$45,0)),"Sem grupo"))</f>
        <v/>
      </c>
      <c r="J362" s="29" t="str">
        <f aca="false">IF(B362="","",DATE(YEAR(B362),MONTH(B362),1))</f>
        <v/>
      </c>
    </row>
    <row r="363" customFormat="false" ht="15" hidden="false" customHeight="false" outlineLevel="0" collapsed="false">
      <c r="B363" s="27"/>
      <c r="C363" s="25"/>
      <c r="D363" s="25"/>
      <c r="E363" s="28"/>
      <c r="F363" s="25"/>
      <c r="G363" s="25"/>
      <c r="I363" s="24" t="str">
        <f aca="false">IF(D363="","",IFERROR(INDEX(Categorias!$C$6:$C$45,MATCH(D363,Categorias!$B$6:$B$45,0)),"Sem grupo"))</f>
        <v/>
      </c>
      <c r="J363" s="29" t="str">
        <f aca="false">IF(B363="","",DATE(YEAR(B363),MONTH(B363),1))</f>
        <v/>
      </c>
    </row>
    <row r="364" customFormat="false" ht="15" hidden="false" customHeight="false" outlineLevel="0" collapsed="false">
      <c r="B364" s="27"/>
      <c r="C364" s="25"/>
      <c r="D364" s="25"/>
      <c r="E364" s="28"/>
      <c r="F364" s="25"/>
      <c r="G364" s="25"/>
      <c r="I364" s="24" t="str">
        <f aca="false">IF(D364="","",IFERROR(INDEX(Categorias!$C$6:$C$45,MATCH(D364,Categorias!$B$6:$B$45,0)),"Sem grupo"))</f>
        <v/>
      </c>
      <c r="J364" s="29" t="str">
        <f aca="false">IF(B364="","",DATE(YEAR(B364),MONTH(B364),1))</f>
        <v/>
      </c>
    </row>
    <row r="365" customFormat="false" ht="15" hidden="false" customHeight="false" outlineLevel="0" collapsed="false">
      <c r="B365" s="27"/>
      <c r="C365" s="25"/>
      <c r="D365" s="25"/>
      <c r="E365" s="28"/>
      <c r="F365" s="25"/>
      <c r="G365" s="25"/>
      <c r="I365" s="24" t="str">
        <f aca="false">IF(D365="","",IFERROR(INDEX(Categorias!$C$6:$C$45,MATCH(D365,Categorias!$B$6:$B$45,0)),"Sem grupo"))</f>
        <v/>
      </c>
      <c r="J365" s="29" t="str">
        <f aca="false">IF(B365="","",DATE(YEAR(B365),MONTH(B365),1))</f>
        <v/>
      </c>
    </row>
    <row r="366" customFormat="false" ht="15" hidden="false" customHeight="false" outlineLevel="0" collapsed="false">
      <c r="B366" s="27"/>
      <c r="C366" s="25"/>
      <c r="D366" s="25"/>
      <c r="E366" s="28"/>
      <c r="F366" s="25"/>
      <c r="G366" s="25"/>
      <c r="I366" s="24" t="str">
        <f aca="false">IF(D366="","",IFERROR(INDEX(Categorias!$C$6:$C$45,MATCH(D366,Categorias!$B$6:$B$45,0)),"Sem grupo"))</f>
        <v/>
      </c>
      <c r="J366" s="29" t="str">
        <f aca="false">IF(B366="","",DATE(YEAR(B366),MONTH(B366),1))</f>
        <v/>
      </c>
    </row>
    <row r="367" customFormat="false" ht="15" hidden="false" customHeight="false" outlineLevel="0" collapsed="false">
      <c r="B367" s="27"/>
      <c r="C367" s="25"/>
      <c r="D367" s="25"/>
      <c r="E367" s="28"/>
      <c r="F367" s="25"/>
      <c r="G367" s="25"/>
      <c r="I367" s="24" t="str">
        <f aca="false">IF(D367="","",IFERROR(INDEX(Categorias!$C$6:$C$45,MATCH(D367,Categorias!$B$6:$B$45,0)),"Sem grupo"))</f>
        <v/>
      </c>
      <c r="J367" s="29" t="str">
        <f aca="false">IF(B367="","",DATE(YEAR(B367),MONTH(B367),1))</f>
        <v/>
      </c>
    </row>
    <row r="368" customFormat="false" ht="15" hidden="false" customHeight="false" outlineLevel="0" collapsed="false">
      <c r="B368" s="27"/>
      <c r="C368" s="25"/>
      <c r="D368" s="25"/>
      <c r="E368" s="28"/>
      <c r="F368" s="25"/>
      <c r="G368" s="25"/>
      <c r="I368" s="24" t="str">
        <f aca="false">IF(D368="","",IFERROR(INDEX(Categorias!$C$6:$C$45,MATCH(D368,Categorias!$B$6:$B$45,0)),"Sem grupo"))</f>
        <v/>
      </c>
      <c r="J368" s="29" t="str">
        <f aca="false">IF(B368="","",DATE(YEAR(B368),MONTH(B368),1))</f>
        <v/>
      </c>
    </row>
    <row r="369" customFormat="false" ht="15" hidden="false" customHeight="false" outlineLevel="0" collapsed="false">
      <c r="B369" s="27"/>
      <c r="C369" s="25"/>
      <c r="D369" s="25"/>
      <c r="E369" s="28"/>
      <c r="F369" s="25"/>
      <c r="G369" s="25"/>
      <c r="I369" s="24" t="str">
        <f aca="false">IF(D369="","",IFERROR(INDEX(Categorias!$C$6:$C$45,MATCH(D369,Categorias!$B$6:$B$45,0)),"Sem grupo"))</f>
        <v/>
      </c>
      <c r="J369" s="29" t="str">
        <f aca="false">IF(B369="","",DATE(YEAR(B369),MONTH(B369),1))</f>
        <v/>
      </c>
    </row>
    <row r="370" customFormat="false" ht="15" hidden="false" customHeight="false" outlineLevel="0" collapsed="false">
      <c r="B370" s="27"/>
      <c r="C370" s="25"/>
      <c r="D370" s="25"/>
      <c r="E370" s="28"/>
      <c r="F370" s="25"/>
      <c r="G370" s="25"/>
      <c r="I370" s="24" t="str">
        <f aca="false">IF(D370="","",IFERROR(INDEX(Categorias!$C$6:$C$45,MATCH(D370,Categorias!$B$6:$B$45,0)),"Sem grupo"))</f>
        <v/>
      </c>
      <c r="J370" s="29" t="str">
        <f aca="false">IF(B370="","",DATE(YEAR(B370),MONTH(B370),1))</f>
        <v/>
      </c>
    </row>
    <row r="371" customFormat="false" ht="15" hidden="false" customHeight="false" outlineLevel="0" collapsed="false">
      <c r="B371" s="27"/>
      <c r="C371" s="25"/>
      <c r="D371" s="25"/>
      <c r="E371" s="28"/>
      <c r="F371" s="25"/>
      <c r="G371" s="25"/>
      <c r="I371" s="24" t="str">
        <f aca="false">IF(D371="","",IFERROR(INDEX(Categorias!$C$6:$C$45,MATCH(D371,Categorias!$B$6:$B$45,0)),"Sem grupo"))</f>
        <v/>
      </c>
      <c r="J371" s="29" t="str">
        <f aca="false">IF(B371="","",DATE(YEAR(B371),MONTH(B371),1))</f>
        <v/>
      </c>
    </row>
    <row r="372" customFormat="false" ht="15" hidden="false" customHeight="false" outlineLevel="0" collapsed="false">
      <c r="B372" s="27"/>
      <c r="C372" s="25"/>
      <c r="D372" s="25"/>
      <c r="E372" s="28"/>
      <c r="F372" s="25"/>
      <c r="G372" s="25"/>
      <c r="I372" s="24" t="str">
        <f aca="false">IF(D372="","",IFERROR(INDEX(Categorias!$C$6:$C$45,MATCH(D372,Categorias!$B$6:$B$45,0)),"Sem grupo"))</f>
        <v/>
      </c>
      <c r="J372" s="29" t="str">
        <f aca="false">IF(B372="","",DATE(YEAR(B372),MONTH(B372),1))</f>
        <v/>
      </c>
    </row>
    <row r="373" customFormat="false" ht="15" hidden="false" customHeight="false" outlineLevel="0" collapsed="false">
      <c r="B373" s="27"/>
      <c r="C373" s="25"/>
      <c r="D373" s="25"/>
      <c r="E373" s="28"/>
      <c r="F373" s="25"/>
      <c r="G373" s="25"/>
      <c r="I373" s="24" t="str">
        <f aca="false">IF(D373="","",IFERROR(INDEX(Categorias!$C$6:$C$45,MATCH(D373,Categorias!$B$6:$B$45,0)),"Sem grupo"))</f>
        <v/>
      </c>
      <c r="J373" s="29" t="str">
        <f aca="false">IF(B373="","",DATE(YEAR(B373),MONTH(B373),1))</f>
        <v/>
      </c>
    </row>
    <row r="374" customFormat="false" ht="15" hidden="false" customHeight="false" outlineLevel="0" collapsed="false">
      <c r="B374" s="27"/>
      <c r="C374" s="25"/>
      <c r="D374" s="25"/>
      <c r="E374" s="28"/>
      <c r="F374" s="25"/>
      <c r="G374" s="25"/>
      <c r="I374" s="24" t="str">
        <f aca="false">IF(D374="","",IFERROR(INDEX(Categorias!$C$6:$C$45,MATCH(D374,Categorias!$B$6:$B$45,0)),"Sem grupo"))</f>
        <v/>
      </c>
      <c r="J374" s="29" t="str">
        <f aca="false">IF(B374="","",DATE(YEAR(B374),MONTH(B374),1))</f>
        <v/>
      </c>
    </row>
    <row r="375" customFormat="false" ht="15" hidden="false" customHeight="false" outlineLevel="0" collapsed="false">
      <c r="B375" s="27"/>
      <c r="C375" s="25"/>
      <c r="D375" s="25"/>
      <c r="E375" s="28"/>
      <c r="F375" s="25"/>
      <c r="G375" s="25"/>
      <c r="I375" s="24" t="str">
        <f aca="false">IF(D375="","",IFERROR(INDEX(Categorias!$C$6:$C$45,MATCH(D375,Categorias!$B$6:$B$45,0)),"Sem grupo"))</f>
        <v/>
      </c>
      <c r="J375" s="29" t="str">
        <f aca="false">IF(B375="","",DATE(YEAR(B375),MONTH(B375),1))</f>
        <v/>
      </c>
    </row>
    <row r="376" customFormat="false" ht="15" hidden="false" customHeight="false" outlineLevel="0" collapsed="false">
      <c r="B376" s="27"/>
      <c r="C376" s="25"/>
      <c r="D376" s="25"/>
      <c r="E376" s="28"/>
      <c r="F376" s="25"/>
      <c r="G376" s="25"/>
      <c r="I376" s="24" t="str">
        <f aca="false">IF(D376="","",IFERROR(INDEX(Categorias!$C$6:$C$45,MATCH(D376,Categorias!$B$6:$B$45,0)),"Sem grupo"))</f>
        <v/>
      </c>
      <c r="J376" s="29" t="str">
        <f aca="false">IF(B376="","",DATE(YEAR(B376),MONTH(B376),1))</f>
        <v/>
      </c>
    </row>
    <row r="377" customFormat="false" ht="15" hidden="false" customHeight="false" outlineLevel="0" collapsed="false">
      <c r="B377" s="27"/>
      <c r="C377" s="25"/>
      <c r="D377" s="25"/>
      <c r="E377" s="28"/>
      <c r="F377" s="25"/>
      <c r="G377" s="25"/>
      <c r="I377" s="24" t="str">
        <f aca="false">IF(D377="","",IFERROR(INDEX(Categorias!$C$6:$C$45,MATCH(D377,Categorias!$B$6:$B$45,0)),"Sem grupo"))</f>
        <v/>
      </c>
      <c r="J377" s="29" t="str">
        <f aca="false">IF(B377="","",DATE(YEAR(B377),MONTH(B377),1))</f>
        <v/>
      </c>
    </row>
    <row r="378" customFormat="false" ht="15" hidden="false" customHeight="false" outlineLevel="0" collapsed="false">
      <c r="B378" s="27"/>
      <c r="C378" s="25"/>
      <c r="D378" s="25"/>
      <c r="E378" s="28"/>
      <c r="F378" s="25"/>
      <c r="G378" s="25"/>
      <c r="I378" s="24" t="str">
        <f aca="false">IF(D378="","",IFERROR(INDEX(Categorias!$C$6:$C$45,MATCH(D378,Categorias!$B$6:$B$45,0)),"Sem grupo"))</f>
        <v/>
      </c>
      <c r="J378" s="29" t="str">
        <f aca="false">IF(B378="","",DATE(YEAR(B378),MONTH(B378),1))</f>
        <v/>
      </c>
    </row>
    <row r="379" customFormat="false" ht="15" hidden="false" customHeight="false" outlineLevel="0" collapsed="false">
      <c r="B379" s="27"/>
      <c r="C379" s="25"/>
      <c r="D379" s="25"/>
      <c r="E379" s="28"/>
      <c r="F379" s="25"/>
      <c r="G379" s="25"/>
      <c r="I379" s="24" t="str">
        <f aca="false">IF(D379="","",IFERROR(INDEX(Categorias!$C$6:$C$45,MATCH(D379,Categorias!$B$6:$B$45,0)),"Sem grupo"))</f>
        <v/>
      </c>
      <c r="J379" s="29" t="str">
        <f aca="false">IF(B379="","",DATE(YEAR(B379),MONTH(B379),1))</f>
        <v/>
      </c>
    </row>
    <row r="380" customFormat="false" ht="15" hidden="false" customHeight="false" outlineLevel="0" collapsed="false">
      <c r="B380" s="27"/>
      <c r="C380" s="25"/>
      <c r="D380" s="25"/>
      <c r="E380" s="28"/>
      <c r="F380" s="25"/>
      <c r="G380" s="25"/>
      <c r="I380" s="24" t="str">
        <f aca="false">IF(D380="","",IFERROR(INDEX(Categorias!$C$6:$C$45,MATCH(D380,Categorias!$B$6:$B$45,0)),"Sem grupo"))</f>
        <v/>
      </c>
      <c r="J380" s="29" t="str">
        <f aca="false">IF(B380="","",DATE(YEAR(B380),MONTH(B380),1))</f>
        <v/>
      </c>
    </row>
    <row r="381" customFormat="false" ht="15" hidden="false" customHeight="false" outlineLevel="0" collapsed="false">
      <c r="B381" s="27"/>
      <c r="C381" s="25"/>
      <c r="D381" s="25"/>
      <c r="E381" s="28"/>
      <c r="F381" s="25"/>
      <c r="G381" s="25"/>
      <c r="I381" s="24" t="str">
        <f aca="false">IF(D381="","",IFERROR(INDEX(Categorias!$C$6:$C$45,MATCH(D381,Categorias!$B$6:$B$45,0)),"Sem grupo"))</f>
        <v/>
      </c>
      <c r="J381" s="29" t="str">
        <f aca="false">IF(B381="","",DATE(YEAR(B381),MONTH(B381),1))</f>
        <v/>
      </c>
    </row>
    <row r="382" customFormat="false" ht="15" hidden="false" customHeight="false" outlineLevel="0" collapsed="false">
      <c r="B382" s="27"/>
      <c r="C382" s="25"/>
      <c r="D382" s="25"/>
      <c r="E382" s="28"/>
      <c r="F382" s="25"/>
      <c r="G382" s="25"/>
      <c r="I382" s="24" t="str">
        <f aca="false">IF(D382="","",IFERROR(INDEX(Categorias!$C$6:$C$45,MATCH(D382,Categorias!$B$6:$B$45,0)),"Sem grupo"))</f>
        <v/>
      </c>
      <c r="J382" s="29" t="str">
        <f aca="false">IF(B382="","",DATE(YEAR(B382),MONTH(B382),1))</f>
        <v/>
      </c>
    </row>
    <row r="383" customFormat="false" ht="15" hidden="false" customHeight="false" outlineLevel="0" collapsed="false">
      <c r="B383" s="27"/>
      <c r="C383" s="25"/>
      <c r="D383" s="25"/>
      <c r="E383" s="28"/>
      <c r="F383" s="25"/>
      <c r="G383" s="25"/>
      <c r="I383" s="24" t="str">
        <f aca="false">IF(D383="","",IFERROR(INDEX(Categorias!$C$6:$C$45,MATCH(D383,Categorias!$B$6:$B$45,0)),"Sem grupo"))</f>
        <v/>
      </c>
      <c r="J383" s="29" t="str">
        <f aca="false">IF(B383="","",DATE(YEAR(B383),MONTH(B383),1))</f>
        <v/>
      </c>
    </row>
    <row r="384" customFormat="false" ht="15" hidden="false" customHeight="false" outlineLevel="0" collapsed="false">
      <c r="B384" s="27"/>
      <c r="C384" s="25"/>
      <c r="D384" s="25"/>
      <c r="E384" s="28"/>
      <c r="F384" s="25"/>
      <c r="G384" s="25"/>
      <c r="I384" s="24" t="str">
        <f aca="false">IF(D384="","",IFERROR(INDEX(Categorias!$C$6:$C$45,MATCH(D384,Categorias!$B$6:$B$45,0)),"Sem grupo"))</f>
        <v/>
      </c>
      <c r="J384" s="29" t="str">
        <f aca="false">IF(B384="","",DATE(YEAR(B384),MONTH(B384),1))</f>
        <v/>
      </c>
    </row>
    <row r="385" customFormat="false" ht="15" hidden="false" customHeight="false" outlineLevel="0" collapsed="false">
      <c r="B385" s="27"/>
      <c r="C385" s="25"/>
      <c r="D385" s="25"/>
      <c r="E385" s="28"/>
      <c r="F385" s="25"/>
      <c r="G385" s="25"/>
      <c r="I385" s="24" t="str">
        <f aca="false">IF(D385="","",IFERROR(INDEX(Categorias!$C$6:$C$45,MATCH(D385,Categorias!$B$6:$B$45,0)),"Sem grupo"))</f>
        <v/>
      </c>
      <c r="J385" s="29" t="str">
        <f aca="false">IF(B385="","",DATE(YEAR(B385),MONTH(B385),1))</f>
        <v/>
      </c>
    </row>
    <row r="386" customFormat="false" ht="15" hidden="false" customHeight="false" outlineLevel="0" collapsed="false">
      <c r="B386" s="27"/>
      <c r="C386" s="25"/>
      <c r="D386" s="25"/>
      <c r="E386" s="28"/>
      <c r="F386" s="25"/>
      <c r="G386" s="25"/>
      <c r="I386" s="24" t="str">
        <f aca="false">IF(D386="","",IFERROR(INDEX(Categorias!$C$6:$C$45,MATCH(D386,Categorias!$B$6:$B$45,0)),"Sem grupo"))</f>
        <v/>
      </c>
      <c r="J386" s="29" t="str">
        <f aca="false">IF(B386="","",DATE(YEAR(B386),MONTH(B386),1))</f>
        <v/>
      </c>
    </row>
    <row r="387" customFormat="false" ht="15" hidden="false" customHeight="false" outlineLevel="0" collapsed="false">
      <c r="B387" s="27"/>
      <c r="C387" s="25"/>
      <c r="D387" s="25"/>
      <c r="E387" s="28"/>
      <c r="F387" s="25"/>
      <c r="G387" s="25"/>
      <c r="I387" s="24" t="str">
        <f aca="false">IF(D387="","",IFERROR(INDEX(Categorias!$C$6:$C$45,MATCH(D387,Categorias!$B$6:$B$45,0)),"Sem grupo"))</f>
        <v/>
      </c>
      <c r="J387" s="29" t="str">
        <f aca="false">IF(B387="","",DATE(YEAR(B387),MONTH(B387),1))</f>
        <v/>
      </c>
    </row>
    <row r="388" customFormat="false" ht="15" hidden="false" customHeight="false" outlineLevel="0" collapsed="false">
      <c r="B388" s="27"/>
      <c r="C388" s="25"/>
      <c r="D388" s="25"/>
      <c r="E388" s="28"/>
      <c r="F388" s="25"/>
      <c r="G388" s="25"/>
      <c r="I388" s="24" t="str">
        <f aca="false">IF(D388="","",IFERROR(INDEX(Categorias!$C$6:$C$45,MATCH(D388,Categorias!$B$6:$B$45,0)),"Sem grupo"))</f>
        <v/>
      </c>
      <c r="J388" s="29" t="str">
        <f aca="false">IF(B388="","",DATE(YEAR(B388),MONTH(B388),1))</f>
        <v/>
      </c>
    </row>
    <row r="389" customFormat="false" ht="15" hidden="false" customHeight="false" outlineLevel="0" collapsed="false">
      <c r="B389" s="27"/>
      <c r="C389" s="25"/>
      <c r="D389" s="25"/>
      <c r="E389" s="28"/>
      <c r="F389" s="25"/>
      <c r="G389" s="25"/>
      <c r="I389" s="24" t="str">
        <f aca="false">IF(D389="","",IFERROR(INDEX(Categorias!$C$6:$C$45,MATCH(D389,Categorias!$B$6:$B$45,0)),"Sem grupo"))</f>
        <v/>
      </c>
      <c r="J389" s="29" t="str">
        <f aca="false">IF(B389="","",DATE(YEAR(B389),MONTH(B389),1))</f>
        <v/>
      </c>
    </row>
    <row r="390" customFormat="false" ht="15" hidden="false" customHeight="false" outlineLevel="0" collapsed="false">
      <c r="B390" s="27"/>
      <c r="C390" s="25"/>
      <c r="D390" s="25"/>
      <c r="E390" s="28"/>
      <c r="F390" s="25"/>
      <c r="G390" s="25"/>
      <c r="I390" s="24" t="str">
        <f aca="false">IF(D390="","",IFERROR(INDEX(Categorias!$C$6:$C$45,MATCH(D390,Categorias!$B$6:$B$45,0)),"Sem grupo"))</f>
        <v/>
      </c>
      <c r="J390" s="29" t="str">
        <f aca="false">IF(B390="","",DATE(YEAR(B390),MONTH(B390),1))</f>
        <v/>
      </c>
    </row>
    <row r="391" customFormat="false" ht="15" hidden="false" customHeight="false" outlineLevel="0" collapsed="false">
      <c r="B391" s="27"/>
      <c r="C391" s="25"/>
      <c r="D391" s="25"/>
      <c r="E391" s="28"/>
      <c r="F391" s="25"/>
      <c r="G391" s="25"/>
      <c r="I391" s="24" t="str">
        <f aca="false">IF(D391="","",IFERROR(INDEX(Categorias!$C$6:$C$45,MATCH(D391,Categorias!$B$6:$B$45,0)),"Sem grupo"))</f>
        <v/>
      </c>
      <c r="J391" s="29" t="str">
        <f aca="false">IF(B391="","",DATE(YEAR(B391),MONTH(B391),1))</f>
        <v/>
      </c>
    </row>
    <row r="392" customFormat="false" ht="15" hidden="false" customHeight="false" outlineLevel="0" collapsed="false">
      <c r="B392" s="27"/>
      <c r="C392" s="25"/>
      <c r="D392" s="25"/>
      <c r="E392" s="28"/>
      <c r="F392" s="25"/>
      <c r="G392" s="25"/>
      <c r="I392" s="24" t="str">
        <f aca="false">IF(D392="","",IFERROR(INDEX(Categorias!$C$6:$C$45,MATCH(D392,Categorias!$B$6:$B$45,0)),"Sem grupo"))</f>
        <v/>
      </c>
      <c r="J392" s="29" t="str">
        <f aca="false">IF(B392="","",DATE(YEAR(B392),MONTH(B392),1))</f>
        <v/>
      </c>
    </row>
    <row r="393" customFormat="false" ht="15" hidden="false" customHeight="false" outlineLevel="0" collapsed="false">
      <c r="B393" s="27"/>
      <c r="C393" s="25"/>
      <c r="D393" s="25"/>
      <c r="E393" s="28"/>
      <c r="F393" s="25"/>
      <c r="G393" s="25"/>
      <c r="I393" s="24" t="str">
        <f aca="false">IF(D393="","",IFERROR(INDEX(Categorias!$C$6:$C$45,MATCH(D393,Categorias!$B$6:$B$45,0)),"Sem grupo"))</f>
        <v/>
      </c>
      <c r="J393" s="29" t="str">
        <f aca="false">IF(B393="","",DATE(YEAR(B393),MONTH(B393),1))</f>
        <v/>
      </c>
    </row>
    <row r="394" customFormat="false" ht="15" hidden="false" customHeight="false" outlineLevel="0" collapsed="false">
      <c r="B394" s="27"/>
      <c r="C394" s="25"/>
      <c r="D394" s="25"/>
      <c r="E394" s="28"/>
      <c r="F394" s="25"/>
      <c r="G394" s="25"/>
      <c r="I394" s="24" t="str">
        <f aca="false">IF(D394="","",IFERROR(INDEX(Categorias!$C$6:$C$45,MATCH(D394,Categorias!$B$6:$B$45,0)),"Sem grupo"))</f>
        <v/>
      </c>
      <c r="J394" s="29" t="str">
        <f aca="false">IF(B394="","",DATE(YEAR(B394),MONTH(B394),1))</f>
        <v/>
      </c>
    </row>
    <row r="395" customFormat="false" ht="15" hidden="false" customHeight="false" outlineLevel="0" collapsed="false">
      <c r="B395" s="27"/>
      <c r="C395" s="25"/>
      <c r="D395" s="25"/>
      <c r="E395" s="28"/>
      <c r="F395" s="25"/>
      <c r="G395" s="25"/>
      <c r="I395" s="24" t="str">
        <f aca="false">IF(D395="","",IFERROR(INDEX(Categorias!$C$6:$C$45,MATCH(D395,Categorias!$B$6:$B$45,0)),"Sem grupo"))</f>
        <v/>
      </c>
      <c r="J395" s="29" t="str">
        <f aca="false">IF(B395="","",DATE(YEAR(B395),MONTH(B395),1))</f>
        <v/>
      </c>
    </row>
    <row r="396" customFormat="false" ht="15" hidden="false" customHeight="false" outlineLevel="0" collapsed="false">
      <c r="B396" s="27"/>
      <c r="C396" s="25"/>
      <c r="D396" s="25"/>
      <c r="E396" s="28"/>
      <c r="F396" s="25"/>
      <c r="G396" s="25"/>
      <c r="I396" s="24" t="str">
        <f aca="false">IF(D396="","",IFERROR(INDEX(Categorias!$C$6:$C$45,MATCH(D396,Categorias!$B$6:$B$45,0)),"Sem grupo"))</f>
        <v/>
      </c>
      <c r="J396" s="29" t="str">
        <f aca="false">IF(B396="","",DATE(YEAR(B396),MONTH(B396),1))</f>
        <v/>
      </c>
    </row>
    <row r="397" customFormat="false" ht="15" hidden="false" customHeight="false" outlineLevel="0" collapsed="false">
      <c r="B397" s="27"/>
      <c r="C397" s="25"/>
      <c r="D397" s="25"/>
      <c r="E397" s="28"/>
      <c r="F397" s="25"/>
      <c r="G397" s="25"/>
      <c r="I397" s="24" t="str">
        <f aca="false">IF(D397="","",IFERROR(INDEX(Categorias!$C$6:$C$45,MATCH(D397,Categorias!$B$6:$B$45,0)),"Sem grupo"))</f>
        <v/>
      </c>
      <c r="J397" s="29" t="str">
        <f aca="false">IF(B397="","",DATE(YEAR(B397),MONTH(B397),1))</f>
        <v/>
      </c>
    </row>
    <row r="398" customFormat="false" ht="15" hidden="false" customHeight="false" outlineLevel="0" collapsed="false">
      <c r="B398" s="27"/>
      <c r="C398" s="25"/>
      <c r="D398" s="25"/>
      <c r="E398" s="28"/>
      <c r="F398" s="25"/>
      <c r="G398" s="25"/>
      <c r="I398" s="24" t="str">
        <f aca="false">IF(D398="","",IFERROR(INDEX(Categorias!$C$6:$C$45,MATCH(D398,Categorias!$B$6:$B$45,0)),"Sem grupo"))</f>
        <v/>
      </c>
      <c r="J398" s="29" t="str">
        <f aca="false">IF(B398="","",DATE(YEAR(B398),MONTH(B398),1))</f>
        <v/>
      </c>
    </row>
    <row r="399" customFormat="false" ht="15" hidden="false" customHeight="false" outlineLevel="0" collapsed="false">
      <c r="B399" s="27"/>
      <c r="C399" s="25"/>
      <c r="D399" s="25"/>
      <c r="E399" s="28"/>
      <c r="F399" s="25"/>
      <c r="G399" s="25"/>
      <c r="I399" s="24" t="str">
        <f aca="false">IF(D399="","",IFERROR(INDEX(Categorias!$C$6:$C$45,MATCH(D399,Categorias!$B$6:$B$45,0)),"Sem grupo"))</f>
        <v/>
      </c>
      <c r="J399" s="29" t="str">
        <f aca="false">IF(B399="","",DATE(YEAR(B399),MONTH(B399),1))</f>
        <v/>
      </c>
    </row>
    <row r="400" customFormat="false" ht="15" hidden="false" customHeight="false" outlineLevel="0" collapsed="false">
      <c r="B400" s="27"/>
      <c r="C400" s="25"/>
      <c r="D400" s="25"/>
      <c r="E400" s="28"/>
      <c r="F400" s="25"/>
      <c r="G400" s="25"/>
      <c r="I400" s="24" t="str">
        <f aca="false">IF(D400="","",IFERROR(INDEX(Categorias!$C$6:$C$45,MATCH(D400,Categorias!$B$6:$B$45,0)),"Sem grupo"))</f>
        <v/>
      </c>
      <c r="J400" s="29" t="str">
        <f aca="false">IF(B400="","",DATE(YEAR(B400),MONTH(B400),1))</f>
        <v/>
      </c>
    </row>
    <row r="401" customFormat="false" ht="15" hidden="false" customHeight="false" outlineLevel="0" collapsed="false">
      <c r="B401" s="27"/>
      <c r="C401" s="25"/>
      <c r="D401" s="25"/>
      <c r="E401" s="28"/>
      <c r="F401" s="25"/>
      <c r="G401" s="25"/>
      <c r="I401" s="24" t="str">
        <f aca="false">IF(D401="","",IFERROR(INDEX(Categorias!$C$6:$C$45,MATCH(D401,Categorias!$B$6:$B$45,0)),"Sem grupo"))</f>
        <v/>
      </c>
      <c r="J401" s="29" t="str">
        <f aca="false">IF(B401="","",DATE(YEAR(B401),MONTH(B401),1))</f>
        <v/>
      </c>
    </row>
    <row r="402" customFormat="false" ht="15" hidden="false" customHeight="false" outlineLevel="0" collapsed="false">
      <c r="B402" s="27"/>
      <c r="C402" s="25"/>
      <c r="D402" s="25"/>
      <c r="E402" s="28"/>
      <c r="F402" s="25"/>
      <c r="G402" s="25"/>
      <c r="I402" s="24" t="str">
        <f aca="false">IF(D402="","",IFERROR(INDEX(Categorias!$C$6:$C$45,MATCH(D402,Categorias!$B$6:$B$45,0)),"Sem grupo"))</f>
        <v/>
      </c>
      <c r="J402" s="29" t="str">
        <f aca="false">IF(B402="","",DATE(YEAR(B402),MONTH(B402),1))</f>
        <v/>
      </c>
    </row>
    <row r="403" customFormat="false" ht="15" hidden="false" customHeight="false" outlineLevel="0" collapsed="false">
      <c r="B403" s="27"/>
      <c r="C403" s="25"/>
      <c r="D403" s="25"/>
      <c r="E403" s="28"/>
      <c r="F403" s="25"/>
      <c r="G403" s="25"/>
      <c r="I403" s="24" t="str">
        <f aca="false">IF(D403="","",IFERROR(INDEX(Categorias!$C$6:$C$45,MATCH(D403,Categorias!$B$6:$B$45,0)),"Sem grupo"))</f>
        <v/>
      </c>
      <c r="J403" s="29" t="str">
        <f aca="false">IF(B403="","",DATE(YEAR(B403),MONTH(B403),1))</f>
        <v/>
      </c>
    </row>
    <row r="404" customFormat="false" ht="15" hidden="false" customHeight="false" outlineLevel="0" collapsed="false">
      <c r="B404" s="27"/>
      <c r="C404" s="25"/>
      <c r="D404" s="25"/>
      <c r="E404" s="28"/>
      <c r="F404" s="25"/>
      <c r="G404" s="25"/>
      <c r="I404" s="24" t="str">
        <f aca="false">IF(D404="","",IFERROR(INDEX(Categorias!$C$6:$C$45,MATCH(D404,Categorias!$B$6:$B$45,0)),"Sem grupo"))</f>
        <v/>
      </c>
      <c r="J404" s="29" t="str">
        <f aca="false">IF(B404="","",DATE(YEAR(B404),MONTH(B404),1))</f>
        <v/>
      </c>
    </row>
    <row r="405" customFormat="false" ht="15" hidden="false" customHeight="false" outlineLevel="0" collapsed="false">
      <c r="B405" s="27"/>
      <c r="C405" s="25"/>
      <c r="D405" s="25"/>
      <c r="E405" s="28"/>
      <c r="F405" s="25"/>
      <c r="G405" s="25"/>
      <c r="I405" s="24" t="str">
        <f aca="false">IF(D405="","",IFERROR(INDEX(Categorias!$C$6:$C$45,MATCH(D405,Categorias!$B$6:$B$45,0)),"Sem grupo"))</f>
        <v/>
      </c>
      <c r="J405" s="29" t="str">
        <f aca="false">IF(B405="","",DATE(YEAR(B405),MONTH(B405),1))</f>
        <v/>
      </c>
    </row>
    <row r="406" customFormat="false" ht="15" hidden="false" customHeight="false" outlineLevel="0" collapsed="false">
      <c r="B406" s="27"/>
      <c r="C406" s="25"/>
      <c r="D406" s="25"/>
      <c r="E406" s="28"/>
      <c r="F406" s="25"/>
      <c r="G406" s="25"/>
      <c r="I406" s="24" t="str">
        <f aca="false">IF(D406="","",IFERROR(INDEX(Categorias!$C$6:$C$45,MATCH(D406,Categorias!$B$6:$B$45,0)),"Sem grupo"))</f>
        <v/>
      </c>
      <c r="J406" s="29" t="str">
        <f aca="false">IF(B406="","",DATE(YEAR(B406),MONTH(B406),1))</f>
        <v/>
      </c>
    </row>
    <row r="407" customFormat="false" ht="15" hidden="false" customHeight="false" outlineLevel="0" collapsed="false">
      <c r="B407" s="27"/>
      <c r="C407" s="25"/>
      <c r="D407" s="25"/>
      <c r="E407" s="28"/>
      <c r="F407" s="25"/>
      <c r="G407" s="25"/>
      <c r="I407" s="24" t="str">
        <f aca="false">IF(D407="","",IFERROR(INDEX(Categorias!$C$6:$C$45,MATCH(D407,Categorias!$B$6:$B$45,0)),"Sem grupo"))</f>
        <v/>
      </c>
      <c r="J407" s="29" t="str">
        <f aca="false">IF(B407="","",DATE(YEAR(B407),MONTH(B407),1))</f>
        <v/>
      </c>
    </row>
    <row r="408" customFormat="false" ht="15" hidden="false" customHeight="false" outlineLevel="0" collapsed="false">
      <c r="B408" s="27"/>
      <c r="C408" s="25"/>
      <c r="D408" s="25"/>
      <c r="E408" s="28"/>
      <c r="F408" s="25"/>
      <c r="G408" s="25"/>
      <c r="I408" s="24" t="str">
        <f aca="false">IF(D408="","",IFERROR(INDEX(Categorias!$C$6:$C$45,MATCH(D408,Categorias!$B$6:$B$45,0)),"Sem grupo"))</f>
        <v/>
      </c>
      <c r="J408" s="29" t="str">
        <f aca="false">IF(B408="","",DATE(YEAR(B408),MONTH(B408),1))</f>
        <v/>
      </c>
    </row>
    <row r="409" customFormat="false" ht="15" hidden="false" customHeight="false" outlineLevel="0" collapsed="false">
      <c r="B409" s="27"/>
      <c r="C409" s="25"/>
      <c r="D409" s="25"/>
      <c r="E409" s="28"/>
      <c r="F409" s="25"/>
      <c r="G409" s="25"/>
      <c r="I409" s="24" t="str">
        <f aca="false">IF(D409="","",IFERROR(INDEX(Categorias!$C$6:$C$45,MATCH(D409,Categorias!$B$6:$B$45,0)),"Sem grupo"))</f>
        <v/>
      </c>
      <c r="J409" s="29" t="str">
        <f aca="false">IF(B409="","",DATE(YEAR(B409),MONTH(B409),1))</f>
        <v/>
      </c>
    </row>
    <row r="410" customFormat="false" ht="15" hidden="false" customHeight="false" outlineLevel="0" collapsed="false">
      <c r="B410" s="27"/>
      <c r="C410" s="25"/>
      <c r="D410" s="25"/>
      <c r="E410" s="28"/>
      <c r="F410" s="25"/>
      <c r="G410" s="25"/>
      <c r="I410" s="24" t="str">
        <f aca="false">IF(D410="","",IFERROR(INDEX(Categorias!$C$6:$C$45,MATCH(D410,Categorias!$B$6:$B$45,0)),"Sem grupo"))</f>
        <v/>
      </c>
      <c r="J410" s="29" t="str">
        <f aca="false">IF(B410="","",DATE(YEAR(B410),MONTH(B410),1))</f>
        <v/>
      </c>
    </row>
    <row r="411" customFormat="false" ht="15" hidden="false" customHeight="false" outlineLevel="0" collapsed="false">
      <c r="B411" s="27"/>
      <c r="C411" s="25"/>
      <c r="D411" s="25"/>
      <c r="E411" s="28"/>
      <c r="F411" s="25"/>
      <c r="G411" s="25"/>
      <c r="I411" s="24" t="str">
        <f aca="false">IF(D411="","",IFERROR(INDEX(Categorias!$C$6:$C$45,MATCH(D411,Categorias!$B$6:$B$45,0)),"Sem grupo"))</f>
        <v/>
      </c>
      <c r="J411" s="29" t="str">
        <f aca="false">IF(B411="","",DATE(YEAR(B411),MONTH(B411),1))</f>
        <v/>
      </c>
    </row>
    <row r="412" customFormat="false" ht="15" hidden="false" customHeight="false" outlineLevel="0" collapsed="false">
      <c r="B412" s="27"/>
      <c r="C412" s="25"/>
      <c r="D412" s="25"/>
      <c r="E412" s="28"/>
      <c r="F412" s="25"/>
      <c r="G412" s="25"/>
      <c r="I412" s="24" t="str">
        <f aca="false">IF(D412="","",IFERROR(INDEX(Categorias!$C$6:$C$45,MATCH(D412,Categorias!$B$6:$B$45,0)),"Sem grupo"))</f>
        <v/>
      </c>
      <c r="J412" s="29" t="str">
        <f aca="false">IF(B412="","",DATE(YEAR(B412),MONTH(B412),1))</f>
        <v/>
      </c>
    </row>
    <row r="413" customFormat="false" ht="15" hidden="false" customHeight="false" outlineLevel="0" collapsed="false">
      <c r="B413" s="27"/>
      <c r="C413" s="25"/>
      <c r="D413" s="25"/>
      <c r="E413" s="28"/>
      <c r="F413" s="25"/>
      <c r="G413" s="25"/>
      <c r="I413" s="24" t="str">
        <f aca="false">IF(D413="","",IFERROR(INDEX(Categorias!$C$6:$C$45,MATCH(D413,Categorias!$B$6:$B$45,0)),"Sem grupo"))</f>
        <v/>
      </c>
      <c r="J413" s="29" t="str">
        <f aca="false">IF(B413="","",DATE(YEAR(B413),MONTH(B413),1))</f>
        <v/>
      </c>
    </row>
    <row r="414" customFormat="false" ht="15" hidden="false" customHeight="false" outlineLevel="0" collapsed="false">
      <c r="B414" s="27"/>
      <c r="C414" s="25"/>
      <c r="D414" s="25"/>
      <c r="E414" s="28"/>
      <c r="F414" s="25"/>
      <c r="G414" s="25"/>
      <c r="I414" s="24" t="str">
        <f aca="false">IF(D414="","",IFERROR(INDEX(Categorias!$C$6:$C$45,MATCH(D414,Categorias!$B$6:$B$45,0)),"Sem grupo"))</f>
        <v/>
      </c>
      <c r="J414" s="29" t="str">
        <f aca="false">IF(B414="","",DATE(YEAR(B414),MONTH(B414),1))</f>
        <v/>
      </c>
    </row>
    <row r="415" customFormat="false" ht="15" hidden="false" customHeight="false" outlineLevel="0" collapsed="false">
      <c r="B415" s="27"/>
      <c r="C415" s="25"/>
      <c r="D415" s="25"/>
      <c r="E415" s="28"/>
      <c r="F415" s="25"/>
      <c r="G415" s="25"/>
      <c r="I415" s="24" t="str">
        <f aca="false">IF(D415="","",IFERROR(INDEX(Categorias!$C$6:$C$45,MATCH(D415,Categorias!$B$6:$B$45,0)),"Sem grupo"))</f>
        <v/>
      </c>
      <c r="J415" s="29" t="str">
        <f aca="false">IF(B415="","",DATE(YEAR(B415),MONTH(B415),1))</f>
        <v/>
      </c>
    </row>
    <row r="416" customFormat="false" ht="15" hidden="false" customHeight="false" outlineLevel="0" collapsed="false">
      <c r="B416" s="27"/>
      <c r="C416" s="25"/>
      <c r="D416" s="25"/>
      <c r="E416" s="28"/>
      <c r="F416" s="25"/>
      <c r="G416" s="25"/>
      <c r="I416" s="24" t="str">
        <f aca="false">IF(D416="","",IFERROR(INDEX(Categorias!$C$6:$C$45,MATCH(D416,Categorias!$B$6:$B$45,0)),"Sem grupo"))</f>
        <v/>
      </c>
      <c r="J416" s="29" t="str">
        <f aca="false">IF(B416="","",DATE(YEAR(B416),MONTH(B416),1))</f>
        <v/>
      </c>
    </row>
    <row r="417" customFormat="false" ht="15" hidden="false" customHeight="false" outlineLevel="0" collapsed="false">
      <c r="B417" s="27"/>
      <c r="C417" s="25"/>
      <c r="D417" s="25"/>
      <c r="E417" s="28"/>
      <c r="F417" s="25"/>
      <c r="G417" s="25"/>
      <c r="I417" s="24" t="str">
        <f aca="false">IF(D417="","",IFERROR(INDEX(Categorias!$C$6:$C$45,MATCH(D417,Categorias!$B$6:$B$45,0)),"Sem grupo"))</f>
        <v/>
      </c>
      <c r="J417" s="29" t="str">
        <f aca="false">IF(B417="","",DATE(YEAR(B417),MONTH(B417),1))</f>
        <v/>
      </c>
    </row>
    <row r="418" customFormat="false" ht="15" hidden="false" customHeight="false" outlineLevel="0" collapsed="false">
      <c r="B418" s="27"/>
      <c r="C418" s="25"/>
      <c r="D418" s="25"/>
      <c r="E418" s="28"/>
      <c r="F418" s="25"/>
      <c r="G418" s="25"/>
      <c r="I418" s="24" t="str">
        <f aca="false">IF(D418="","",IFERROR(INDEX(Categorias!$C$6:$C$45,MATCH(D418,Categorias!$B$6:$B$45,0)),"Sem grupo"))</f>
        <v/>
      </c>
      <c r="J418" s="29" t="str">
        <f aca="false">IF(B418="","",DATE(YEAR(B418),MONTH(B418),1))</f>
        <v/>
      </c>
    </row>
    <row r="419" customFormat="false" ht="15" hidden="false" customHeight="false" outlineLevel="0" collapsed="false">
      <c r="B419" s="27"/>
      <c r="C419" s="25"/>
      <c r="D419" s="25"/>
      <c r="E419" s="28"/>
      <c r="F419" s="25"/>
      <c r="G419" s="25"/>
      <c r="I419" s="24" t="str">
        <f aca="false">IF(D419="","",IFERROR(INDEX(Categorias!$C$6:$C$45,MATCH(D419,Categorias!$B$6:$B$45,0)),"Sem grupo"))</f>
        <v/>
      </c>
      <c r="J419" s="29" t="str">
        <f aca="false">IF(B419="","",DATE(YEAR(B419),MONTH(B419),1))</f>
        <v/>
      </c>
    </row>
    <row r="420" customFormat="false" ht="15" hidden="false" customHeight="false" outlineLevel="0" collapsed="false">
      <c r="B420" s="27"/>
      <c r="C420" s="25"/>
      <c r="D420" s="25"/>
      <c r="E420" s="28"/>
      <c r="F420" s="25"/>
      <c r="G420" s="25"/>
      <c r="I420" s="24" t="str">
        <f aca="false">IF(D420="","",IFERROR(INDEX(Categorias!$C$6:$C$45,MATCH(D420,Categorias!$B$6:$B$45,0)),"Sem grupo"))</f>
        <v/>
      </c>
      <c r="J420" s="29" t="str">
        <f aca="false">IF(B420="","",DATE(YEAR(B420),MONTH(B420),1))</f>
        <v/>
      </c>
    </row>
    <row r="421" customFormat="false" ht="15" hidden="false" customHeight="false" outlineLevel="0" collapsed="false">
      <c r="B421" s="27"/>
      <c r="C421" s="25"/>
      <c r="D421" s="25"/>
      <c r="E421" s="28"/>
      <c r="F421" s="25"/>
      <c r="G421" s="25"/>
      <c r="I421" s="24" t="str">
        <f aca="false">IF(D421="","",IFERROR(INDEX(Categorias!$C$6:$C$45,MATCH(D421,Categorias!$B$6:$B$45,0)),"Sem grupo"))</f>
        <v/>
      </c>
      <c r="J421" s="29" t="str">
        <f aca="false">IF(B421="","",DATE(YEAR(B421),MONTH(B421),1))</f>
        <v/>
      </c>
    </row>
    <row r="422" customFormat="false" ht="15" hidden="false" customHeight="false" outlineLevel="0" collapsed="false">
      <c r="B422" s="27"/>
      <c r="C422" s="25"/>
      <c r="D422" s="25"/>
      <c r="E422" s="28"/>
      <c r="F422" s="25"/>
      <c r="G422" s="25"/>
      <c r="I422" s="24" t="str">
        <f aca="false">IF(D422="","",IFERROR(INDEX(Categorias!$C$6:$C$45,MATCH(D422,Categorias!$B$6:$B$45,0)),"Sem grupo"))</f>
        <v/>
      </c>
      <c r="J422" s="29" t="str">
        <f aca="false">IF(B422="","",DATE(YEAR(B422),MONTH(B422),1))</f>
        <v/>
      </c>
    </row>
    <row r="423" customFormat="false" ht="15" hidden="false" customHeight="false" outlineLevel="0" collapsed="false">
      <c r="B423" s="27"/>
      <c r="C423" s="25"/>
      <c r="D423" s="25"/>
      <c r="E423" s="28"/>
      <c r="F423" s="25"/>
      <c r="G423" s="25"/>
      <c r="I423" s="24" t="str">
        <f aca="false">IF(D423="","",IFERROR(INDEX(Categorias!$C$6:$C$45,MATCH(D423,Categorias!$B$6:$B$45,0)),"Sem grupo"))</f>
        <v/>
      </c>
      <c r="J423" s="29" t="str">
        <f aca="false">IF(B423="","",DATE(YEAR(B423),MONTH(B423),1))</f>
        <v/>
      </c>
    </row>
    <row r="424" customFormat="false" ht="15" hidden="false" customHeight="false" outlineLevel="0" collapsed="false">
      <c r="B424" s="27"/>
      <c r="C424" s="25"/>
      <c r="D424" s="25"/>
      <c r="E424" s="28"/>
      <c r="F424" s="25"/>
      <c r="G424" s="25"/>
      <c r="I424" s="24" t="str">
        <f aca="false">IF(D424="","",IFERROR(INDEX(Categorias!$C$6:$C$45,MATCH(D424,Categorias!$B$6:$B$45,0)),"Sem grupo"))</f>
        <v/>
      </c>
      <c r="J424" s="29" t="str">
        <f aca="false">IF(B424="","",DATE(YEAR(B424),MONTH(B424),1))</f>
        <v/>
      </c>
    </row>
    <row r="425" customFormat="false" ht="15" hidden="false" customHeight="false" outlineLevel="0" collapsed="false">
      <c r="B425" s="27"/>
      <c r="C425" s="25"/>
      <c r="D425" s="25"/>
      <c r="E425" s="28"/>
      <c r="F425" s="25"/>
      <c r="G425" s="25"/>
      <c r="I425" s="24" t="str">
        <f aca="false">IF(D425="","",IFERROR(INDEX(Categorias!$C$6:$C$45,MATCH(D425,Categorias!$B$6:$B$45,0)),"Sem grupo"))</f>
        <v/>
      </c>
      <c r="J425" s="29" t="str">
        <f aca="false">IF(B425="","",DATE(YEAR(B425),MONTH(B425),1))</f>
        <v/>
      </c>
    </row>
    <row r="426" customFormat="false" ht="15" hidden="false" customHeight="false" outlineLevel="0" collapsed="false">
      <c r="B426" s="27"/>
      <c r="C426" s="25"/>
      <c r="D426" s="25"/>
      <c r="E426" s="28"/>
      <c r="F426" s="25"/>
      <c r="G426" s="25"/>
      <c r="I426" s="24" t="str">
        <f aca="false">IF(D426="","",IFERROR(INDEX(Categorias!$C$6:$C$45,MATCH(D426,Categorias!$B$6:$B$45,0)),"Sem grupo"))</f>
        <v/>
      </c>
      <c r="J426" s="29" t="str">
        <f aca="false">IF(B426="","",DATE(YEAR(B426),MONTH(B426),1))</f>
        <v/>
      </c>
    </row>
    <row r="427" customFormat="false" ht="15" hidden="false" customHeight="false" outlineLevel="0" collapsed="false">
      <c r="B427" s="27"/>
      <c r="C427" s="25"/>
      <c r="D427" s="25"/>
      <c r="E427" s="28"/>
      <c r="F427" s="25"/>
      <c r="G427" s="25"/>
      <c r="I427" s="24" t="str">
        <f aca="false">IF(D427="","",IFERROR(INDEX(Categorias!$C$6:$C$45,MATCH(D427,Categorias!$B$6:$B$45,0)),"Sem grupo"))</f>
        <v/>
      </c>
      <c r="J427" s="29" t="str">
        <f aca="false">IF(B427="","",DATE(YEAR(B427),MONTH(B427),1))</f>
        <v/>
      </c>
    </row>
    <row r="428" customFormat="false" ht="15" hidden="false" customHeight="false" outlineLevel="0" collapsed="false">
      <c r="B428" s="27"/>
      <c r="C428" s="25"/>
      <c r="D428" s="25"/>
      <c r="E428" s="28"/>
      <c r="F428" s="25"/>
      <c r="G428" s="25"/>
      <c r="I428" s="24" t="str">
        <f aca="false">IF(D428="","",IFERROR(INDEX(Categorias!$C$6:$C$45,MATCH(D428,Categorias!$B$6:$B$45,0)),"Sem grupo"))</f>
        <v/>
      </c>
      <c r="J428" s="29" t="str">
        <f aca="false">IF(B428="","",DATE(YEAR(B428),MONTH(B428),1))</f>
        <v/>
      </c>
    </row>
    <row r="429" customFormat="false" ht="15" hidden="false" customHeight="false" outlineLevel="0" collapsed="false">
      <c r="B429" s="27"/>
      <c r="C429" s="25"/>
      <c r="D429" s="25"/>
      <c r="E429" s="28"/>
      <c r="F429" s="25"/>
      <c r="G429" s="25"/>
      <c r="I429" s="24" t="str">
        <f aca="false">IF(D429="","",IFERROR(INDEX(Categorias!$C$6:$C$45,MATCH(D429,Categorias!$B$6:$B$45,0)),"Sem grupo"))</f>
        <v/>
      </c>
      <c r="J429" s="29" t="str">
        <f aca="false">IF(B429="","",DATE(YEAR(B429),MONTH(B429),1))</f>
        <v/>
      </c>
    </row>
    <row r="430" customFormat="false" ht="15" hidden="false" customHeight="false" outlineLevel="0" collapsed="false">
      <c r="B430" s="27"/>
      <c r="C430" s="25"/>
      <c r="D430" s="25"/>
      <c r="E430" s="28"/>
      <c r="F430" s="25"/>
      <c r="G430" s="25"/>
      <c r="I430" s="24" t="str">
        <f aca="false">IF(D430="","",IFERROR(INDEX(Categorias!$C$6:$C$45,MATCH(D430,Categorias!$B$6:$B$45,0)),"Sem grupo"))</f>
        <v/>
      </c>
      <c r="J430" s="29" t="str">
        <f aca="false">IF(B430="","",DATE(YEAR(B430),MONTH(B430),1))</f>
        <v/>
      </c>
    </row>
    <row r="431" customFormat="false" ht="15" hidden="false" customHeight="false" outlineLevel="0" collapsed="false">
      <c r="B431" s="27"/>
      <c r="C431" s="25"/>
      <c r="D431" s="25"/>
      <c r="E431" s="28"/>
      <c r="F431" s="25"/>
      <c r="G431" s="25"/>
      <c r="I431" s="24" t="str">
        <f aca="false">IF(D431="","",IFERROR(INDEX(Categorias!$C$6:$C$45,MATCH(D431,Categorias!$B$6:$B$45,0)),"Sem grupo"))</f>
        <v/>
      </c>
      <c r="J431" s="29" t="str">
        <f aca="false">IF(B431="","",DATE(YEAR(B431),MONTH(B431),1))</f>
        <v/>
      </c>
    </row>
    <row r="432" customFormat="false" ht="15" hidden="false" customHeight="false" outlineLevel="0" collapsed="false">
      <c r="B432" s="27"/>
      <c r="C432" s="25"/>
      <c r="D432" s="25"/>
      <c r="E432" s="28"/>
      <c r="F432" s="25"/>
      <c r="G432" s="25"/>
      <c r="I432" s="24" t="str">
        <f aca="false">IF(D432="","",IFERROR(INDEX(Categorias!$C$6:$C$45,MATCH(D432,Categorias!$B$6:$B$45,0)),"Sem grupo"))</f>
        <v/>
      </c>
      <c r="J432" s="29" t="str">
        <f aca="false">IF(B432="","",DATE(YEAR(B432),MONTH(B432),1))</f>
        <v/>
      </c>
    </row>
    <row r="433" customFormat="false" ht="15" hidden="false" customHeight="false" outlineLevel="0" collapsed="false">
      <c r="B433" s="27"/>
      <c r="C433" s="25"/>
      <c r="D433" s="25"/>
      <c r="E433" s="28"/>
      <c r="F433" s="25"/>
      <c r="G433" s="25"/>
      <c r="I433" s="24" t="str">
        <f aca="false">IF(D433="","",IFERROR(INDEX(Categorias!$C$6:$C$45,MATCH(D433,Categorias!$B$6:$B$45,0)),"Sem grupo"))</f>
        <v/>
      </c>
      <c r="J433" s="29" t="str">
        <f aca="false">IF(B433="","",DATE(YEAR(B433),MONTH(B433),1))</f>
        <v/>
      </c>
    </row>
    <row r="434" customFormat="false" ht="15" hidden="false" customHeight="false" outlineLevel="0" collapsed="false">
      <c r="B434" s="27"/>
      <c r="C434" s="25"/>
      <c r="D434" s="25"/>
      <c r="E434" s="28"/>
      <c r="F434" s="25"/>
      <c r="G434" s="25"/>
      <c r="I434" s="24" t="str">
        <f aca="false">IF(D434="","",IFERROR(INDEX(Categorias!$C$6:$C$45,MATCH(D434,Categorias!$B$6:$B$45,0)),"Sem grupo"))</f>
        <v/>
      </c>
      <c r="J434" s="29" t="str">
        <f aca="false">IF(B434="","",DATE(YEAR(B434),MONTH(B434),1))</f>
        <v/>
      </c>
    </row>
    <row r="435" customFormat="false" ht="15" hidden="false" customHeight="false" outlineLevel="0" collapsed="false">
      <c r="B435" s="27"/>
      <c r="C435" s="25"/>
      <c r="D435" s="25"/>
      <c r="E435" s="28"/>
      <c r="F435" s="25"/>
      <c r="G435" s="25"/>
      <c r="I435" s="24" t="str">
        <f aca="false">IF(D435="","",IFERROR(INDEX(Categorias!$C$6:$C$45,MATCH(D435,Categorias!$B$6:$B$45,0)),"Sem grupo"))</f>
        <v/>
      </c>
      <c r="J435" s="29" t="str">
        <f aca="false">IF(B435="","",DATE(YEAR(B435),MONTH(B435),1))</f>
        <v/>
      </c>
    </row>
    <row r="436" customFormat="false" ht="15" hidden="false" customHeight="false" outlineLevel="0" collapsed="false">
      <c r="B436" s="27"/>
      <c r="C436" s="25"/>
      <c r="D436" s="25"/>
      <c r="E436" s="28"/>
      <c r="F436" s="25"/>
      <c r="G436" s="25"/>
      <c r="I436" s="24" t="str">
        <f aca="false">IF(D436="","",IFERROR(INDEX(Categorias!$C$6:$C$45,MATCH(D436,Categorias!$B$6:$B$45,0)),"Sem grupo"))</f>
        <v/>
      </c>
      <c r="J436" s="29" t="str">
        <f aca="false">IF(B436="","",DATE(YEAR(B436),MONTH(B436),1))</f>
        <v/>
      </c>
    </row>
    <row r="437" customFormat="false" ht="15" hidden="false" customHeight="false" outlineLevel="0" collapsed="false">
      <c r="B437" s="27"/>
      <c r="C437" s="25"/>
      <c r="D437" s="25"/>
      <c r="E437" s="28"/>
      <c r="F437" s="25"/>
      <c r="G437" s="25"/>
      <c r="I437" s="24" t="str">
        <f aca="false">IF(D437="","",IFERROR(INDEX(Categorias!$C$6:$C$45,MATCH(D437,Categorias!$B$6:$B$45,0)),"Sem grupo"))</f>
        <v/>
      </c>
      <c r="J437" s="29" t="str">
        <f aca="false">IF(B437="","",DATE(YEAR(B437),MONTH(B437),1))</f>
        <v/>
      </c>
    </row>
    <row r="438" customFormat="false" ht="15" hidden="false" customHeight="false" outlineLevel="0" collapsed="false">
      <c r="B438" s="27"/>
      <c r="C438" s="25"/>
      <c r="D438" s="25"/>
      <c r="E438" s="28"/>
      <c r="F438" s="25"/>
      <c r="G438" s="25"/>
      <c r="I438" s="24" t="str">
        <f aca="false">IF(D438="","",IFERROR(INDEX(Categorias!$C$6:$C$45,MATCH(D438,Categorias!$B$6:$B$45,0)),"Sem grupo"))</f>
        <v/>
      </c>
      <c r="J438" s="29" t="str">
        <f aca="false">IF(B438="","",DATE(YEAR(B438),MONTH(B438),1))</f>
        <v/>
      </c>
    </row>
    <row r="439" customFormat="false" ht="15" hidden="false" customHeight="false" outlineLevel="0" collapsed="false">
      <c r="B439" s="27"/>
      <c r="C439" s="25"/>
      <c r="D439" s="25"/>
      <c r="E439" s="28"/>
      <c r="F439" s="25"/>
      <c r="G439" s="25"/>
      <c r="I439" s="24" t="str">
        <f aca="false">IF(D439="","",IFERROR(INDEX(Categorias!$C$6:$C$45,MATCH(D439,Categorias!$B$6:$B$45,0)),"Sem grupo"))</f>
        <v/>
      </c>
      <c r="J439" s="29" t="str">
        <f aca="false">IF(B439="","",DATE(YEAR(B439),MONTH(B439),1))</f>
        <v/>
      </c>
    </row>
    <row r="440" customFormat="false" ht="15" hidden="false" customHeight="false" outlineLevel="0" collapsed="false">
      <c r="B440" s="27"/>
      <c r="C440" s="25"/>
      <c r="D440" s="25"/>
      <c r="E440" s="28"/>
      <c r="F440" s="25"/>
      <c r="G440" s="25"/>
      <c r="I440" s="24" t="str">
        <f aca="false">IF(D440="","",IFERROR(INDEX(Categorias!$C$6:$C$45,MATCH(D440,Categorias!$B$6:$B$45,0)),"Sem grupo"))</f>
        <v/>
      </c>
      <c r="J440" s="29" t="str">
        <f aca="false">IF(B440="","",DATE(YEAR(B440),MONTH(B440),1))</f>
        <v/>
      </c>
    </row>
    <row r="441" customFormat="false" ht="15" hidden="false" customHeight="false" outlineLevel="0" collapsed="false">
      <c r="B441" s="27"/>
      <c r="C441" s="25"/>
      <c r="D441" s="25"/>
      <c r="E441" s="28"/>
      <c r="F441" s="25"/>
      <c r="G441" s="25"/>
      <c r="I441" s="24" t="str">
        <f aca="false">IF(D441="","",IFERROR(INDEX(Categorias!$C$6:$C$45,MATCH(D441,Categorias!$B$6:$B$45,0)),"Sem grupo"))</f>
        <v/>
      </c>
      <c r="J441" s="29" t="str">
        <f aca="false">IF(B441="","",DATE(YEAR(B441),MONTH(B441),1))</f>
        <v/>
      </c>
    </row>
    <row r="442" customFormat="false" ht="15" hidden="false" customHeight="false" outlineLevel="0" collapsed="false">
      <c r="B442" s="27"/>
      <c r="C442" s="25"/>
      <c r="D442" s="25"/>
      <c r="E442" s="28"/>
      <c r="F442" s="25"/>
      <c r="G442" s="25"/>
      <c r="I442" s="24" t="str">
        <f aca="false">IF(D442="","",IFERROR(INDEX(Categorias!$C$6:$C$45,MATCH(D442,Categorias!$B$6:$B$45,0)),"Sem grupo"))</f>
        <v/>
      </c>
      <c r="J442" s="29" t="str">
        <f aca="false">IF(B442="","",DATE(YEAR(B442),MONTH(B442),1))</f>
        <v/>
      </c>
    </row>
    <row r="443" customFormat="false" ht="15" hidden="false" customHeight="false" outlineLevel="0" collapsed="false">
      <c r="B443" s="27"/>
      <c r="C443" s="25"/>
      <c r="D443" s="25"/>
      <c r="E443" s="28"/>
      <c r="F443" s="25"/>
      <c r="G443" s="25"/>
      <c r="I443" s="24" t="str">
        <f aca="false">IF(D443="","",IFERROR(INDEX(Categorias!$C$6:$C$45,MATCH(D443,Categorias!$B$6:$B$45,0)),"Sem grupo"))</f>
        <v/>
      </c>
      <c r="J443" s="29" t="str">
        <f aca="false">IF(B443="","",DATE(YEAR(B443),MONTH(B443),1))</f>
        <v/>
      </c>
    </row>
    <row r="444" customFormat="false" ht="15" hidden="false" customHeight="false" outlineLevel="0" collapsed="false">
      <c r="B444" s="27"/>
      <c r="C444" s="25"/>
      <c r="D444" s="25"/>
      <c r="E444" s="28"/>
      <c r="F444" s="25"/>
      <c r="G444" s="25"/>
      <c r="I444" s="24" t="str">
        <f aca="false">IF(D444="","",IFERROR(INDEX(Categorias!$C$6:$C$45,MATCH(D444,Categorias!$B$6:$B$45,0)),"Sem grupo"))</f>
        <v/>
      </c>
      <c r="J444" s="29" t="str">
        <f aca="false">IF(B444="","",DATE(YEAR(B444),MONTH(B444),1))</f>
        <v/>
      </c>
    </row>
    <row r="445" customFormat="false" ht="15" hidden="false" customHeight="false" outlineLevel="0" collapsed="false">
      <c r="B445" s="27"/>
      <c r="C445" s="25"/>
      <c r="D445" s="25"/>
      <c r="E445" s="28"/>
      <c r="F445" s="25"/>
      <c r="G445" s="25"/>
      <c r="I445" s="24" t="str">
        <f aca="false">IF(D445="","",IFERROR(INDEX(Categorias!$C$6:$C$45,MATCH(D445,Categorias!$B$6:$B$45,0)),"Sem grupo"))</f>
        <v/>
      </c>
      <c r="J445" s="29" t="str">
        <f aca="false">IF(B445="","",DATE(YEAR(B445),MONTH(B445),1))</f>
        <v/>
      </c>
    </row>
    <row r="446" customFormat="false" ht="15" hidden="false" customHeight="false" outlineLevel="0" collapsed="false">
      <c r="B446" s="27"/>
      <c r="C446" s="25"/>
      <c r="D446" s="25"/>
      <c r="E446" s="28"/>
      <c r="F446" s="25"/>
      <c r="G446" s="25"/>
      <c r="I446" s="24" t="str">
        <f aca="false">IF(D446="","",IFERROR(INDEX(Categorias!$C$6:$C$45,MATCH(D446,Categorias!$B$6:$B$45,0)),"Sem grupo"))</f>
        <v/>
      </c>
      <c r="J446" s="29" t="str">
        <f aca="false">IF(B446="","",DATE(YEAR(B446),MONTH(B446),1))</f>
        <v/>
      </c>
    </row>
    <row r="447" customFormat="false" ht="15" hidden="false" customHeight="false" outlineLevel="0" collapsed="false">
      <c r="B447" s="27"/>
      <c r="C447" s="25"/>
      <c r="D447" s="25"/>
      <c r="E447" s="28"/>
      <c r="F447" s="25"/>
      <c r="G447" s="25"/>
      <c r="I447" s="24" t="str">
        <f aca="false">IF(D447="","",IFERROR(INDEX(Categorias!$C$6:$C$45,MATCH(D447,Categorias!$B$6:$B$45,0)),"Sem grupo"))</f>
        <v/>
      </c>
      <c r="J447" s="29" t="str">
        <f aca="false">IF(B447="","",DATE(YEAR(B447),MONTH(B447),1))</f>
        <v/>
      </c>
    </row>
    <row r="448" customFormat="false" ht="15" hidden="false" customHeight="false" outlineLevel="0" collapsed="false">
      <c r="B448" s="27"/>
      <c r="C448" s="25"/>
      <c r="D448" s="25"/>
      <c r="E448" s="28"/>
      <c r="F448" s="25"/>
      <c r="G448" s="25"/>
      <c r="I448" s="24" t="str">
        <f aca="false">IF(D448="","",IFERROR(INDEX(Categorias!$C$6:$C$45,MATCH(D448,Categorias!$B$6:$B$45,0)),"Sem grupo"))</f>
        <v/>
      </c>
      <c r="J448" s="29" t="str">
        <f aca="false">IF(B448="","",DATE(YEAR(B448),MONTH(B448),1))</f>
        <v/>
      </c>
    </row>
    <row r="449" customFormat="false" ht="15" hidden="false" customHeight="false" outlineLevel="0" collapsed="false">
      <c r="B449" s="27"/>
      <c r="C449" s="25"/>
      <c r="D449" s="25"/>
      <c r="E449" s="28"/>
      <c r="F449" s="25"/>
      <c r="G449" s="25"/>
      <c r="I449" s="24" t="str">
        <f aca="false">IF(D449="","",IFERROR(INDEX(Categorias!$C$6:$C$45,MATCH(D449,Categorias!$B$6:$B$45,0)),"Sem grupo"))</f>
        <v/>
      </c>
      <c r="J449" s="29" t="str">
        <f aca="false">IF(B449="","",DATE(YEAR(B449),MONTH(B449),1))</f>
        <v/>
      </c>
    </row>
    <row r="450" customFormat="false" ht="15" hidden="false" customHeight="false" outlineLevel="0" collapsed="false">
      <c r="B450" s="27"/>
      <c r="C450" s="25"/>
      <c r="D450" s="25"/>
      <c r="E450" s="28"/>
      <c r="F450" s="25"/>
      <c r="G450" s="25"/>
      <c r="I450" s="24" t="str">
        <f aca="false">IF(D450="","",IFERROR(INDEX(Categorias!$C$6:$C$45,MATCH(D450,Categorias!$B$6:$B$45,0)),"Sem grupo"))</f>
        <v/>
      </c>
      <c r="J450" s="29" t="str">
        <f aca="false">IF(B450="","",DATE(YEAR(B450),MONTH(B450),1))</f>
        <v/>
      </c>
    </row>
    <row r="451" customFormat="false" ht="15" hidden="false" customHeight="false" outlineLevel="0" collapsed="false">
      <c r="B451" s="27"/>
      <c r="C451" s="25"/>
      <c r="D451" s="25"/>
      <c r="E451" s="28"/>
      <c r="F451" s="25"/>
      <c r="G451" s="25"/>
      <c r="I451" s="24" t="str">
        <f aca="false">IF(D451="","",IFERROR(INDEX(Categorias!$C$6:$C$45,MATCH(D451,Categorias!$B$6:$B$45,0)),"Sem grupo"))</f>
        <v/>
      </c>
      <c r="J451" s="29" t="str">
        <f aca="false">IF(B451="","",DATE(YEAR(B451),MONTH(B451),1))</f>
        <v/>
      </c>
    </row>
    <row r="452" customFormat="false" ht="15" hidden="false" customHeight="false" outlineLevel="0" collapsed="false">
      <c r="B452" s="27"/>
      <c r="C452" s="25"/>
      <c r="D452" s="25"/>
      <c r="E452" s="28"/>
      <c r="F452" s="25"/>
      <c r="G452" s="25"/>
      <c r="I452" s="24" t="str">
        <f aca="false">IF(D452="","",IFERROR(INDEX(Categorias!$C$6:$C$45,MATCH(D452,Categorias!$B$6:$B$45,0)),"Sem grupo"))</f>
        <v/>
      </c>
      <c r="J452" s="29" t="str">
        <f aca="false">IF(B452="","",DATE(YEAR(B452),MONTH(B452),1))</f>
        <v/>
      </c>
    </row>
    <row r="453" customFormat="false" ht="15" hidden="false" customHeight="false" outlineLevel="0" collapsed="false">
      <c r="B453" s="27"/>
      <c r="C453" s="25"/>
      <c r="D453" s="25"/>
      <c r="E453" s="28"/>
      <c r="F453" s="25"/>
      <c r="G453" s="25"/>
      <c r="I453" s="24" t="str">
        <f aca="false">IF(D453="","",IFERROR(INDEX(Categorias!$C$6:$C$45,MATCH(D453,Categorias!$B$6:$B$45,0)),"Sem grupo"))</f>
        <v/>
      </c>
      <c r="J453" s="29" t="str">
        <f aca="false">IF(B453="","",DATE(YEAR(B453),MONTH(B453),1))</f>
        <v/>
      </c>
    </row>
    <row r="454" customFormat="false" ht="15" hidden="false" customHeight="false" outlineLevel="0" collapsed="false">
      <c r="B454" s="27"/>
      <c r="C454" s="25"/>
      <c r="D454" s="25"/>
      <c r="E454" s="28"/>
      <c r="F454" s="25"/>
      <c r="G454" s="25"/>
      <c r="I454" s="24" t="str">
        <f aca="false">IF(D454="","",IFERROR(INDEX(Categorias!$C$6:$C$45,MATCH(D454,Categorias!$B$6:$B$45,0)),"Sem grupo"))</f>
        <v/>
      </c>
      <c r="J454" s="29" t="str">
        <f aca="false">IF(B454="","",DATE(YEAR(B454),MONTH(B454),1))</f>
        <v/>
      </c>
    </row>
    <row r="455" customFormat="false" ht="15" hidden="false" customHeight="false" outlineLevel="0" collapsed="false">
      <c r="B455" s="27"/>
      <c r="C455" s="25"/>
      <c r="D455" s="25"/>
      <c r="E455" s="28"/>
      <c r="F455" s="25"/>
      <c r="G455" s="25"/>
      <c r="I455" s="24" t="str">
        <f aca="false">IF(D455="","",IFERROR(INDEX(Categorias!$C$6:$C$45,MATCH(D455,Categorias!$B$6:$B$45,0)),"Sem grupo"))</f>
        <v/>
      </c>
      <c r="J455" s="29" t="str">
        <f aca="false">IF(B455="","",DATE(YEAR(B455),MONTH(B455),1))</f>
        <v/>
      </c>
    </row>
    <row r="456" customFormat="false" ht="15" hidden="false" customHeight="false" outlineLevel="0" collapsed="false">
      <c r="B456" s="27"/>
      <c r="C456" s="25"/>
      <c r="D456" s="25"/>
      <c r="E456" s="28"/>
      <c r="F456" s="25"/>
      <c r="G456" s="25"/>
      <c r="I456" s="24" t="str">
        <f aca="false">IF(D456="","",IFERROR(INDEX(Categorias!$C$6:$C$45,MATCH(D456,Categorias!$B$6:$B$45,0)),"Sem grupo"))</f>
        <v/>
      </c>
      <c r="J456" s="29" t="str">
        <f aca="false">IF(B456="","",DATE(YEAR(B456),MONTH(B456),1))</f>
        <v/>
      </c>
    </row>
    <row r="457" customFormat="false" ht="15" hidden="false" customHeight="false" outlineLevel="0" collapsed="false">
      <c r="B457" s="27"/>
      <c r="C457" s="25"/>
      <c r="D457" s="25"/>
      <c r="E457" s="28"/>
      <c r="F457" s="25"/>
      <c r="G457" s="25"/>
      <c r="I457" s="24" t="str">
        <f aca="false">IF(D457="","",IFERROR(INDEX(Categorias!$C$6:$C$45,MATCH(D457,Categorias!$B$6:$B$45,0)),"Sem grupo"))</f>
        <v/>
      </c>
      <c r="J457" s="29" t="str">
        <f aca="false">IF(B457="","",DATE(YEAR(B457),MONTH(B457),1))</f>
        <v/>
      </c>
    </row>
    <row r="458" customFormat="false" ht="15" hidden="false" customHeight="false" outlineLevel="0" collapsed="false">
      <c r="B458" s="27"/>
      <c r="C458" s="25"/>
      <c r="D458" s="25"/>
      <c r="E458" s="28"/>
      <c r="F458" s="25"/>
      <c r="G458" s="25"/>
      <c r="I458" s="24" t="str">
        <f aca="false">IF(D458="","",IFERROR(INDEX(Categorias!$C$6:$C$45,MATCH(D458,Categorias!$B$6:$B$45,0)),"Sem grupo"))</f>
        <v/>
      </c>
      <c r="J458" s="29" t="str">
        <f aca="false">IF(B458="","",DATE(YEAR(B458),MONTH(B458),1))</f>
        <v/>
      </c>
    </row>
    <row r="459" customFormat="false" ht="15" hidden="false" customHeight="false" outlineLevel="0" collapsed="false">
      <c r="B459" s="27"/>
      <c r="C459" s="25"/>
      <c r="D459" s="25"/>
      <c r="E459" s="28"/>
      <c r="F459" s="25"/>
      <c r="G459" s="25"/>
      <c r="I459" s="24" t="str">
        <f aca="false">IF(D459="","",IFERROR(INDEX(Categorias!$C$6:$C$45,MATCH(D459,Categorias!$B$6:$B$45,0)),"Sem grupo"))</f>
        <v/>
      </c>
      <c r="J459" s="29" t="str">
        <f aca="false">IF(B459="","",DATE(YEAR(B459),MONTH(B459),1))</f>
        <v/>
      </c>
    </row>
    <row r="460" customFormat="false" ht="15" hidden="false" customHeight="false" outlineLevel="0" collapsed="false">
      <c r="B460" s="27"/>
      <c r="C460" s="25"/>
      <c r="D460" s="25"/>
      <c r="E460" s="28"/>
      <c r="F460" s="25"/>
      <c r="G460" s="25"/>
      <c r="I460" s="24" t="str">
        <f aca="false">IF(D460="","",IFERROR(INDEX(Categorias!$C$6:$C$45,MATCH(D460,Categorias!$B$6:$B$45,0)),"Sem grupo"))</f>
        <v/>
      </c>
      <c r="J460" s="29" t="str">
        <f aca="false">IF(B460="","",DATE(YEAR(B460),MONTH(B460),1))</f>
        <v/>
      </c>
    </row>
    <row r="461" customFormat="false" ht="15" hidden="false" customHeight="false" outlineLevel="0" collapsed="false">
      <c r="B461" s="27"/>
      <c r="C461" s="25"/>
      <c r="D461" s="25"/>
      <c r="E461" s="28"/>
      <c r="F461" s="25"/>
      <c r="G461" s="25"/>
      <c r="I461" s="24" t="str">
        <f aca="false">IF(D461="","",IFERROR(INDEX(Categorias!$C$6:$C$45,MATCH(D461,Categorias!$B$6:$B$45,0)),"Sem grupo"))</f>
        <v/>
      </c>
      <c r="J461" s="29" t="str">
        <f aca="false">IF(B461="","",DATE(YEAR(B461),MONTH(B461),1))</f>
        <v/>
      </c>
    </row>
    <row r="462" customFormat="false" ht="15" hidden="false" customHeight="false" outlineLevel="0" collapsed="false">
      <c r="B462" s="27"/>
      <c r="C462" s="25"/>
      <c r="D462" s="25"/>
      <c r="E462" s="28"/>
      <c r="F462" s="25"/>
      <c r="G462" s="25"/>
      <c r="I462" s="24" t="str">
        <f aca="false">IF(D462="","",IFERROR(INDEX(Categorias!$C$6:$C$45,MATCH(D462,Categorias!$B$6:$B$45,0)),"Sem grupo"))</f>
        <v/>
      </c>
      <c r="J462" s="29" t="str">
        <f aca="false">IF(B462="","",DATE(YEAR(B462),MONTH(B462),1))</f>
        <v/>
      </c>
    </row>
    <row r="463" customFormat="false" ht="15" hidden="false" customHeight="false" outlineLevel="0" collapsed="false">
      <c r="B463" s="27"/>
      <c r="C463" s="25"/>
      <c r="D463" s="25"/>
      <c r="E463" s="28"/>
      <c r="F463" s="25"/>
      <c r="G463" s="25"/>
      <c r="I463" s="24" t="str">
        <f aca="false">IF(D463="","",IFERROR(INDEX(Categorias!$C$6:$C$45,MATCH(D463,Categorias!$B$6:$B$45,0)),"Sem grupo"))</f>
        <v/>
      </c>
      <c r="J463" s="29" t="str">
        <f aca="false">IF(B463="","",DATE(YEAR(B463),MONTH(B463),1))</f>
        <v/>
      </c>
    </row>
    <row r="464" customFormat="false" ht="15" hidden="false" customHeight="false" outlineLevel="0" collapsed="false">
      <c r="B464" s="27"/>
      <c r="C464" s="25"/>
      <c r="D464" s="25"/>
      <c r="E464" s="28"/>
      <c r="F464" s="25"/>
      <c r="G464" s="25"/>
      <c r="I464" s="24" t="str">
        <f aca="false">IF(D464="","",IFERROR(INDEX(Categorias!$C$6:$C$45,MATCH(D464,Categorias!$B$6:$B$45,0)),"Sem grupo"))</f>
        <v/>
      </c>
      <c r="J464" s="29" t="str">
        <f aca="false">IF(B464="","",DATE(YEAR(B464),MONTH(B464),1))</f>
        <v/>
      </c>
    </row>
    <row r="465" customFormat="false" ht="15" hidden="false" customHeight="false" outlineLevel="0" collapsed="false">
      <c r="B465" s="27"/>
      <c r="C465" s="25"/>
      <c r="D465" s="25"/>
      <c r="E465" s="28"/>
      <c r="F465" s="25"/>
      <c r="G465" s="25"/>
      <c r="I465" s="24" t="str">
        <f aca="false">IF(D465="","",IFERROR(INDEX(Categorias!$C$6:$C$45,MATCH(D465,Categorias!$B$6:$B$45,0)),"Sem grupo"))</f>
        <v/>
      </c>
      <c r="J465" s="29" t="str">
        <f aca="false">IF(B465="","",DATE(YEAR(B465),MONTH(B465),1))</f>
        <v/>
      </c>
    </row>
    <row r="466" customFormat="false" ht="15" hidden="false" customHeight="false" outlineLevel="0" collapsed="false">
      <c r="B466" s="27"/>
      <c r="C466" s="25"/>
      <c r="D466" s="25"/>
      <c r="E466" s="28"/>
      <c r="F466" s="25"/>
      <c r="G466" s="25"/>
      <c r="I466" s="24" t="str">
        <f aca="false">IF(D466="","",IFERROR(INDEX(Categorias!$C$6:$C$45,MATCH(D466,Categorias!$B$6:$B$45,0)),"Sem grupo"))</f>
        <v/>
      </c>
      <c r="J466" s="29" t="str">
        <f aca="false">IF(B466="","",DATE(YEAR(B466),MONTH(B466),1))</f>
        <v/>
      </c>
    </row>
    <row r="467" customFormat="false" ht="15" hidden="false" customHeight="false" outlineLevel="0" collapsed="false">
      <c r="B467" s="27"/>
      <c r="C467" s="25"/>
      <c r="D467" s="25"/>
      <c r="E467" s="28"/>
      <c r="F467" s="25"/>
      <c r="G467" s="25"/>
      <c r="I467" s="24" t="str">
        <f aca="false">IF(D467="","",IFERROR(INDEX(Categorias!$C$6:$C$45,MATCH(D467,Categorias!$B$6:$B$45,0)),"Sem grupo"))</f>
        <v/>
      </c>
      <c r="J467" s="29" t="str">
        <f aca="false">IF(B467="","",DATE(YEAR(B467),MONTH(B467),1))</f>
        <v/>
      </c>
    </row>
    <row r="468" customFormat="false" ht="15" hidden="false" customHeight="false" outlineLevel="0" collapsed="false">
      <c r="B468" s="27"/>
      <c r="C468" s="25"/>
      <c r="D468" s="25"/>
      <c r="E468" s="28"/>
      <c r="F468" s="25"/>
      <c r="G468" s="25"/>
      <c r="I468" s="24" t="str">
        <f aca="false">IF(D468="","",IFERROR(INDEX(Categorias!$C$6:$C$45,MATCH(D468,Categorias!$B$6:$B$45,0)),"Sem grupo"))</f>
        <v/>
      </c>
      <c r="J468" s="29" t="str">
        <f aca="false">IF(B468="","",DATE(YEAR(B468),MONTH(B468),1))</f>
        <v/>
      </c>
    </row>
    <row r="469" customFormat="false" ht="15" hidden="false" customHeight="false" outlineLevel="0" collapsed="false">
      <c r="B469" s="27"/>
      <c r="C469" s="25"/>
      <c r="D469" s="25"/>
      <c r="E469" s="28"/>
      <c r="F469" s="25"/>
      <c r="G469" s="25"/>
      <c r="I469" s="24" t="str">
        <f aca="false">IF(D469="","",IFERROR(INDEX(Categorias!$C$6:$C$45,MATCH(D469,Categorias!$B$6:$B$45,0)),"Sem grupo"))</f>
        <v/>
      </c>
      <c r="J469" s="29" t="str">
        <f aca="false">IF(B469="","",DATE(YEAR(B469),MONTH(B469),1))</f>
        <v/>
      </c>
    </row>
    <row r="470" customFormat="false" ht="15" hidden="false" customHeight="false" outlineLevel="0" collapsed="false">
      <c r="B470" s="27"/>
      <c r="C470" s="25"/>
      <c r="D470" s="25"/>
      <c r="E470" s="28"/>
      <c r="F470" s="25"/>
      <c r="G470" s="25"/>
      <c r="I470" s="24" t="str">
        <f aca="false">IF(D470="","",IFERROR(INDEX(Categorias!$C$6:$C$45,MATCH(D470,Categorias!$B$6:$B$45,0)),"Sem grupo"))</f>
        <v/>
      </c>
      <c r="J470" s="29" t="str">
        <f aca="false">IF(B470="","",DATE(YEAR(B470),MONTH(B470),1))</f>
        <v/>
      </c>
    </row>
    <row r="471" customFormat="false" ht="15" hidden="false" customHeight="false" outlineLevel="0" collapsed="false">
      <c r="B471" s="27"/>
      <c r="C471" s="25"/>
      <c r="D471" s="25"/>
      <c r="E471" s="28"/>
      <c r="F471" s="25"/>
      <c r="G471" s="25"/>
      <c r="I471" s="24" t="str">
        <f aca="false">IF(D471="","",IFERROR(INDEX(Categorias!$C$6:$C$45,MATCH(D471,Categorias!$B$6:$B$45,0)),"Sem grupo"))</f>
        <v/>
      </c>
      <c r="J471" s="29" t="str">
        <f aca="false">IF(B471="","",DATE(YEAR(B471),MONTH(B471),1))</f>
        <v/>
      </c>
    </row>
    <row r="472" customFormat="false" ht="15" hidden="false" customHeight="false" outlineLevel="0" collapsed="false">
      <c r="B472" s="27"/>
      <c r="C472" s="25"/>
      <c r="D472" s="25"/>
      <c r="E472" s="28"/>
      <c r="F472" s="25"/>
      <c r="G472" s="25"/>
      <c r="I472" s="24" t="str">
        <f aca="false">IF(D472="","",IFERROR(INDEX(Categorias!$C$6:$C$45,MATCH(D472,Categorias!$B$6:$B$45,0)),"Sem grupo"))</f>
        <v/>
      </c>
      <c r="J472" s="29" t="str">
        <f aca="false">IF(B472="","",DATE(YEAR(B472),MONTH(B472),1))</f>
        <v/>
      </c>
    </row>
    <row r="473" customFormat="false" ht="15" hidden="false" customHeight="false" outlineLevel="0" collapsed="false">
      <c r="B473" s="27"/>
      <c r="C473" s="25"/>
      <c r="D473" s="25"/>
      <c r="E473" s="28"/>
      <c r="F473" s="25"/>
      <c r="G473" s="25"/>
      <c r="I473" s="24" t="str">
        <f aca="false">IF(D473="","",IFERROR(INDEX(Categorias!$C$6:$C$45,MATCH(D473,Categorias!$B$6:$B$45,0)),"Sem grupo"))</f>
        <v/>
      </c>
      <c r="J473" s="29" t="str">
        <f aca="false">IF(B473="","",DATE(YEAR(B473),MONTH(B473),1))</f>
        <v/>
      </c>
    </row>
    <row r="474" customFormat="false" ht="15" hidden="false" customHeight="false" outlineLevel="0" collapsed="false">
      <c r="B474" s="27"/>
      <c r="C474" s="25"/>
      <c r="D474" s="25"/>
      <c r="E474" s="28"/>
      <c r="F474" s="25"/>
      <c r="G474" s="25"/>
      <c r="I474" s="24" t="str">
        <f aca="false">IF(D474="","",IFERROR(INDEX(Categorias!$C$6:$C$45,MATCH(D474,Categorias!$B$6:$B$45,0)),"Sem grupo"))</f>
        <v/>
      </c>
      <c r="J474" s="29" t="str">
        <f aca="false">IF(B474="","",DATE(YEAR(B474),MONTH(B474),1))</f>
        <v/>
      </c>
    </row>
    <row r="475" customFormat="false" ht="15" hidden="false" customHeight="false" outlineLevel="0" collapsed="false">
      <c r="B475" s="27"/>
      <c r="C475" s="25"/>
      <c r="D475" s="25"/>
      <c r="E475" s="28"/>
      <c r="F475" s="25"/>
      <c r="G475" s="25"/>
      <c r="I475" s="24" t="str">
        <f aca="false">IF(D475="","",IFERROR(INDEX(Categorias!$C$6:$C$45,MATCH(D475,Categorias!$B$6:$B$45,0)),"Sem grupo"))</f>
        <v/>
      </c>
      <c r="J475" s="29" t="str">
        <f aca="false">IF(B475="","",DATE(YEAR(B475),MONTH(B475),1))</f>
        <v/>
      </c>
    </row>
    <row r="476" customFormat="false" ht="15" hidden="false" customHeight="false" outlineLevel="0" collapsed="false">
      <c r="B476" s="27"/>
      <c r="C476" s="25"/>
      <c r="D476" s="25"/>
      <c r="E476" s="28"/>
      <c r="F476" s="25"/>
      <c r="G476" s="25"/>
      <c r="I476" s="24" t="str">
        <f aca="false">IF(D476="","",IFERROR(INDEX(Categorias!$C$6:$C$45,MATCH(D476,Categorias!$B$6:$B$45,0)),"Sem grupo"))</f>
        <v/>
      </c>
      <c r="J476" s="29" t="str">
        <f aca="false">IF(B476="","",DATE(YEAR(B476),MONTH(B476),1))</f>
        <v/>
      </c>
    </row>
    <row r="477" customFormat="false" ht="15" hidden="false" customHeight="false" outlineLevel="0" collapsed="false">
      <c r="B477" s="27"/>
      <c r="C477" s="25"/>
      <c r="D477" s="25"/>
      <c r="E477" s="28"/>
      <c r="F477" s="25"/>
      <c r="G477" s="25"/>
      <c r="I477" s="24" t="str">
        <f aca="false">IF(D477="","",IFERROR(INDEX(Categorias!$C$6:$C$45,MATCH(D477,Categorias!$B$6:$B$45,0)),"Sem grupo"))</f>
        <v/>
      </c>
      <c r="J477" s="29" t="str">
        <f aca="false">IF(B477="","",DATE(YEAR(B477),MONTH(B477),1))</f>
        <v/>
      </c>
    </row>
    <row r="478" customFormat="false" ht="15" hidden="false" customHeight="false" outlineLevel="0" collapsed="false">
      <c r="B478" s="27"/>
      <c r="C478" s="25"/>
      <c r="D478" s="25"/>
      <c r="E478" s="28"/>
      <c r="F478" s="25"/>
      <c r="G478" s="25"/>
      <c r="I478" s="24" t="str">
        <f aca="false">IF(D478="","",IFERROR(INDEX(Categorias!$C$6:$C$45,MATCH(D478,Categorias!$B$6:$B$45,0)),"Sem grupo"))</f>
        <v/>
      </c>
      <c r="J478" s="29" t="str">
        <f aca="false">IF(B478="","",DATE(YEAR(B478),MONTH(B478),1))</f>
        <v/>
      </c>
    </row>
    <row r="479" customFormat="false" ht="15" hidden="false" customHeight="false" outlineLevel="0" collapsed="false">
      <c r="B479" s="27"/>
      <c r="C479" s="25"/>
      <c r="D479" s="25"/>
      <c r="E479" s="28"/>
      <c r="F479" s="25"/>
      <c r="G479" s="25"/>
      <c r="I479" s="24" t="str">
        <f aca="false">IF(D479="","",IFERROR(INDEX(Categorias!$C$6:$C$45,MATCH(D479,Categorias!$B$6:$B$45,0)),"Sem grupo"))</f>
        <v/>
      </c>
      <c r="J479" s="29" t="str">
        <f aca="false">IF(B479="","",DATE(YEAR(B479),MONTH(B479),1))</f>
        <v/>
      </c>
    </row>
    <row r="480" customFormat="false" ht="15" hidden="false" customHeight="false" outlineLevel="0" collapsed="false">
      <c r="B480" s="27"/>
      <c r="C480" s="25"/>
      <c r="D480" s="25"/>
      <c r="E480" s="28"/>
      <c r="F480" s="25"/>
      <c r="G480" s="25"/>
      <c r="I480" s="24" t="str">
        <f aca="false">IF(D480="","",IFERROR(INDEX(Categorias!$C$6:$C$45,MATCH(D480,Categorias!$B$6:$B$45,0)),"Sem grupo"))</f>
        <v/>
      </c>
      <c r="J480" s="29" t="str">
        <f aca="false">IF(B480="","",DATE(YEAR(B480),MONTH(B480),1))</f>
        <v/>
      </c>
    </row>
    <row r="481" customFormat="false" ht="15" hidden="false" customHeight="false" outlineLevel="0" collapsed="false">
      <c r="B481" s="27"/>
      <c r="C481" s="25"/>
      <c r="D481" s="25"/>
      <c r="E481" s="28"/>
      <c r="F481" s="25"/>
      <c r="G481" s="25"/>
      <c r="I481" s="24" t="str">
        <f aca="false">IF(D481="","",IFERROR(INDEX(Categorias!$C$6:$C$45,MATCH(D481,Categorias!$B$6:$B$45,0)),"Sem grupo"))</f>
        <v/>
      </c>
      <c r="J481" s="29" t="str">
        <f aca="false">IF(B481="","",DATE(YEAR(B481),MONTH(B481),1))</f>
        <v/>
      </c>
    </row>
    <row r="482" customFormat="false" ht="15" hidden="false" customHeight="false" outlineLevel="0" collapsed="false">
      <c r="B482" s="27"/>
      <c r="C482" s="25"/>
      <c r="D482" s="25"/>
      <c r="E482" s="28"/>
      <c r="F482" s="25"/>
      <c r="G482" s="25"/>
      <c r="I482" s="24" t="str">
        <f aca="false">IF(D482="","",IFERROR(INDEX(Categorias!$C$6:$C$45,MATCH(D482,Categorias!$B$6:$B$45,0)),"Sem grupo"))</f>
        <v/>
      </c>
      <c r="J482" s="29" t="str">
        <f aca="false">IF(B482="","",DATE(YEAR(B482),MONTH(B482),1))</f>
        <v/>
      </c>
    </row>
    <row r="483" customFormat="false" ht="15" hidden="false" customHeight="false" outlineLevel="0" collapsed="false">
      <c r="B483" s="27"/>
      <c r="C483" s="25"/>
      <c r="D483" s="25"/>
      <c r="E483" s="28"/>
      <c r="F483" s="25"/>
      <c r="G483" s="25"/>
      <c r="I483" s="24" t="str">
        <f aca="false">IF(D483="","",IFERROR(INDEX(Categorias!$C$6:$C$45,MATCH(D483,Categorias!$B$6:$B$45,0)),"Sem grupo"))</f>
        <v/>
      </c>
      <c r="J483" s="29" t="str">
        <f aca="false">IF(B483="","",DATE(YEAR(B483),MONTH(B483),1))</f>
        <v/>
      </c>
    </row>
    <row r="484" customFormat="false" ht="15" hidden="false" customHeight="false" outlineLevel="0" collapsed="false">
      <c r="B484" s="27"/>
      <c r="C484" s="25"/>
      <c r="D484" s="25"/>
      <c r="E484" s="28"/>
      <c r="F484" s="25"/>
      <c r="G484" s="25"/>
      <c r="I484" s="24" t="str">
        <f aca="false">IF(D484="","",IFERROR(INDEX(Categorias!$C$6:$C$45,MATCH(D484,Categorias!$B$6:$B$45,0)),"Sem grupo"))</f>
        <v/>
      </c>
      <c r="J484" s="29" t="str">
        <f aca="false">IF(B484="","",DATE(YEAR(B484),MONTH(B484),1))</f>
        <v/>
      </c>
    </row>
    <row r="485" customFormat="false" ht="15" hidden="false" customHeight="false" outlineLevel="0" collapsed="false">
      <c r="B485" s="27"/>
      <c r="C485" s="25"/>
      <c r="D485" s="25"/>
      <c r="E485" s="28"/>
      <c r="F485" s="25"/>
      <c r="G485" s="25"/>
      <c r="I485" s="24" t="str">
        <f aca="false">IF(D485="","",IFERROR(INDEX(Categorias!$C$6:$C$45,MATCH(D485,Categorias!$B$6:$B$45,0)),"Sem grupo"))</f>
        <v/>
      </c>
      <c r="J485" s="29" t="str">
        <f aca="false">IF(B485="","",DATE(YEAR(B485),MONTH(B485),1))</f>
        <v/>
      </c>
    </row>
    <row r="486" customFormat="false" ht="15" hidden="false" customHeight="false" outlineLevel="0" collapsed="false">
      <c r="B486" s="27"/>
      <c r="C486" s="25"/>
      <c r="D486" s="25"/>
      <c r="E486" s="28"/>
      <c r="F486" s="25"/>
      <c r="G486" s="25"/>
      <c r="I486" s="24" t="str">
        <f aca="false">IF(D486="","",IFERROR(INDEX(Categorias!$C$6:$C$45,MATCH(D486,Categorias!$B$6:$B$45,0)),"Sem grupo"))</f>
        <v/>
      </c>
      <c r="J486" s="29" t="str">
        <f aca="false">IF(B486="","",DATE(YEAR(B486),MONTH(B486),1))</f>
        <v/>
      </c>
    </row>
    <row r="487" customFormat="false" ht="15" hidden="false" customHeight="false" outlineLevel="0" collapsed="false">
      <c r="B487" s="27"/>
      <c r="C487" s="25"/>
      <c r="D487" s="25"/>
      <c r="E487" s="28"/>
      <c r="F487" s="25"/>
      <c r="G487" s="25"/>
      <c r="I487" s="24" t="str">
        <f aca="false">IF(D487="","",IFERROR(INDEX(Categorias!$C$6:$C$45,MATCH(D487,Categorias!$B$6:$B$45,0)),"Sem grupo"))</f>
        <v/>
      </c>
      <c r="J487" s="29" t="str">
        <f aca="false">IF(B487="","",DATE(YEAR(B487),MONTH(B487),1))</f>
        <v/>
      </c>
    </row>
    <row r="488" customFormat="false" ht="15" hidden="false" customHeight="false" outlineLevel="0" collapsed="false">
      <c r="B488" s="27"/>
      <c r="C488" s="25"/>
      <c r="D488" s="25"/>
      <c r="E488" s="28"/>
      <c r="F488" s="25"/>
      <c r="G488" s="25"/>
      <c r="I488" s="24" t="str">
        <f aca="false">IF(D488="","",IFERROR(INDEX(Categorias!$C$6:$C$45,MATCH(D488,Categorias!$B$6:$B$45,0)),"Sem grupo"))</f>
        <v/>
      </c>
      <c r="J488" s="29" t="str">
        <f aca="false">IF(B488="","",DATE(YEAR(B488),MONTH(B488),1))</f>
        <v/>
      </c>
    </row>
    <row r="489" customFormat="false" ht="15" hidden="false" customHeight="false" outlineLevel="0" collapsed="false">
      <c r="B489" s="27"/>
      <c r="C489" s="25"/>
      <c r="D489" s="25"/>
      <c r="E489" s="28"/>
      <c r="F489" s="25"/>
      <c r="G489" s="25"/>
      <c r="I489" s="24" t="str">
        <f aca="false">IF(D489="","",IFERROR(INDEX(Categorias!$C$6:$C$45,MATCH(D489,Categorias!$B$6:$B$45,0)),"Sem grupo"))</f>
        <v/>
      </c>
      <c r="J489" s="29" t="str">
        <f aca="false">IF(B489="","",DATE(YEAR(B489),MONTH(B489),1))</f>
        <v/>
      </c>
    </row>
    <row r="490" customFormat="false" ht="15" hidden="false" customHeight="false" outlineLevel="0" collapsed="false">
      <c r="B490" s="27"/>
      <c r="C490" s="25"/>
      <c r="D490" s="25"/>
      <c r="E490" s="28"/>
      <c r="F490" s="25"/>
      <c r="G490" s="25"/>
      <c r="I490" s="24" t="str">
        <f aca="false">IF(D490="","",IFERROR(INDEX(Categorias!$C$6:$C$45,MATCH(D490,Categorias!$B$6:$B$45,0)),"Sem grupo"))</f>
        <v/>
      </c>
      <c r="J490" s="29" t="str">
        <f aca="false">IF(B490="","",DATE(YEAR(B490),MONTH(B490),1))</f>
        <v/>
      </c>
    </row>
    <row r="491" customFormat="false" ht="15" hidden="false" customHeight="false" outlineLevel="0" collapsed="false">
      <c r="B491" s="27"/>
      <c r="C491" s="25"/>
      <c r="D491" s="25"/>
      <c r="E491" s="28"/>
      <c r="F491" s="25"/>
      <c r="G491" s="25"/>
      <c r="I491" s="24" t="str">
        <f aca="false">IF(D491="","",IFERROR(INDEX(Categorias!$C$6:$C$45,MATCH(D491,Categorias!$B$6:$B$45,0)),"Sem grupo"))</f>
        <v/>
      </c>
      <c r="J491" s="29" t="str">
        <f aca="false">IF(B491="","",DATE(YEAR(B491),MONTH(B491),1))</f>
        <v/>
      </c>
    </row>
    <row r="492" customFormat="false" ht="15" hidden="false" customHeight="false" outlineLevel="0" collapsed="false">
      <c r="B492" s="27"/>
      <c r="C492" s="25"/>
      <c r="D492" s="25"/>
      <c r="E492" s="28"/>
      <c r="F492" s="25"/>
      <c r="G492" s="25"/>
      <c r="I492" s="24" t="str">
        <f aca="false">IF(D492="","",IFERROR(INDEX(Categorias!$C$6:$C$45,MATCH(D492,Categorias!$B$6:$B$45,0)),"Sem grupo"))</f>
        <v/>
      </c>
      <c r="J492" s="29" t="str">
        <f aca="false">IF(B492="","",DATE(YEAR(B492),MONTH(B492),1))</f>
        <v/>
      </c>
    </row>
    <row r="493" customFormat="false" ht="15" hidden="false" customHeight="false" outlineLevel="0" collapsed="false">
      <c r="B493" s="27"/>
      <c r="C493" s="25"/>
      <c r="D493" s="25"/>
      <c r="E493" s="28"/>
      <c r="F493" s="25"/>
      <c r="G493" s="25"/>
      <c r="I493" s="24" t="str">
        <f aca="false">IF(D493="","",IFERROR(INDEX(Categorias!$C$6:$C$45,MATCH(D493,Categorias!$B$6:$B$45,0)),"Sem grupo"))</f>
        <v/>
      </c>
      <c r="J493" s="29" t="str">
        <f aca="false">IF(B493="","",DATE(YEAR(B493),MONTH(B493),1))</f>
        <v/>
      </c>
    </row>
    <row r="494" customFormat="false" ht="15" hidden="false" customHeight="false" outlineLevel="0" collapsed="false">
      <c r="B494" s="27"/>
      <c r="C494" s="25"/>
      <c r="D494" s="25"/>
      <c r="E494" s="28"/>
      <c r="F494" s="25"/>
      <c r="G494" s="25"/>
      <c r="I494" s="24" t="str">
        <f aca="false">IF(D494="","",IFERROR(INDEX(Categorias!$C$6:$C$45,MATCH(D494,Categorias!$B$6:$B$45,0)),"Sem grupo"))</f>
        <v/>
      </c>
      <c r="J494" s="29" t="str">
        <f aca="false">IF(B494="","",DATE(YEAR(B494),MONTH(B494),1))</f>
        <v/>
      </c>
    </row>
    <row r="495" customFormat="false" ht="15" hidden="false" customHeight="false" outlineLevel="0" collapsed="false">
      <c r="B495" s="27"/>
      <c r="C495" s="25"/>
      <c r="D495" s="25"/>
      <c r="E495" s="28"/>
      <c r="F495" s="25"/>
      <c r="G495" s="25"/>
      <c r="I495" s="24" t="str">
        <f aca="false">IF(D495="","",IFERROR(INDEX(Categorias!$C$6:$C$45,MATCH(D495,Categorias!$B$6:$B$45,0)),"Sem grupo"))</f>
        <v/>
      </c>
      <c r="J495" s="29" t="str">
        <f aca="false">IF(B495="","",DATE(YEAR(B495),MONTH(B495),1))</f>
        <v/>
      </c>
    </row>
    <row r="496" customFormat="false" ht="15" hidden="false" customHeight="false" outlineLevel="0" collapsed="false">
      <c r="B496" s="27"/>
      <c r="C496" s="25"/>
      <c r="D496" s="25"/>
      <c r="E496" s="28"/>
      <c r="F496" s="25"/>
      <c r="G496" s="25"/>
      <c r="I496" s="24" t="str">
        <f aca="false">IF(D496="","",IFERROR(INDEX(Categorias!$C$6:$C$45,MATCH(D496,Categorias!$B$6:$B$45,0)),"Sem grupo"))</f>
        <v/>
      </c>
      <c r="J496" s="29" t="str">
        <f aca="false">IF(B496="","",DATE(YEAR(B496),MONTH(B496),1))</f>
        <v/>
      </c>
    </row>
    <row r="497" customFormat="false" ht="15" hidden="false" customHeight="false" outlineLevel="0" collapsed="false">
      <c r="B497" s="27"/>
      <c r="C497" s="25"/>
      <c r="D497" s="25"/>
      <c r="E497" s="28"/>
      <c r="F497" s="25"/>
      <c r="G497" s="25"/>
      <c r="I497" s="24" t="str">
        <f aca="false">IF(D497="","",IFERROR(INDEX(Categorias!$C$6:$C$45,MATCH(D497,Categorias!$B$6:$B$45,0)),"Sem grupo"))</f>
        <v/>
      </c>
      <c r="J497" s="29" t="str">
        <f aca="false">IF(B497="","",DATE(YEAR(B497),MONTH(B497),1))</f>
        <v/>
      </c>
    </row>
    <row r="498" customFormat="false" ht="15" hidden="false" customHeight="false" outlineLevel="0" collapsed="false">
      <c r="B498" s="27"/>
      <c r="C498" s="25"/>
      <c r="D498" s="25"/>
      <c r="E498" s="28"/>
      <c r="F498" s="25"/>
      <c r="G498" s="25"/>
      <c r="I498" s="24" t="str">
        <f aca="false">IF(D498="","",IFERROR(INDEX(Categorias!$C$6:$C$45,MATCH(D498,Categorias!$B$6:$B$45,0)),"Sem grupo"))</f>
        <v/>
      </c>
      <c r="J498" s="29" t="str">
        <f aca="false">IF(B498="","",DATE(YEAR(B498),MONTH(B498),1))</f>
        <v/>
      </c>
    </row>
    <row r="499" customFormat="false" ht="15" hidden="false" customHeight="false" outlineLevel="0" collapsed="false">
      <c r="B499" s="27"/>
      <c r="C499" s="25"/>
      <c r="D499" s="25"/>
      <c r="E499" s="28"/>
      <c r="F499" s="25"/>
      <c r="G499" s="25"/>
      <c r="I499" s="24" t="str">
        <f aca="false">IF(D499="","",IFERROR(INDEX(Categorias!$C$6:$C$45,MATCH(D499,Categorias!$B$6:$B$45,0)),"Sem grupo"))</f>
        <v/>
      </c>
      <c r="J499" s="29" t="str">
        <f aca="false">IF(B499="","",DATE(YEAR(B499),MONTH(B499),1))</f>
        <v/>
      </c>
    </row>
    <row r="500" customFormat="false" ht="15" hidden="false" customHeight="false" outlineLevel="0" collapsed="false">
      <c r="B500" s="27"/>
      <c r="C500" s="25"/>
      <c r="D500" s="25"/>
      <c r="E500" s="28"/>
      <c r="F500" s="25"/>
      <c r="G500" s="25"/>
      <c r="I500" s="24" t="str">
        <f aca="false">IF(D500="","",IFERROR(INDEX(Categorias!$C$6:$C$45,MATCH(D500,Categorias!$B$6:$B$45,0)),"Sem grupo"))</f>
        <v/>
      </c>
      <c r="J500" s="29" t="str">
        <f aca="false">IF(B500="","",DATE(YEAR(B500),MONTH(B500),1))</f>
        <v/>
      </c>
    </row>
    <row r="501" customFormat="false" ht="15" hidden="false" customHeight="false" outlineLevel="0" collapsed="false">
      <c r="B501" s="27"/>
      <c r="C501" s="25"/>
      <c r="D501" s="25"/>
      <c r="E501" s="28"/>
      <c r="F501" s="25"/>
      <c r="G501" s="25"/>
      <c r="I501" s="24" t="str">
        <f aca="false">IF(D501="","",IFERROR(INDEX(Categorias!$C$6:$C$45,MATCH(D501,Categorias!$B$6:$B$45,0)),"Sem grupo"))</f>
        <v/>
      </c>
      <c r="J501" s="29" t="str">
        <f aca="false">IF(B501="","",DATE(YEAR(B501),MONTH(B501),1))</f>
        <v/>
      </c>
    </row>
    <row r="502" customFormat="false" ht="15" hidden="false" customHeight="false" outlineLevel="0" collapsed="false">
      <c r="B502" s="27"/>
      <c r="C502" s="25"/>
      <c r="D502" s="25"/>
      <c r="E502" s="28"/>
      <c r="F502" s="25"/>
      <c r="G502" s="25"/>
      <c r="I502" s="24" t="str">
        <f aca="false">IF(D502="","",IFERROR(INDEX(Categorias!$C$6:$C$45,MATCH(D502,Categorias!$B$6:$B$45,0)),"Sem grupo"))</f>
        <v/>
      </c>
      <c r="J502" s="29" t="str">
        <f aca="false">IF(B502="","",DATE(YEAR(B502),MONTH(B502),1))</f>
        <v/>
      </c>
    </row>
    <row r="503" customFormat="false" ht="15" hidden="false" customHeight="false" outlineLevel="0" collapsed="false">
      <c r="B503" s="27"/>
      <c r="C503" s="25"/>
      <c r="D503" s="25"/>
      <c r="E503" s="28"/>
      <c r="F503" s="25"/>
      <c r="G503" s="25"/>
      <c r="I503" s="24" t="str">
        <f aca="false">IF(D503="","",IFERROR(INDEX(Categorias!$C$6:$C$45,MATCH(D503,Categorias!$B$6:$B$45,0)),"Sem grupo"))</f>
        <v/>
      </c>
      <c r="J503" s="29" t="str">
        <f aca="false">IF(B503="","",DATE(YEAR(B503),MONTH(B503),1))</f>
        <v/>
      </c>
    </row>
    <row r="504" customFormat="false" ht="15" hidden="false" customHeight="false" outlineLevel="0" collapsed="false">
      <c r="B504" s="27"/>
      <c r="C504" s="25"/>
      <c r="D504" s="25"/>
      <c r="E504" s="28"/>
      <c r="F504" s="25"/>
      <c r="G504" s="25"/>
      <c r="I504" s="24" t="str">
        <f aca="false">IF(D504="","",IFERROR(INDEX(Categorias!$C$6:$C$45,MATCH(D504,Categorias!$B$6:$B$45,0)),"Sem grupo"))</f>
        <v/>
      </c>
      <c r="J504" s="29" t="str">
        <f aca="false">IF(B504="","",DATE(YEAR(B504),MONTH(B504),1))</f>
        <v/>
      </c>
    </row>
    <row r="505" customFormat="false" ht="15" hidden="false" customHeight="false" outlineLevel="0" collapsed="false">
      <c r="B505" s="27"/>
      <c r="C505" s="25"/>
      <c r="D505" s="25"/>
      <c r="E505" s="28"/>
      <c r="F505" s="25"/>
      <c r="G505" s="25"/>
      <c r="I505" s="24" t="str">
        <f aca="false">IF(D505="","",IFERROR(INDEX(Categorias!$C$6:$C$45,MATCH(D505,Categorias!$B$6:$B$45,0)),"Sem grupo"))</f>
        <v/>
      </c>
      <c r="J505" s="29" t="str">
        <f aca="false">IF(B505="","",DATE(YEAR(B505),MONTH(B505),1))</f>
        <v/>
      </c>
    </row>
    <row r="506" customFormat="false" ht="15" hidden="false" customHeight="false" outlineLevel="0" collapsed="false">
      <c r="B506" s="27"/>
      <c r="C506" s="25"/>
      <c r="D506" s="25"/>
      <c r="E506" s="28"/>
      <c r="F506" s="25"/>
      <c r="G506" s="25"/>
      <c r="I506" s="24" t="str">
        <f aca="false">IF(D506="","",IFERROR(INDEX(Categorias!$C$6:$C$45,MATCH(D506,Categorias!$B$6:$B$45,0)),"Sem grupo"))</f>
        <v/>
      </c>
      <c r="J506" s="29" t="str">
        <f aca="false">IF(B506="","",DATE(YEAR(B506),MONTH(B506),1))</f>
        <v/>
      </c>
    </row>
    <row r="507" customFormat="false" ht="15" hidden="false" customHeight="false" outlineLevel="0" collapsed="false">
      <c r="B507" s="27"/>
      <c r="C507" s="25"/>
      <c r="D507" s="25"/>
      <c r="E507" s="28"/>
      <c r="F507" s="25"/>
      <c r="G507" s="25"/>
      <c r="I507" s="24" t="str">
        <f aca="false">IF(D507="","",IFERROR(INDEX(Categorias!$C$6:$C$45,MATCH(D507,Categorias!$B$6:$B$45,0)),"Sem grupo"))</f>
        <v/>
      </c>
      <c r="J507" s="29" t="str">
        <f aca="false">IF(B507="","",DATE(YEAR(B507),MONTH(B507),1))</f>
        <v/>
      </c>
    </row>
    <row r="508" customFormat="false" ht="15" hidden="false" customHeight="false" outlineLevel="0" collapsed="false">
      <c r="B508" s="27"/>
      <c r="C508" s="25"/>
      <c r="D508" s="25"/>
      <c r="E508" s="28"/>
      <c r="F508" s="25"/>
      <c r="G508" s="25"/>
      <c r="I508" s="24" t="str">
        <f aca="false">IF(D508="","",IFERROR(INDEX(Categorias!$C$6:$C$45,MATCH(D508,Categorias!$B$6:$B$45,0)),"Sem grupo"))</f>
        <v/>
      </c>
      <c r="J508" s="29" t="str">
        <f aca="false">IF(B508="","",DATE(YEAR(B508),MONTH(B508),1))</f>
        <v/>
      </c>
    </row>
    <row r="509" customFormat="false" ht="15" hidden="false" customHeight="false" outlineLevel="0" collapsed="false">
      <c r="B509" s="27"/>
      <c r="C509" s="25"/>
      <c r="D509" s="25"/>
      <c r="E509" s="28"/>
      <c r="F509" s="25"/>
      <c r="G509" s="25"/>
      <c r="I509" s="24" t="str">
        <f aca="false">IF(D509="","",IFERROR(INDEX(Categorias!$C$6:$C$45,MATCH(D509,Categorias!$B$6:$B$45,0)),"Sem grupo"))</f>
        <v/>
      </c>
      <c r="J509" s="29" t="str">
        <f aca="false">IF(B509="","",DATE(YEAR(B509),MONTH(B509),1))</f>
        <v/>
      </c>
    </row>
    <row r="510" customFormat="false" ht="15" hidden="false" customHeight="false" outlineLevel="0" collapsed="false">
      <c r="B510" s="27"/>
      <c r="C510" s="25"/>
      <c r="D510" s="25"/>
      <c r="E510" s="28"/>
      <c r="F510" s="25"/>
      <c r="G510" s="25"/>
      <c r="I510" s="24" t="str">
        <f aca="false">IF(D510="","",IFERROR(INDEX(Categorias!$C$6:$C$45,MATCH(D510,Categorias!$B$6:$B$45,0)),"Sem grupo"))</f>
        <v/>
      </c>
      <c r="J510" s="29" t="str">
        <f aca="false">IF(B510="","",DATE(YEAR(B510),MONTH(B510),1))</f>
        <v/>
      </c>
    </row>
    <row r="511" customFormat="false" ht="15" hidden="false" customHeight="false" outlineLevel="0" collapsed="false">
      <c r="B511" s="27"/>
      <c r="C511" s="25"/>
      <c r="D511" s="25"/>
      <c r="E511" s="28"/>
      <c r="F511" s="25"/>
      <c r="G511" s="25"/>
      <c r="I511" s="24" t="str">
        <f aca="false">IF(D511="","",IFERROR(INDEX(Categorias!$C$6:$C$45,MATCH(D511,Categorias!$B$6:$B$45,0)),"Sem grupo"))</f>
        <v/>
      </c>
      <c r="J511" s="29" t="str">
        <f aca="false">IF(B511="","",DATE(YEAR(B511),MONTH(B511),1))</f>
        <v/>
      </c>
    </row>
    <row r="512" customFormat="false" ht="15" hidden="false" customHeight="false" outlineLevel="0" collapsed="false">
      <c r="B512" s="27"/>
      <c r="C512" s="25"/>
      <c r="D512" s="25"/>
      <c r="E512" s="28"/>
      <c r="F512" s="25"/>
      <c r="G512" s="25"/>
      <c r="I512" s="24" t="str">
        <f aca="false">IF(D512="","",IFERROR(INDEX(Categorias!$C$6:$C$45,MATCH(D512,Categorias!$B$6:$B$45,0)),"Sem grupo"))</f>
        <v/>
      </c>
      <c r="J512" s="29" t="str">
        <f aca="false">IF(B512="","",DATE(YEAR(B512),MONTH(B512),1))</f>
        <v/>
      </c>
    </row>
    <row r="513" customFormat="false" ht="15" hidden="false" customHeight="false" outlineLevel="0" collapsed="false">
      <c r="B513" s="27"/>
      <c r="C513" s="25"/>
      <c r="D513" s="25"/>
      <c r="E513" s="28"/>
      <c r="F513" s="25"/>
      <c r="G513" s="25"/>
      <c r="I513" s="24" t="str">
        <f aca="false">IF(D513="","",IFERROR(INDEX(Categorias!$C$6:$C$45,MATCH(D513,Categorias!$B$6:$B$45,0)),"Sem grupo"))</f>
        <v/>
      </c>
      <c r="J513" s="29" t="str">
        <f aca="false">IF(B513="","",DATE(YEAR(B513),MONTH(B513),1))</f>
        <v/>
      </c>
    </row>
    <row r="514" customFormat="false" ht="15" hidden="false" customHeight="false" outlineLevel="0" collapsed="false">
      <c r="B514" s="27"/>
      <c r="C514" s="25"/>
      <c r="D514" s="25"/>
      <c r="E514" s="28"/>
      <c r="F514" s="25"/>
      <c r="G514" s="25"/>
      <c r="I514" s="24" t="str">
        <f aca="false">IF(D514="","",IFERROR(INDEX(Categorias!$C$6:$C$45,MATCH(D514,Categorias!$B$6:$B$45,0)),"Sem grupo"))</f>
        <v/>
      </c>
      <c r="J514" s="29" t="str">
        <f aca="false">IF(B514="","",DATE(YEAR(B514),MONTH(B514),1))</f>
        <v/>
      </c>
    </row>
    <row r="515" customFormat="false" ht="15" hidden="false" customHeight="false" outlineLevel="0" collapsed="false">
      <c r="B515" s="27"/>
      <c r="C515" s="25"/>
      <c r="D515" s="25"/>
      <c r="E515" s="28"/>
      <c r="F515" s="25"/>
      <c r="G515" s="25"/>
      <c r="I515" s="24" t="str">
        <f aca="false">IF(D515="","",IFERROR(INDEX(Categorias!$C$6:$C$45,MATCH(D515,Categorias!$B$6:$B$45,0)),"Sem grupo"))</f>
        <v/>
      </c>
      <c r="J515" s="29" t="str">
        <f aca="false">IF(B515="","",DATE(YEAR(B515),MONTH(B515),1))</f>
        <v/>
      </c>
    </row>
    <row r="516" customFormat="false" ht="15" hidden="false" customHeight="false" outlineLevel="0" collapsed="false">
      <c r="B516" s="27"/>
      <c r="C516" s="25"/>
      <c r="D516" s="25"/>
      <c r="E516" s="28"/>
      <c r="F516" s="25"/>
      <c r="G516" s="25"/>
      <c r="I516" s="24" t="str">
        <f aca="false">IF(D516="","",IFERROR(INDEX(Categorias!$C$6:$C$45,MATCH(D516,Categorias!$B$6:$B$45,0)),"Sem grupo"))</f>
        <v/>
      </c>
      <c r="J516" s="29" t="str">
        <f aca="false">IF(B516="","",DATE(YEAR(B516),MONTH(B516),1))</f>
        <v/>
      </c>
    </row>
    <row r="517" customFormat="false" ht="15" hidden="false" customHeight="false" outlineLevel="0" collapsed="false">
      <c r="B517" s="27"/>
      <c r="C517" s="25"/>
      <c r="D517" s="25"/>
      <c r="E517" s="28"/>
      <c r="F517" s="25"/>
      <c r="G517" s="25"/>
      <c r="I517" s="24" t="str">
        <f aca="false">IF(D517="","",IFERROR(INDEX(Categorias!$C$6:$C$45,MATCH(D517,Categorias!$B$6:$B$45,0)),"Sem grupo"))</f>
        <v/>
      </c>
      <c r="J517" s="29" t="str">
        <f aca="false">IF(B517="","",DATE(YEAR(B517),MONTH(B517),1))</f>
        <v/>
      </c>
    </row>
    <row r="518" customFormat="false" ht="15" hidden="false" customHeight="false" outlineLevel="0" collapsed="false">
      <c r="B518" s="27"/>
      <c r="C518" s="25"/>
      <c r="D518" s="25"/>
      <c r="E518" s="28"/>
      <c r="F518" s="25"/>
      <c r="G518" s="25"/>
      <c r="I518" s="24" t="str">
        <f aca="false">IF(D518="","",IFERROR(INDEX(Categorias!$C$6:$C$45,MATCH(D518,Categorias!$B$6:$B$45,0)),"Sem grupo"))</f>
        <v/>
      </c>
      <c r="J518" s="29" t="str">
        <f aca="false">IF(B518="","",DATE(YEAR(B518),MONTH(B518),1))</f>
        <v/>
      </c>
    </row>
    <row r="519" customFormat="false" ht="15" hidden="false" customHeight="false" outlineLevel="0" collapsed="false">
      <c r="B519" s="27"/>
      <c r="C519" s="25"/>
      <c r="D519" s="25"/>
      <c r="E519" s="28"/>
      <c r="F519" s="25"/>
      <c r="G519" s="25"/>
      <c r="I519" s="24" t="str">
        <f aca="false">IF(D519="","",IFERROR(INDEX(Categorias!$C$6:$C$45,MATCH(D519,Categorias!$B$6:$B$45,0)),"Sem grupo"))</f>
        <v/>
      </c>
      <c r="J519" s="29" t="str">
        <f aca="false">IF(B519="","",DATE(YEAR(B519),MONTH(B519),1))</f>
        <v/>
      </c>
    </row>
    <row r="520" customFormat="false" ht="15" hidden="false" customHeight="false" outlineLevel="0" collapsed="false">
      <c r="B520" s="27"/>
      <c r="C520" s="25"/>
      <c r="D520" s="25"/>
      <c r="E520" s="28"/>
      <c r="F520" s="25"/>
      <c r="G520" s="25"/>
      <c r="I520" s="24" t="str">
        <f aca="false">IF(D520="","",IFERROR(INDEX(Categorias!$C$6:$C$45,MATCH(D520,Categorias!$B$6:$B$45,0)),"Sem grupo"))</f>
        <v/>
      </c>
      <c r="J520" s="29" t="str">
        <f aca="false">IF(B520="","",DATE(YEAR(B520),MONTH(B520),1))</f>
        <v/>
      </c>
    </row>
    <row r="521" customFormat="false" ht="15" hidden="false" customHeight="false" outlineLevel="0" collapsed="false">
      <c r="B521" s="27"/>
      <c r="C521" s="25"/>
      <c r="D521" s="25"/>
      <c r="E521" s="28"/>
      <c r="F521" s="25"/>
      <c r="G521" s="25"/>
      <c r="I521" s="24" t="str">
        <f aca="false">IF(D521="","",IFERROR(INDEX(Categorias!$C$6:$C$45,MATCH(D521,Categorias!$B$6:$B$45,0)),"Sem grupo"))</f>
        <v/>
      </c>
      <c r="J521" s="29" t="str">
        <f aca="false">IF(B521="","",DATE(YEAR(B521),MONTH(B521),1))</f>
        <v/>
      </c>
    </row>
    <row r="522" customFormat="false" ht="15" hidden="false" customHeight="false" outlineLevel="0" collapsed="false">
      <c r="B522" s="27"/>
      <c r="C522" s="25"/>
      <c r="D522" s="25"/>
      <c r="E522" s="28"/>
      <c r="F522" s="25"/>
      <c r="G522" s="25"/>
      <c r="I522" s="24" t="str">
        <f aca="false">IF(D522="","",IFERROR(INDEX(Categorias!$C$6:$C$45,MATCH(D522,Categorias!$B$6:$B$45,0)),"Sem grupo"))</f>
        <v/>
      </c>
      <c r="J522" s="29" t="str">
        <f aca="false">IF(B522="","",DATE(YEAR(B522),MONTH(B522),1))</f>
        <v/>
      </c>
    </row>
    <row r="523" customFormat="false" ht="15" hidden="false" customHeight="false" outlineLevel="0" collapsed="false">
      <c r="B523" s="27"/>
      <c r="C523" s="25"/>
      <c r="D523" s="25"/>
      <c r="E523" s="28"/>
      <c r="F523" s="25"/>
      <c r="G523" s="25"/>
      <c r="I523" s="24" t="str">
        <f aca="false">IF(D523="","",IFERROR(INDEX(Categorias!$C$6:$C$45,MATCH(D523,Categorias!$B$6:$B$45,0)),"Sem grupo"))</f>
        <v/>
      </c>
      <c r="J523" s="29" t="str">
        <f aca="false">IF(B523="","",DATE(YEAR(B523),MONTH(B523),1))</f>
        <v/>
      </c>
    </row>
    <row r="524" customFormat="false" ht="15" hidden="false" customHeight="false" outlineLevel="0" collapsed="false">
      <c r="B524" s="27"/>
      <c r="C524" s="25"/>
      <c r="D524" s="25"/>
      <c r="E524" s="28"/>
      <c r="F524" s="25"/>
      <c r="G524" s="25"/>
      <c r="I524" s="24" t="str">
        <f aca="false">IF(D524="","",IFERROR(INDEX(Categorias!$C$6:$C$45,MATCH(D524,Categorias!$B$6:$B$45,0)),"Sem grupo"))</f>
        <v/>
      </c>
      <c r="J524" s="29" t="str">
        <f aca="false">IF(B524="","",DATE(YEAR(B524),MONTH(B524),1))</f>
        <v/>
      </c>
    </row>
    <row r="525" customFormat="false" ht="15" hidden="false" customHeight="false" outlineLevel="0" collapsed="false">
      <c r="B525" s="27"/>
      <c r="C525" s="25"/>
      <c r="D525" s="25"/>
      <c r="E525" s="28"/>
      <c r="F525" s="25"/>
      <c r="G525" s="25"/>
      <c r="I525" s="24" t="str">
        <f aca="false">IF(D525="","",IFERROR(INDEX(Categorias!$C$6:$C$45,MATCH(D525,Categorias!$B$6:$B$45,0)),"Sem grupo"))</f>
        <v/>
      </c>
      <c r="J525" s="29" t="str">
        <f aca="false">IF(B525="","",DATE(YEAR(B525),MONTH(B525),1))</f>
        <v/>
      </c>
    </row>
    <row r="526" customFormat="false" ht="15" hidden="false" customHeight="false" outlineLevel="0" collapsed="false">
      <c r="B526" s="27"/>
      <c r="C526" s="25"/>
      <c r="D526" s="25"/>
      <c r="E526" s="28"/>
      <c r="F526" s="25"/>
      <c r="G526" s="25"/>
      <c r="I526" s="24" t="str">
        <f aca="false">IF(D526="","",IFERROR(INDEX(Categorias!$C$6:$C$45,MATCH(D526,Categorias!$B$6:$B$45,0)),"Sem grupo"))</f>
        <v/>
      </c>
      <c r="J526" s="29" t="str">
        <f aca="false">IF(B526="","",DATE(YEAR(B526),MONTH(B526),1))</f>
        <v/>
      </c>
    </row>
    <row r="527" customFormat="false" ht="15" hidden="false" customHeight="false" outlineLevel="0" collapsed="false">
      <c r="B527" s="27"/>
      <c r="C527" s="25"/>
      <c r="D527" s="25"/>
      <c r="E527" s="28"/>
      <c r="F527" s="25"/>
      <c r="G527" s="25"/>
      <c r="I527" s="24" t="str">
        <f aca="false">IF(D527="","",IFERROR(INDEX(Categorias!$C$6:$C$45,MATCH(D527,Categorias!$B$6:$B$45,0)),"Sem grupo"))</f>
        <v/>
      </c>
      <c r="J527" s="29" t="str">
        <f aca="false">IF(B527="","",DATE(YEAR(B527),MONTH(B527),1))</f>
        <v/>
      </c>
    </row>
    <row r="528" customFormat="false" ht="15" hidden="false" customHeight="false" outlineLevel="0" collapsed="false">
      <c r="B528" s="27"/>
      <c r="C528" s="25"/>
      <c r="D528" s="25"/>
      <c r="E528" s="28"/>
      <c r="F528" s="25"/>
      <c r="G528" s="25"/>
      <c r="I528" s="24" t="str">
        <f aca="false">IF(D528="","",IFERROR(INDEX(Categorias!$C$6:$C$45,MATCH(D528,Categorias!$B$6:$B$45,0)),"Sem grupo"))</f>
        <v/>
      </c>
      <c r="J528" s="29" t="str">
        <f aca="false">IF(B528="","",DATE(YEAR(B528),MONTH(B528),1))</f>
        <v/>
      </c>
    </row>
    <row r="529" customFormat="false" ht="15" hidden="false" customHeight="false" outlineLevel="0" collapsed="false">
      <c r="B529" s="27"/>
      <c r="C529" s="25"/>
      <c r="D529" s="25"/>
      <c r="E529" s="28"/>
      <c r="F529" s="25"/>
      <c r="G529" s="25"/>
      <c r="I529" s="24" t="str">
        <f aca="false">IF(D529="","",IFERROR(INDEX(Categorias!$C$6:$C$45,MATCH(D529,Categorias!$B$6:$B$45,0)),"Sem grupo"))</f>
        <v/>
      </c>
      <c r="J529" s="29" t="str">
        <f aca="false">IF(B529="","",DATE(YEAR(B529),MONTH(B529),1))</f>
        <v/>
      </c>
    </row>
    <row r="530" customFormat="false" ht="15" hidden="false" customHeight="false" outlineLevel="0" collapsed="false">
      <c r="B530" s="27"/>
      <c r="C530" s="25"/>
      <c r="D530" s="25"/>
      <c r="E530" s="28"/>
      <c r="F530" s="25"/>
      <c r="G530" s="25"/>
      <c r="I530" s="24" t="str">
        <f aca="false">IF(D530="","",IFERROR(INDEX(Categorias!$C$6:$C$45,MATCH(D530,Categorias!$B$6:$B$45,0)),"Sem grupo"))</f>
        <v/>
      </c>
      <c r="J530" s="29" t="str">
        <f aca="false">IF(B530="","",DATE(YEAR(B530),MONTH(B530),1))</f>
        <v/>
      </c>
    </row>
    <row r="531" customFormat="false" ht="15" hidden="false" customHeight="false" outlineLevel="0" collapsed="false">
      <c r="B531" s="27"/>
      <c r="C531" s="25"/>
      <c r="D531" s="25"/>
      <c r="E531" s="28"/>
      <c r="F531" s="25"/>
      <c r="G531" s="25"/>
      <c r="I531" s="24" t="str">
        <f aca="false">IF(D531="","",IFERROR(INDEX(Categorias!$C$6:$C$45,MATCH(D531,Categorias!$B$6:$B$45,0)),"Sem grupo"))</f>
        <v/>
      </c>
      <c r="J531" s="29" t="str">
        <f aca="false">IF(B531="","",DATE(YEAR(B531),MONTH(B531),1))</f>
        <v/>
      </c>
    </row>
    <row r="532" customFormat="false" ht="15" hidden="false" customHeight="false" outlineLevel="0" collapsed="false">
      <c r="B532" s="27"/>
      <c r="C532" s="25"/>
      <c r="D532" s="25"/>
      <c r="E532" s="28"/>
      <c r="F532" s="25"/>
      <c r="G532" s="25"/>
      <c r="I532" s="24" t="str">
        <f aca="false">IF(D532="","",IFERROR(INDEX(Categorias!$C$6:$C$45,MATCH(D532,Categorias!$B$6:$B$45,0)),"Sem grupo"))</f>
        <v/>
      </c>
      <c r="J532" s="29" t="str">
        <f aca="false">IF(B532="","",DATE(YEAR(B532),MONTH(B532),1))</f>
        <v/>
      </c>
    </row>
    <row r="533" customFormat="false" ht="15" hidden="false" customHeight="false" outlineLevel="0" collapsed="false">
      <c r="B533" s="27"/>
      <c r="C533" s="25"/>
      <c r="D533" s="25"/>
      <c r="E533" s="28"/>
      <c r="F533" s="25"/>
      <c r="G533" s="25"/>
      <c r="I533" s="24" t="str">
        <f aca="false">IF(D533="","",IFERROR(INDEX(Categorias!$C$6:$C$45,MATCH(D533,Categorias!$B$6:$B$45,0)),"Sem grupo"))</f>
        <v/>
      </c>
      <c r="J533" s="29" t="str">
        <f aca="false">IF(B533="","",DATE(YEAR(B533),MONTH(B533),1))</f>
        <v/>
      </c>
    </row>
    <row r="534" customFormat="false" ht="15" hidden="false" customHeight="false" outlineLevel="0" collapsed="false">
      <c r="B534" s="27"/>
      <c r="C534" s="25"/>
      <c r="D534" s="25"/>
      <c r="E534" s="28"/>
      <c r="F534" s="25"/>
      <c r="G534" s="25"/>
      <c r="I534" s="24" t="str">
        <f aca="false">IF(D534="","",IFERROR(INDEX(Categorias!$C$6:$C$45,MATCH(D534,Categorias!$B$6:$B$45,0)),"Sem grupo"))</f>
        <v/>
      </c>
      <c r="J534" s="29" t="str">
        <f aca="false">IF(B534="","",DATE(YEAR(B534),MONTH(B534),1))</f>
        <v/>
      </c>
    </row>
    <row r="535" customFormat="false" ht="15" hidden="false" customHeight="false" outlineLevel="0" collapsed="false">
      <c r="B535" s="27"/>
      <c r="C535" s="25"/>
      <c r="D535" s="25"/>
      <c r="E535" s="28"/>
      <c r="F535" s="25"/>
      <c r="G535" s="25"/>
      <c r="I535" s="24" t="str">
        <f aca="false">IF(D535="","",IFERROR(INDEX(Categorias!$C$6:$C$45,MATCH(D535,Categorias!$B$6:$B$45,0)),"Sem grupo"))</f>
        <v/>
      </c>
      <c r="J535" s="29" t="str">
        <f aca="false">IF(B535="","",DATE(YEAR(B535),MONTH(B535),1))</f>
        <v/>
      </c>
    </row>
    <row r="536" customFormat="false" ht="15" hidden="false" customHeight="false" outlineLevel="0" collapsed="false">
      <c r="B536" s="27"/>
      <c r="C536" s="25"/>
      <c r="D536" s="25"/>
      <c r="E536" s="28"/>
      <c r="F536" s="25"/>
      <c r="G536" s="25"/>
      <c r="I536" s="24" t="str">
        <f aca="false">IF(D536="","",IFERROR(INDEX(Categorias!$C$6:$C$45,MATCH(D536,Categorias!$B$6:$B$45,0)),"Sem grupo"))</f>
        <v/>
      </c>
      <c r="J536" s="29" t="str">
        <f aca="false">IF(B536="","",DATE(YEAR(B536),MONTH(B536),1))</f>
        <v/>
      </c>
    </row>
    <row r="537" customFormat="false" ht="15" hidden="false" customHeight="false" outlineLevel="0" collapsed="false">
      <c r="B537" s="27"/>
      <c r="C537" s="25"/>
      <c r="D537" s="25"/>
      <c r="E537" s="28"/>
      <c r="F537" s="25"/>
      <c r="G537" s="25"/>
      <c r="I537" s="24" t="str">
        <f aca="false">IF(D537="","",IFERROR(INDEX(Categorias!$C$6:$C$45,MATCH(D537,Categorias!$B$6:$B$45,0)),"Sem grupo"))</f>
        <v/>
      </c>
      <c r="J537" s="29" t="str">
        <f aca="false">IF(B537="","",DATE(YEAR(B537),MONTH(B537),1))</f>
        <v/>
      </c>
    </row>
    <row r="538" customFormat="false" ht="15" hidden="false" customHeight="false" outlineLevel="0" collapsed="false">
      <c r="B538" s="27"/>
      <c r="C538" s="25"/>
      <c r="D538" s="25"/>
      <c r="E538" s="28"/>
      <c r="F538" s="25"/>
      <c r="G538" s="25"/>
      <c r="I538" s="24" t="str">
        <f aca="false">IF(D538="","",IFERROR(INDEX(Categorias!$C$6:$C$45,MATCH(D538,Categorias!$B$6:$B$45,0)),"Sem grupo"))</f>
        <v/>
      </c>
      <c r="J538" s="29" t="str">
        <f aca="false">IF(B538="","",DATE(YEAR(B538),MONTH(B538),1))</f>
        <v/>
      </c>
    </row>
    <row r="539" customFormat="false" ht="15" hidden="false" customHeight="false" outlineLevel="0" collapsed="false">
      <c r="B539" s="27"/>
      <c r="C539" s="25"/>
      <c r="D539" s="25"/>
      <c r="E539" s="28"/>
      <c r="F539" s="25"/>
      <c r="G539" s="25"/>
      <c r="I539" s="24" t="str">
        <f aca="false">IF(D539="","",IFERROR(INDEX(Categorias!$C$6:$C$45,MATCH(D539,Categorias!$B$6:$B$45,0)),"Sem grupo"))</f>
        <v/>
      </c>
      <c r="J539" s="29" t="str">
        <f aca="false">IF(B539="","",DATE(YEAR(B539),MONTH(B539),1))</f>
        <v/>
      </c>
    </row>
    <row r="540" customFormat="false" ht="15" hidden="false" customHeight="false" outlineLevel="0" collapsed="false">
      <c r="B540" s="27"/>
      <c r="C540" s="25"/>
      <c r="D540" s="25"/>
      <c r="E540" s="28"/>
      <c r="F540" s="25"/>
      <c r="G540" s="25"/>
      <c r="I540" s="24" t="str">
        <f aca="false">IF(D540="","",IFERROR(INDEX(Categorias!$C$6:$C$45,MATCH(D540,Categorias!$B$6:$B$45,0)),"Sem grupo"))</f>
        <v/>
      </c>
      <c r="J540" s="29" t="str">
        <f aca="false">IF(B540="","",DATE(YEAR(B540),MONTH(B540),1))</f>
        <v/>
      </c>
    </row>
    <row r="541" customFormat="false" ht="15" hidden="false" customHeight="false" outlineLevel="0" collapsed="false">
      <c r="B541" s="27"/>
      <c r="C541" s="25"/>
      <c r="D541" s="25"/>
      <c r="E541" s="28"/>
      <c r="F541" s="25"/>
      <c r="G541" s="25"/>
      <c r="I541" s="24" t="str">
        <f aca="false">IF(D541="","",IFERROR(INDEX(Categorias!$C$6:$C$45,MATCH(D541,Categorias!$B$6:$B$45,0)),"Sem grupo"))</f>
        <v/>
      </c>
      <c r="J541" s="29" t="str">
        <f aca="false">IF(B541="","",DATE(YEAR(B541),MONTH(B541),1))</f>
        <v/>
      </c>
    </row>
    <row r="542" customFormat="false" ht="15" hidden="false" customHeight="false" outlineLevel="0" collapsed="false">
      <c r="B542" s="27"/>
      <c r="C542" s="25"/>
      <c r="D542" s="25"/>
      <c r="E542" s="28"/>
      <c r="F542" s="25"/>
      <c r="G542" s="25"/>
      <c r="I542" s="24" t="str">
        <f aca="false">IF(D542="","",IFERROR(INDEX(Categorias!$C$6:$C$45,MATCH(D542,Categorias!$B$6:$B$45,0)),"Sem grupo"))</f>
        <v/>
      </c>
      <c r="J542" s="29" t="str">
        <f aca="false">IF(B542="","",DATE(YEAR(B542),MONTH(B542),1))</f>
        <v/>
      </c>
    </row>
    <row r="543" customFormat="false" ht="15" hidden="false" customHeight="false" outlineLevel="0" collapsed="false">
      <c r="B543" s="27"/>
      <c r="C543" s="25"/>
      <c r="D543" s="25"/>
      <c r="E543" s="28"/>
      <c r="F543" s="25"/>
      <c r="G543" s="25"/>
      <c r="I543" s="24" t="str">
        <f aca="false">IF(D543="","",IFERROR(INDEX(Categorias!$C$6:$C$45,MATCH(D543,Categorias!$B$6:$B$45,0)),"Sem grupo"))</f>
        <v/>
      </c>
      <c r="J543" s="29" t="str">
        <f aca="false">IF(B543="","",DATE(YEAR(B543),MONTH(B543),1))</f>
        <v/>
      </c>
    </row>
    <row r="544" customFormat="false" ht="15" hidden="false" customHeight="false" outlineLevel="0" collapsed="false">
      <c r="B544" s="27"/>
      <c r="C544" s="25"/>
      <c r="D544" s="25"/>
      <c r="E544" s="28"/>
      <c r="F544" s="25"/>
      <c r="G544" s="25"/>
      <c r="I544" s="24" t="str">
        <f aca="false">IF(D544="","",IFERROR(INDEX(Categorias!$C$6:$C$45,MATCH(D544,Categorias!$B$6:$B$45,0)),"Sem grupo"))</f>
        <v/>
      </c>
      <c r="J544" s="29" t="str">
        <f aca="false">IF(B544="","",DATE(YEAR(B544),MONTH(B544),1))</f>
        <v/>
      </c>
    </row>
    <row r="545" customFormat="false" ht="15" hidden="false" customHeight="false" outlineLevel="0" collapsed="false">
      <c r="B545" s="27"/>
      <c r="C545" s="25"/>
      <c r="D545" s="25"/>
      <c r="E545" s="28"/>
      <c r="F545" s="25"/>
      <c r="G545" s="25"/>
      <c r="I545" s="24" t="str">
        <f aca="false">IF(D545="","",IFERROR(INDEX(Categorias!$C$6:$C$45,MATCH(D545,Categorias!$B$6:$B$45,0)),"Sem grupo"))</f>
        <v/>
      </c>
      <c r="J545" s="29" t="str">
        <f aca="false">IF(B545="","",DATE(YEAR(B545),MONTH(B545),1))</f>
        <v/>
      </c>
    </row>
    <row r="546" customFormat="false" ht="15" hidden="false" customHeight="false" outlineLevel="0" collapsed="false">
      <c r="B546" s="27"/>
      <c r="C546" s="25"/>
      <c r="D546" s="25"/>
      <c r="E546" s="28"/>
      <c r="F546" s="25"/>
      <c r="G546" s="25"/>
      <c r="I546" s="24" t="str">
        <f aca="false">IF(D546="","",IFERROR(INDEX(Categorias!$C$6:$C$45,MATCH(D546,Categorias!$B$6:$B$45,0)),"Sem grupo"))</f>
        <v/>
      </c>
      <c r="J546" s="29" t="str">
        <f aca="false">IF(B546="","",DATE(YEAR(B546),MONTH(B546),1))</f>
        <v/>
      </c>
    </row>
    <row r="547" customFormat="false" ht="15" hidden="false" customHeight="false" outlineLevel="0" collapsed="false">
      <c r="B547" s="27"/>
      <c r="C547" s="25"/>
      <c r="D547" s="25"/>
      <c r="E547" s="28"/>
      <c r="F547" s="25"/>
      <c r="G547" s="25"/>
      <c r="I547" s="24" t="str">
        <f aca="false">IF(D547="","",IFERROR(INDEX(Categorias!$C$6:$C$45,MATCH(D547,Categorias!$B$6:$B$45,0)),"Sem grupo"))</f>
        <v/>
      </c>
      <c r="J547" s="29" t="str">
        <f aca="false">IF(B547="","",DATE(YEAR(B547),MONTH(B547),1))</f>
        <v/>
      </c>
    </row>
    <row r="548" customFormat="false" ht="15" hidden="false" customHeight="false" outlineLevel="0" collapsed="false">
      <c r="B548" s="27"/>
      <c r="C548" s="25"/>
      <c r="D548" s="25"/>
      <c r="E548" s="28"/>
      <c r="F548" s="25"/>
      <c r="G548" s="25"/>
      <c r="I548" s="24" t="str">
        <f aca="false">IF(D548="","",IFERROR(INDEX(Categorias!$C$6:$C$45,MATCH(D548,Categorias!$B$6:$B$45,0)),"Sem grupo"))</f>
        <v/>
      </c>
      <c r="J548" s="29" t="str">
        <f aca="false">IF(B548="","",DATE(YEAR(B548),MONTH(B548),1))</f>
        <v/>
      </c>
    </row>
    <row r="549" customFormat="false" ht="15" hidden="false" customHeight="false" outlineLevel="0" collapsed="false">
      <c r="B549" s="27"/>
      <c r="C549" s="25"/>
      <c r="D549" s="25"/>
      <c r="E549" s="28"/>
      <c r="F549" s="25"/>
      <c r="G549" s="25"/>
      <c r="I549" s="24" t="str">
        <f aca="false">IF(D549="","",IFERROR(INDEX(Categorias!$C$6:$C$45,MATCH(D549,Categorias!$B$6:$B$45,0)),"Sem grupo"))</f>
        <v/>
      </c>
      <c r="J549" s="29" t="str">
        <f aca="false">IF(B549="","",DATE(YEAR(B549),MONTH(B549),1))</f>
        <v/>
      </c>
    </row>
    <row r="550" customFormat="false" ht="15" hidden="false" customHeight="false" outlineLevel="0" collapsed="false">
      <c r="B550" s="27"/>
      <c r="C550" s="25"/>
      <c r="D550" s="25"/>
      <c r="E550" s="28"/>
      <c r="F550" s="25"/>
      <c r="G550" s="25"/>
      <c r="I550" s="24" t="str">
        <f aca="false">IF(D550="","",IFERROR(INDEX(Categorias!$C$6:$C$45,MATCH(D550,Categorias!$B$6:$B$45,0)),"Sem grupo"))</f>
        <v/>
      </c>
      <c r="J550" s="29" t="str">
        <f aca="false">IF(B550="","",DATE(YEAR(B550),MONTH(B550),1))</f>
        <v/>
      </c>
    </row>
    <row r="551" customFormat="false" ht="15" hidden="false" customHeight="false" outlineLevel="0" collapsed="false">
      <c r="B551" s="27"/>
      <c r="C551" s="25"/>
      <c r="D551" s="25"/>
      <c r="E551" s="28"/>
      <c r="F551" s="25"/>
      <c r="G551" s="25"/>
      <c r="I551" s="24" t="str">
        <f aca="false">IF(D551="","",IFERROR(INDEX(Categorias!$C$6:$C$45,MATCH(D551,Categorias!$B$6:$B$45,0)),"Sem grupo"))</f>
        <v/>
      </c>
      <c r="J551" s="29" t="str">
        <f aca="false">IF(B551="","",DATE(YEAR(B551),MONTH(B551),1))</f>
        <v/>
      </c>
    </row>
    <row r="552" customFormat="false" ht="15" hidden="false" customHeight="false" outlineLevel="0" collapsed="false">
      <c r="B552" s="27"/>
      <c r="C552" s="25"/>
      <c r="D552" s="25"/>
      <c r="E552" s="28"/>
      <c r="F552" s="25"/>
      <c r="G552" s="25"/>
      <c r="I552" s="24" t="str">
        <f aca="false">IF(D552="","",IFERROR(INDEX(Categorias!$C$6:$C$45,MATCH(D552,Categorias!$B$6:$B$45,0)),"Sem grupo"))</f>
        <v/>
      </c>
      <c r="J552" s="29" t="str">
        <f aca="false">IF(B552="","",DATE(YEAR(B552),MONTH(B552),1))</f>
        <v/>
      </c>
    </row>
    <row r="553" customFormat="false" ht="15" hidden="false" customHeight="false" outlineLevel="0" collapsed="false">
      <c r="B553" s="27"/>
      <c r="C553" s="25"/>
      <c r="D553" s="25"/>
      <c r="E553" s="28"/>
      <c r="F553" s="25"/>
      <c r="G553" s="25"/>
      <c r="I553" s="24" t="str">
        <f aca="false">IF(D553="","",IFERROR(INDEX(Categorias!$C$6:$C$45,MATCH(D553,Categorias!$B$6:$B$45,0)),"Sem grupo"))</f>
        <v/>
      </c>
      <c r="J553" s="29" t="str">
        <f aca="false">IF(B553="","",DATE(YEAR(B553),MONTH(B553),1))</f>
        <v/>
      </c>
    </row>
    <row r="554" customFormat="false" ht="15" hidden="false" customHeight="false" outlineLevel="0" collapsed="false">
      <c r="B554" s="27"/>
      <c r="C554" s="25"/>
      <c r="D554" s="25"/>
      <c r="E554" s="28"/>
      <c r="F554" s="25"/>
      <c r="G554" s="25"/>
      <c r="I554" s="24" t="str">
        <f aca="false">IF(D554="","",IFERROR(INDEX(Categorias!$C$6:$C$45,MATCH(D554,Categorias!$B$6:$B$45,0)),"Sem grupo"))</f>
        <v/>
      </c>
      <c r="J554" s="29" t="str">
        <f aca="false">IF(B554="","",DATE(YEAR(B554),MONTH(B554),1))</f>
        <v/>
      </c>
    </row>
    <row r="555" customFormat="false" ht="15" hidden="false" customHeight="false" outlineLevel="0" collapsed="false">
      <c r="B555" s="27"/>
      <c r="C555" s="25"/>
      <c r="D555" s="25"/>
      <c r="E555" s="28"/>
      <c r="F555" s="25"/>
      <c r="G555" s="25"/>
      <c r="I555" s="24" t="str">
        <f aca="false">IF(D555="","",IFERROR(INDEX(Categorias!$C$6:$C$45,MATCH(D555,Categorias!$B$6:$B$45,0)),"Sem grupo"))</f>
        <v/>
      </c>
      <c r="J555" s="29" t="str">
        <f aca="false">IF(B555="","",DATE(YEAR(B555),MONTH(B555),1))</f>
        <v/>
      </c>
    </row>
    <row r="556" customFormat="false" ht="15" hidden="false" customHeight="false" outlineLevel="0" collapsed="false">
      <c r="B556" s="27"/>
      <c r="C556" s="25"/>
      <c r="D556" s="25"/>
      <c r="E556" s="28"/>
      <c r="F556" s="25"/>
      <c r="G556" s="25"/>
      <c r="I556" s="24" t="str">
        <f aca="false">IF(D556="","",IFERROR(INDEX(Categorias!$C$6:$C$45,MATCH(D556,Categorias!$B$6:$B$45,0)),"Sem grupo"))</f>
        <v/>
      </c>
      <c r="J556" s="29" t="str">
        <f aca="false">IF(B556="","",DATE(YEAR(B556),MONTH(B556),1))</f>
        <v/>
      </c>
    </row>
    <row r="557" customFormat="false" ht="15" hidden="false" customHeight="false" outlineLevel="0" collapsed="false">
      <c r="B557" s="27"/>
      <c r="C557" s="25"/>
      <c r="D557" s="25"/>
      <c r="E557" s="28"/>
      <c r="F557" s="25"/>
      <c r="G557" s="25"/>
      <c r="I557" s="24" t="str">
        <f aca="false">IF(D557="","",IFERROR(INDEX(Categorias!$C$6:$C$45,MATCH(D557,Categorias!$B$6:$B$45,0)),"Sem grupo"))</f>
        <v/>
      </c>
      <c r="J557" s="29" t="str">
        <f aca="false">IF(B557="","",DATE(YEAR(B557),MONTH(B557),1))</f>
        <v/>
      </c>
    </row>
    <row r="558" customFormat="false" ht="15" hidden="false" customHeight="false" outlineLevel="0" collapsed="false">
      <c r="B558" s="27"/>
      <c r="C558" s="25"/>
      <c r="D558" s="25"/>
      <c r="E558" s="28"/>
      <c r="F558" s="25"/>
      <c r="G558" s="25"/>
      <c r="I558" s="24" t="str">
        <f aca="false">IF(D558="","",IFERROR(INDEX(Categorias!$C$6:$C$45,MATCH(D558,Categorias!$B$6:$B$45,0)),"Sem grupo"))</f>
        <v/>
      </c>
      <c r="J558" s="29" t="str">
        <f aca="false">IF(B558="","",DATE(YEAR(B558),MONTH(B558),1))</f>
        <v/>
      </c>
    </row>
    <row r="559" customFormat="false" ht="15" hidden="false" customHeight="false" outlineLevel="0" collapsed="false">
      <c r="B559" s="27"/>
      <c r="C559" s="25"/>
      <c r="D559" s="25"/>
      <c r="E559" s="28"/>
      <c r="F559" s="25"/>
      <c r="G559" s="25"/>
      <c r="I559" s="24" t="str">
        <f aca="false">IF(D559="","",IFERROR(INDEX(Categorias!$C$6:$C$45,MATCH(D559,Categorias!$B$6:$B$45,0)),"Sem grupo"))</f>
        <v/>
      </c>
      <c r="J559" s="29" t="str">
        <f aca="false">IF(B559="","",DATE(YEAR(B559),MONTH(B559),1))</f>
        <v/>
      </c>
    </row>
    <row r="560" customFormat="false" ht="15" hidden="false" customHeight="false" outlineLevel="0" collapsed="false">
      <c r="B560" s="27"/>
      <c r="C560" s="25"/>
      <c r="D560" s="25"/>
      <c r="E560" s="28"/>
      <c r="F560" s="25"/>
      <c r="G560" s="25"/>
      <c r="I560" s="24" t="str">
        <f aca="false">IF(D560="","",IFERROR(INDEX(Categorias!$C$6:$C$45,MATCH(D560,Categorias!$B$6:$B$45,0)),"Sem grupo"))</f>
        <v/>
      </c>
      <c r="J560" s="29" t="str">
        <f aca="false">IF(B560="","",DATE(YEAR(B560),MONTH(B560),1))</f>
        <v/>
      </c>
    </row>
    <row r="561" customFormat="false" ht="15" hidden="false" customHeight="false" outlineLevel="0" collapsed="false">
      <c r="B561" s="27"/>
      <c r="C561" s="25"/>
      <c r="D561" s="25"/>
      <c r="E561" s="28"/>
      <c r="F561" s="25"/>
      <c r="G561" s="25"/>
      <c r="I561" s="24" t="str">
        <f aca="false">IF(D561="","",IFERROR(INDEX(Categorias!$C$6:$C$45,MATCH(D561,Categorias!$B$6:$B$45,0)),"Sem grupo"))</f>
        <v/>
      </c>
      <c r="J561" s="29" t="str">
        <f aca="false">IF(B561="","",DATE(YEAR(B561),MONTH(B561),1))</f>
        <v/>
      </c>
    </row>
    <row r="562" customFormat="false" ht="15" hidden="false" customHeight="false" outlineLevel="0" collapsed="false">
      <c r="B562" s="27"/>
      <c r="C562" s="25"/>
      <c r="D562" s="25"/>
      <c r="E562" s="28"/>
      <c r="F562" s="25"/>
      <c r="G562" s="25"/>
      <c r="I562" s="24" t="str">
        <f aca="false">IF(D562="","",IFERROR(INDEX(Categorias!$C$6:$C$45,MATCH(D562,Categorias!$B$6:$B$45,0)),"Sem grupo"))</f>
        <v/>
      </c>
      <c r="J562" s="29" t="str">
        <f aca="false">IF(B562="","",DATE(YEAR(B562),MONTH(B562),1))</f>
        <v/>
      </c>
    </row>
    <row r="563" customFormat="false" ht="15" hidden="false" customHeight="false" outlineLevel="0" collapsed="false">
      <c r="B563" s="27"/>
      <c r="C563" s="25"/>
      <c r="D563" s="25"/>
      <c r="E563" s="28"/>
      <c r="F563" s="25"/>
      <c r="G563" s="25"/>
      <c r="I563" s="24" t="str">
        <f aca="false">IF(D563="","",IFERROR(INDEX(Categorias!$C$6:$C$45,MATCH(D563,Categorias!$B$6:$B$45,0)),"Sem grupo"))</f>
        <v/>
      </c>
      <c r="J563" s="29" t="str">
        <f aca="false">IF(B563="","",DATE(YEAR(B563),MONTH(B563),1))</f>
        <v/>
      </c>
    </row>
    <row r="564" customFormat="false" ht="15" hidden="false" customHeight="false" outlineLevel="0" collapsed="false">
      <c r="B564" s="27"/>
      <c r="C564" s="25"/>
      <c r="D564" s="25"/>
      <c r="E564" s="28"/>
      <c r="F564" s="25"/>
      <c r="G564" s="25"/>
      <c r="I564" s="24" t="str">
        <f aca="false">IF(D564="","",IFERROR(INDEX(Categorias!$C$6:$C$45,MATCH(D564,Categorias!$B$6:$B$45,0)),"Sem grupo"))</f>
        <v/>
      </c>
      <c r="J564" s="29" t="str">
        <f aca="false">IF(B564="","",DATE(YEAR(B564),MONTH(B564),1))</f>
        <v/>
      </c>
    </row>
    <row r="565" customFormat="false" ht="15" hidden="false" customHeight="false" outlineLevel="0" collapsed="false">
      <c r="B565" s="27"/>
      <c r="C565" s="25"/>
      <c r="D565" s="25"/>
      <c r="E565" s="28"/>
      <c r="F565" s="25"/>
      <c r="G565" s="25"/>
      <c r="I565" s="24" t="str">
        <f aca="false">IF(D565="","",IFERROR(INDEX(Categorias!$C$6:$C$45,MATCH(D565,Categorias!$B$6:$B$45,0)),"Sem grupo"))</f>
        <v/>
      </c>
      <c r="J565" s="29" t="str">
        <f aca="false">IF(B565="","",DATE(YEAR(B565),MONTH(B565),1))</f>
        <v/>
      </c>
    </row>
    <row r="566" customFormat="false" ht="15" hidden="false" customHeight="false" outlineLevel="0" collapsed="false">
      <c r="B566" s="27"/>
      <c r="C566" s="25"/>
      <c r="D566" s="25"/>
      <c r="E566" s="28"/>
      <c r="F566" s="25"/>
      <c r="G566" s="25"/>
      <c r="I566" s="24" t="str">
        <f aca="false">IF(D566="","",IFERROR(INDEX(Categorias!$C$6:$C$45,MATCH(D566,Categorias!$B$6:$B$45,0)),"Sem grupo"))</f>
        <v/>
      </c>
      <c r="J566" s="29" t="str">
        <f aca="false">IF(B566="","",DATE(YEAR(B566),MONTH(B566),1))</f>
        <v/>
      </c>
    </row>
    <row r="567" customFormat="false" ht="15" hidden="false" customHeight="false" outlineLevel="0" collapsed="false">
      <c r="B567" s="27"/>
      <c r="C567" s="25"/>
      <c r="D567" s="25"/>
      <c r="E567" s="28"/>
      <c r="F567" s="25"/>
      <c r="G567" s="25"/>
      <c r="I567" s="24" t="str">
        <f aca="false">IF(D567="","",IFERROR(INDEX(Categorias!$C$6:$C$45,MATCH(D567,Categorias!$B$6:$B$45,0)),"Sem grupo"))</f>
        <v/>
      </c>
      <c r="J567" s="29" t="str">
        <f aca="false">IF(B567="","",DATE(YEAR(B567),MONTH(B567),1))</f>
        <v/>
      </c>
    </row>
    <row r="568" customFormat="false" ht="15" hidden="false" customHeight="false" outlineLevel="0" collapsed="false">
      <c r="B568" s="27"/>
      <c r="C568" s="25"/>
      <c r="D568" s="25"/>
      <c r="E568" s="28"/>
      <c r="F568" s="25"/>
      <c r="G568" s="25"/>
      <c r="I568" s="24" t="str">
        <f aca="false">IF(D568="","",IFERROR(INDEX(Categorias!$C$6:$C$45,MATCH(D568,Categorias!$B$6:$B$45,0)),"Sem grupo"))</f>
        <v/>
      </c>
      <c r="J568" s="29" t="str">
        <f aca="false">IF(B568="","",DATE(YEAR(B568),MONTH(B568),1))</f>
        <v/>
      </c>
    </row>
    <row r="569" customFormat="false" ht="15" hidden="false" customHeight="false" outlineLevel="0" collapsed="false">
      <c r="B569" s="27"/>
      <c r="C569" s="25"/>
      <c r="D569" s="25"/>
      <c r="E569" s="28"/>
      <c r="F569" s="25"/>
      <c r="G569" s="25"/>
      <c r="I569" s="24" t="str">
        <f aca="false">IF(D569="","",IFERROR(INDEX(Categorias!$C$6:$C$45,MATCH(D569,Categorias!$B$6:$B$45,0)),"Sem grupo"))</f>
        <v/>
      </c>
      <c r="J569" s="29" t="str">
        <f aca="false">IF(B569="","",DATE(YEAR(B569),MONTH(B569),1))</f>
        <v/>
      </c>
    </row>
    <row r="570" customFormat="false" ht="15" hidden="false" customHeight="false" outlineLevel="0" collapsed="false">
      <c r="B570" s="27"/>
      <c r="C570" s="25"/>
      <c r="D570" s="25"/>
      <c r="E570" s="28"/>
      <c r="F570" s="25"/>
      <c r="G570" s="25"/>
      <c r="I570" s="24" t="str">
        <f aca="false">IF(D570="","",IFERROR(INDEX(Categorias!$C$6:$C$45,MATCH(D570,Categorias!$B$6:$B$45,0)),"Sem grupo"))</f>
        <v/>
      </c>
      <c r="J570" s="29" t="str">
        <f aca="false">IF(B570="","",DATE(YEAR(B570),MONTH(B570),1))</f>
        <v/>
      </c>
    </row>
    <row r="571" customFormat="false" ht="15" hidden="false" customHeight="false" outlineLevel="0" collapsed="false">
      <c r="B571" s="27"/>
      <c r="C571" s="25"/>
      <c r="D571" s="25"/>
      <c r="E571" s="28"/>
      <c r="F571" s="25"/>
      <c r="G571" s="25"/>
      <c r="I571" s="24" t="str">
        <f aca="false">IF(D571="","",IFERROR(INDEX(Categorias!$C$6:$C$45,MATCH(D571,Categorias!$B$6:$B$45,0)),"Sem grupo"))</f>
        <v/>
      </c>
      <c r="J571" s="29" t="str">
        <f aca="false">IF(B571="","",DATE(YEAR(B571),MONTH(B571),1))</f>
        <v/>
      </c>
    </row>
    <row r="572" customFormat="false" ht="15" hidden="false" customHeight="false" outlineLevel="0" collapsed="false">
      <c r="B572" s="27"/>
      <c r="C572" s="25"/>
      <c r="D572" s="25"/>
      <c r="E572" s="28"/>
      <c r="F572" s="25"/>
      <c r="G572" s="25"/>
      <c r="I572" s="24" t="str">
        <f aca="false">IF(D572="","",IFERROR(INDEX(Categorias!$C$6:$C$45,MATCH(D572,Categorias!$B$6:$B$45,0)),"Sem grupo"))</f>
        <v/>
      </c>
      <c r="J572" s="29" t="str">
        <f aca="false">IF(B572="","",DATE(YEAR(B572),MONTH(B572),1))</f>
        <v/>
      </c>
    </row>
    <row r="573" customFormat="false" ht="15" hidden="false" customHeight="false" outlineLevel="0" collapsed="false">
      <c r="B573" s="27"/>
      <c r="C573" s="25"/>
      <c r="D573" s="25"/>
      <c r="E573" s="28"/>
      <c r="F573" s="25"/>
      <c r="G573" s="25"/>
      <c r="I573" s="24" t="str">
        <f aca="false">IF(D573="","",IFERROR(INDEX(Categorias!$C$6:$C$45,MATCH(D573,Categorias!$B$6:$B$45,0)),"Sem grupo"))</f>
        <v/>
      </c>
      <c r="J573" s="29" t="str">
        <f aca="false">IF(B573="","",DATE(YEAR(B573),MONTH(B573),1))</f>
        <v/>
      </c>
    </row>
    <row r="574" customFormat="false" ht="15" hidden="false" customHeight="false" outlineLevel="0" collapsed="false">
      <c r="B574" s="27"/>
      <c r="C574" s="25"/>
      <c r="D574" s="25"/>
      <c r="E574" s="28"/>
      <c r="F574" s="25"/>
      <c r="G574" s="25"/>
      <c r="I574" s="24" t="str">
        <f aca="false">IF(D574="","",IFERROR(INDEX(Categorias!$C$6:$C$45,MATCH(D574,Categorias!$B$6:$B$45,0)),"Sem grupo"))</f>
        <v/>
      </c>
      <c r="J574" s="29" t="str">
        <f aca="false">IF(B574="","",DATE(YEAR(B574),MONTH(B574),1))</f>
        <v/>
      </c>
    </row>
    <row r="575" customFormat="false" ht="15" hidden="false" customHeight="false" outlineLevel="0" collapsed="false">
      <c r="B575" s="27"/>
      <c r="C575" s="25"/>
      <c r="D575" s="25"/>
      <c r="E575" s="28"/>
      <c r="F575" s="25"/>
      <c r="G575" s="25"/>
      <c r="I575" s="24" t="str">
        <f aca="false">IF(D575="","",IFERROR(INDEX(Categorias!$C$6:$C$45,MATCH(D575,Categorias!$B$6:$B$45,0)),"Sem grupo"))</f>
        <v/>
      </c>
      <c r="J575" s="29" t="str">
        <f aca="false">IF(B575="","",DATE(YEAR(B575),MONTH(B575),1))</f>
        <v/>
      </c>
    </row>
    <row r="576" customFormat="false" ht="15" hidden="false" customHeight="false" outlineLevel="0" collapsed="false">
      <c r="B576" s="27"/>
      <c r="C576" s="25"/>
      <c r="D576" s="25"/>
      <c r="E576" s="28"/>
      <c r="F576" s="25"/>
      <c r="G576" s="25"/>
      <c r="I576" s="24" t="str">
        <f aca="false">IF(D576="","",IFERROR(INDEX(Categorias!$C$6:$C$45,MATCH(D576,Categorias!$B$6:$B$45,0)),"Sem grupo"))</f>
        <v/>
      </c>
      <c r="J576" s="29" t="str">
        <f aca="false">IF(B576="","",DATE(YEAR(B576),MONTH(B576),1))</f>
        <v/>
      </c>
    </row>
    <row r="577" customFormat="false" ht="15" hidden="false" customHeight="false" outlineLevel="0" collapsed="false">
      <c r="B577" s="27"/>
      <c r="C577" s="25"/>
      <c r="D577" s="25"/>
      <c r="E577" s="28"/>
      <c r="F577" s="25"/>
      <c r="G577" s="25"/>
      <c r="I577" s="24" t="str">
        <f aca="false">IF(D577="","",IFERROR(INDEX(Categorias!$C$6:$C$45,MATCH(D577,Categorias!$B$6:$B$45,0)),"Sem grupo"))</f>
        <v/>
      </c>
      <c r="J577" s="29" t="str">
        <f aca="false">IF(B577="","",DATE(YEAR(B577),MONTH(B577),1))</f>
        <v/>
      </c>
    </row>
    <row r="578" customFormat="false" ht="15" hidden="false" customHeight="false" outlineLevel="0" collapsed="false">
      <c r="B578" s="27"/>
      <c r="C578" s="25"/>
      <c r="D578" s="25"/>
      <c r="E578" s="28"/>
      <c r="F578" s="25"/>
      <c r="G578" s="25"/>
      <c r="I578" s="24" t="str">
        <f aca="false">IF(D578="","",IFERROR(INDEX(Categorias!$C$6:$C$45,MATCH(D578,Categorias!$B$6:$B$45,0)),"Sem grupo"))</f>
        <v/>
      </c>
      <c r="J578" s="29" t="str">
        <f aca="false">IF(B578="","",DATE(YEAR(B578),MONTH(B578),1))</f>
        <v/>
      </c>
    </row>
    <row r="579" customFormat="false" ht="15" hidden="false" customHeight="false" outlineLevel="0" collapsed="false">
      <c r="B579" s="27"/>
      <c r="C579" s="25"/>
      <c r="D579" s="25"/>
      <c r="E579" s="28"/>
      <c r="F579" s="25"/>
      <c r="G579" s="25"/>
      <c r="I579" s="24" t="str">
        <f aca="false">IF(D579="","",IFERROR(INDEX(Categorias!$C$6:$C$45,MATCH(D579,Categorias!$B$6:$B$45,0)),"Sem grupo"))</f>
        <v/>
      </c>
      <c r="J579" s="29" t="str">
        <f aca="false">IF(B579="","",DATE(YEAR(B579),MONTH(B579),1))</f>
        <v/>
      </c>
    </row>
    <row r="580" customFormat="false" ht="15" hidden="false" customHeight="false" outlineLevel="0" collapsed="false">
      <c r="B580" s="27"/>
      <c r="C580" s="25"/>
      <c r="D580" s="25"/>
      <c r="E580" s="28"/>
      <c r="F580" s="25"/>
      <c r="G580" s="25"/>
      <c r="I580" s="24" t="str">
        <f aca="false">IF(D580="","",IFERROR(INDEX(Categorias!$C$6:$C$45,MATCH(D580,Categorias!$B$6:$B$45,0)),"Sem grupo"))</f>
        <v/>
      </c>
      <c r="J580" s="29" t="str">
        <f aca="false">IF(B580="","",DATE(YEAR(B580),MONTH(B580),1))</f>
        <v/>
      </c>
    </row>
    <row r="581" customFormat="false" ht="15" hidden="false" customHeight="false" outlineLevel="0" collapsed="false">
      <c r="B581" s="27"/>
      <c r="C581" s="25"/>
      <c r="D581" s="25"/>
      <c r="E581" s="28"/>
      <c r="F581" s="25"/>
      <c r="G581" s="25"/>
      <c r="I581" s="24" t="str">
        <f aca="false">IF(D581="","",IFERROR(INDEX(Categorias!$C$6:$C$45,MATCH(D581,Categorias!$B$6:$B$45,0)),"Sem grupo"))</f>
        <v/>
      </c>
      <c r="J581" s="29" t="str">
        <f aca="false">IF(B581="","",DATE(YEAR(B581),MONTH(B581),1))</f>
        <v/>
      </c>
    </row>
    <row r="582" customFormat="false" ht="15" hidden="false" customHeight="false" outlineLevel="0" collapsed="false">
      <c r="B582" s="27"/>
      <c r="C582" s="25"/>
      <c r="D582" s="25"/>
      <c r="E582" s="28"/>
      <c r="F582" s="25"/>
      <c r="G582" s="25"/>
      <c r="I582" s="24" t="str">
        <f aca="false">IF(D582="","",IFERROR(INDEX(Categorias!$C$6:$C$45,MATCH(D582,Categorias!$B$6:$B$45,0)),"Sem grupo"))</f>
        <v/>
      </c>
      <c r="J582" s="29" t="str">
        <f aca="false">IF(B582="","",DATE(YEAR(B582),MONTH(B582),1))</f>
        <v/>
      </c>
    </row>
    <row r="583" customFormat="false" ht="15" hidden="false" customHeight="false" outlineLevel="0" collapsed="false">
      <c r="B583" s="27"/>
      <c r="C583" s="25"/>
      <c r="D583" s="25"/>
      <c r="E583" s="28"/>
      <c r="F583" s="25"/>
      <c r="G583" s="25"/>
      <c r="I583" s="24" t="str">
        <f aca="false">IF(D583="","",IFERROR(INDEX(Categorias!$C$6:$C$45,MATCH(D583,Categorias!$B$6:$B$45,0)),"Sem grupo"))</f>
        <v/>
      </c>
      <c r="J583" s="29" t="str">
        <f aca="false">IF(B583="","",DATE(YEAR(B583),MONTH(B583),1))</f>
        <v/>
      </c>
    </row>
    <row r="584" customFormat="false" ht="15" hidden="false" customHeight="false" outlineLevel="0" collapsed="false">
      <c r="B584" s="27"/>
      <c r="C584" s="25"/>
      <c r="D584" s="25"/>
      <c r="E584" s="28"/>
      <c r="F584" s="25"/>
      <c r="G584" s="25"/>
      <c r="I584" s="24" t="str">
        <f aca="false">IF(D584="","",IFERROR(INDEX(Categorias!$C$6:$C$45,MATCH(D584,Categorias!$B$6:$B$45,0)),"Sem grupo"))</f>
        <v/>
      </c>
      <c r="J584" s="29" t="str">
        <f aca="false">IF(B584="","",DATE(YEAR(B584),MONTH(B584),1))</f>
        <v/>
      </c>
    </row>
    <row r="585" customFormat="false" ht="15" hidden="false" customHeight="false" outlineLevel="0" collapsed="false">
      <c r="B585" s="27"/>
      <c r="C585" s="25"/>
      <c r="D585" s="25"/>
      <c r="E585" s="28"/>
      <c r="F585" s="25"/>
      <c r="G585" s="25"/>
      <c r="I585" s="24" t="str">
        <f aca="false">IF(D585="","",IFERROR(INDEX(Categorias!$C$6:$C$45,MATCH(D585,Categorias!$B$6:$B$45,0)),"Sem grupo"))</f>
        <v/>
      </c>
      <c r="J585" s="29" t="str">
        <f aca="false">IF(B585="","",DATE(YEAR(B585),MONTH(B585),1))</f>
        <v/>
      </c>
    </row>
    <row r="586" customFormat="false" ht="15" hidden="false" customHeight="false" outlineLevel="0" collapsed="false">
      <c r="B586" s="27"/>
      <c r="C586" s="25"/>
      <c r="D586" s="25"/>
      <c r="E586" s="28"/>
      <c r="F586" s="25"/>
      <c r="G586" s="25"/>
      <c r="I586" s="24" t="str">
        <f aca="false">IF(D586="","",IFERROR(INDEX(Categorias!$C$6:$C$45,MATCH(D586,Categorias!$B$6:$B$45,0)),"Sem grupo"))</f>
        <v/>
      </c>
      <c r="J586" s="29" t="str">
        <f aca="false">IF(B586="","",DATE(YEAR(B586),MONTH(B586),1))</f>
        <v/>
      </c>
    </row>
    <row r="587" customFormat="false" ht="15" hidden="false" customHeight="false" outlineLevel="0" collapsed="false">
      <c r="B587" s="27"/>
      <c r="C587" s="25"/>
      <c r="D587" s="25"/>
      <c r="E587" s="28"/>
      <c r="F587" s="25"/>
      <c r="G587" s="25"/>
      <c r="I587" s="24" t="str">
        <f aca="false">IF(D587="","",IFERROR(INDEX(Categorias!$C$6:$C$45,MATCH(D587,Categorias!$B$6:$B$45,0)),"Sem grupo"))</f>
        <v/>
      </c>
      <c r="J587" s="29" t="str">
        <f aca="false">IF(B587="","",DATE(YEAR(B587),MONTH(B587),1))</f>
        <v/>
      </c>
    </row>
    <row r="588" customFormat="false" ht="15" hidden="false" customHeight="false" outlineLevel="0" collapsed="false">
      <c r="B588" s="27"/>
      <c r="C588" s="25"/>
      <c r="D588" s="25"/>
      <c r="E588" s="28"/>
      <c r="F588" s="25"/>
      <c r="G588" s="25"/>
      <c r="I588" s="24" t="str">
        <f aca="false">IF(D588="","",IFERROR(INDEX(Categorias!$C$6:$C$45,MATCH(D588,Categorias!$B$6:$B$45,0)),"Sem grupo"))</f>
        <v/>
      </c>
      <c r="J588" s="29" t="str">
        <f aca="false">IF(B588="","",DATE(YEAR(B588),MONTH(B588),1))</f>
        <v/>
      </c>
    </row>
    <row r="589" customFormat="false" ht="15" hidden="false" customHeight="false" outlineLevel="0" collapsed="false">
      <c r="B589" s="27"/>
      <c r="C589" s="25"/>
      <c r="D589" s="25"/>
      <c r="E589" s="28"/>
      <c r="F589" s="25"/>
      <c r="G589" s="25"/>
      <c r="I589" s="24" t="str">
        <f aca="false">IF(D589="","",IFERROR(INDEX(Categorias!$C$6:$C$45,MATCH(D589,Categorias!$B$6:$B$45,0)),"Sem grupo"))</f>
        <v/>
      </c>
      <c r="J589" s="29" t="str">
        <f aca="false">IF(B589="","",DATE(YEAR(B589),MONTH(B589),1))</f>
        <v/>
      </c>
    </row>
    <row r="590" customFormat="false" ht="15" hidden="false" customHeight="false" outlineLevel="0" collapsed="false">
      <c r="B590" s="27"/>
      <c r="C590" s="25"/>
      <c r="D590" s="25"/>
      <c r="E590" s="28"/>
      <c r="F590" s="25"/>
      <c r="G590" s="25"/>
      <c r="I590" s="24" t="str">
        <f aca="false">IF(D590="","",IFERROR(INDEX(Categorias!$C$6:$C$45,MATCH(D590,Categorias!$B$6:$B$45,0)),"Sem grupo"))</f>
        <v/>
      </c>
      <c r="J590" s="29" t="str">
        <f aca="false">IF(B590="","",DATE(YEAR(B590),MONTH(B590),1))</f>
        <v/>
      </c>
    </row>
    <row r="591" customFormat="false" ht="15" hidden="false" customHeight="false" outlineLevel="0" collapsed="false">
      <c r="B591" s="27"/>
      <c r="C591" s="25"/>
      <c r="D591" s="25"/>
      <c r="E591" s="28"/>
      <c r="F591" s="25"/>
      <c r="G591" s="25"/>
      <c r="I591" s="24" t="str">
        <f aca="false">IF(D591="","",IFERROR(INDEX(Categorias!$C$6:$C$45,MATCH(D591,Categorias!$B$6:$B$45,0)),"Sem grupo"))</f>
        <v/>
      </c>
      <c r="J591" s="29" t="str">
        <f aca="false">IF(B591="","",DATE(YEAR(B591),MONTH(B591),1))</f>
        <v/>
      </c>
    </row>
    <row r="592" customFormat="false" ht="15" hidden="false" customHeight="false" outlineLevel="0" collapsed="false">
      <c r="B592" s="27"/>
      <c r="C592" s="25"/>
      <c r="D592" s="25"/>
      <c r="E592" s="28"/>
      <c r="F592" s="25"/>
      <c r="G592" s="25"/>
      <c r="I592" s="24" t="str">
        <f aca="false">IF(D592="","",IFERROR(INDEX(Categorias!$C$6:$C$45,MATCH(D592,Categorias!$B$6:$B$45,0)),"Sem grupo"))</f>
        <v/>
      </c>
      <c r="J592" s="29" t="str">
        <f aca="false">IF(B592="","",DATE(YEAR(B592),MONTH(B592),1))</f>
        <v/>
      </c>
    </row>
    <row r="593" customFormat="false" ht="15" hidden="false" customHeight="false" outlineLevel="0" collapsed="false">
      <c r="B593" s="27"/>
      <c r="C593" s="25"/>
      <c r="D593" s="25"/>
      <c r="E593" s="28"/>
      <c r="F593" s="25"/>
      <c r="G593" s="25"/>
      <c r="I593" s="24" t="str">
        <f aca="false">IF(D593="","",IFERROR(INDEX(Categorias!$C$6:$C$45,MATCH(D593,Categorias!$B$6:$B$45,0)),"Sem grupo"))</f>
        <v/>
      </c>
      <c r="J593" s="29" t="str">
        <f aca="false">IF(B593="","",DATE(YEAR(B593),MONTH(B593),1))</f>
        <v/>
      </c>
    </row>
    <row r="594" customFormat="false" ht="15" hidden="false" customHeight="false" outlineLevel="0" collapsed="false">
      <c r="B594" s="27"/>
      <c r="C594" s="25"/>
      <c r="D594" s="25"/>
      <c r="E594" s="28"/>
      <c r="F594" s="25"/>
      <c r="G594" s="25"/>
      <c r="I594" s="24" t="str">
        <f aca="false">IF(D594="","",IFERROR(INDEX(Categorias!$C$6:$C$45,MATCH(D594,Categorias!$B$6:$B$45,0)),"Sem grupo"))</f>
        <v/>
      </c>
      <c r="J594" s="29" t="str">
        <f aca="false">IF(B594="","",DATE(YEAR(B594),MONTH(B594),1))</f>
        <v/>
      </c>
    </row>
    <row r="595" customFormat="false" ht="15" hidden="false" customHeight="false" outlineLevel="0" collapsed="false">
      <c r="B595" s="27"/>
      <c r="C595" s="25"/>
      <c r="D595" s="25"/>
      <c r="E595" s="28"/>
      <c r="F595" s="25"/>
      <c r="G595" s="25"/>
      <c r="I595" s="24" t="str">
        <f aca="false">IF(D595="","",IFERROR(INDEX(Categorias!$C$6:$C$45,MATCH(D595,Categorias!$B$6:$B$45,0)),"Sem grupo"))</f>
        <v/>
      </c>
      <c r="J595" s="29" t="str">
        <f aca="false">IF(B595="","",DATE(YEAR(B595),MONTH(B595),1))</f>
        <v/>
      </c>
    </row>
    <row r="596" customFormat="false" ht="15" hidden="false" customHeight="false" outlineLevel="0" collapsed="false">
      <c r="B596" s="27"/>
      <c r="C596" s="25"/>
      <c r="D596" s="25"/>
      <c r="E596" s="28"/>
      <c r="F596" s="25"/>
      <c r="G596" s="25"/>
      <c r="I596" s="24" t="str">
        <f aca="false">IF(D596="","",IFERROR(INDEX(Categorias!$C$6:$C$45,MATCH(D596,Categorias!$B$6:$B$45,0)),"Sem grupo"))</f>
        <v/>
      </c>
      <c r="J596" s="29" t="str">
        <f aca="false">IF(B596="","",DATE(YEAR(B596),MONTH(B596),1))</f>
        <v/>
      </c>
    </row>
    <row r="597" customFormat="false" ht="15" hidden="false" customHeight="false" outlineLevel="0" collapsed="false">
      <c r="B597" s="27"/>
      <c r="C597" s="25"/>
      <c r="D597" s="25"/>
      <c r="E597" s="28"/>
      <c r="F597" s="25"/>
      <c r="G597" s="25"/>
      <c r="I597" s="24" t="str">
        <f aca="false">IF(D597="","",IFERROR(INDEX(Categorias!$C$6:$C$45,MATCH(D597,Categorias!$B$6:$B$45,0)),"Sem grupo"))</f>
        <v/>
      </c>
      <c r="J597" s="29" t="str">
        <f aca="false">IF(B597="","",DATE(YEAR(B597),MONTH(B597),1))</f>
        <v/>
      </c>
    </row>
    <row r="598" customFormat="false" ht="15" hidden="false" customHeight="false" outlineLevel="0" collapsed="false">
      <c r="B598" s="27"/>
      <c r="C598" s="25"/>
      <c r="D598" s="25"/>
      <c r="E598" s="28"/>
      <c r="F598" s="25"/>
      <c r="G598" s="25"/>
      <c r="I598" s="24" t="str">
        <f aca="false">IF(D598="","",IFERROR(INDEX(Categorias!$C$6:$C$45,MATCH(D598,Categorias!$B$6:$B$45,0)),"Sem grupo"))</f>
        <v/>
      </c>
      <c r="J598" s="29" t="str">
        <f aca="false">IF(B598="","",DATE(YEAR(B598),MONTH(B598),1))</f>
        <v/>
      </c>
    </row>
    <row r="599" customFormat="false" ht="15" hidden="false" customHeight="false" outlineLevel="0" collapsed="false">
      <c r="B599" s="27"/>
      <c r="C599" s="25"/>
      <c r="D599" s="25"/>
      <c r="E599" s="28"/>
      <c r="F599" s="25"/>
      <c r="G599" s="25"/>
      <c r="I599" s="24" t="str">
        <f aca="false">IF(D599="","",IFERROR(INDEX(Categorias!$C$6:$C$45,MATCH(D599,Categorias!$B$6:$B$45,0)),"Sem grupo"))</f>
        <v/>
      </c>
      <c r="J599" s="29" t="str">
        <f aca="false">IF(B599="","",DATE(YEAR(B599),MONTH(B599),1))</f>
        <v/>
      </c>
    </row>
    <row r="600" customFormat="false" ht="15" hidden="false" customHeight="false" outlineLevel="0" collapsed="false">
      <c r="B600" s="27"/>
      <c r="C600" s="25"/>
      <c r="D600" s="25"/>
      <c r="E600" s="28"/>
      <c r="F600" s="25"/>
      <c r="G600" s="25"/>
      <c r="I600" s="24" t="str">
        <f aca="false">IF(D600="","",IFERROR(INDEX(Categorias!$C$6:$C$45,MATCH(D600,Categorias!$B$6:$B$45,0)),"Sem grupo"))</f>
        <v/>
      </c>
      <c r="J600" s="29" t="str">
        <f aca="false">IF(B600="","",DATE(YEAR(B600),MONTH(B600),1))</f>
        <v/>
      </c>
    </row>
    <row r="601" customFormat="false" ht="15" hidden="false" customHeight="false" outlineLevel="0" collapsed="false">
      <c r="B601" s="27"/>
      <c r="C601" s="25"/>
      <c r="D601" s="25"/>
      <c r="E601" s="28"/>
      <c r="F601" s="25"/>
      <c r="G601" s="25"/>
      <c r="I601" s="24" t="str">
        <f aca="false">IF(D601="","",IFERROR(INDEX(Categorias!$C$6:$C$45,MATCH(D601,Categorias!$B$6:$B$45,0)),"Sem grupo"))</f>
        <v/>
      </c>
      <c r="J601" s="29" t="str">
        <f aca="false">IF(B601="","",DATE(YEAR(B601),MONTH(B601),1))</f>
        <v/>
      </c>
    </row>
    <row r="602" customFormat="false" ht="15" hidden="false" customHeight="false" outlineLevel="0" collapsed="false">
      <c r="B602" s="27"/>
      <c r="C602" s="25"/>
      <c r="D602" s="25"/>
      <c r="E602" s="28"/>
      <c r="F602" s="25"/>
      <c r="G602" s="25"/>
      <c r="I602" s="24" t="str">
        <f aca="false">IF(D602="","",IFERROR(INDEX(Categorias!$C$6:$C$45,MATCH(D602,Categorias!$B$6:$B$45,0)),"Sem grupo"))</f>
        <v/>
      </c>
      <c r="J602" s="29" t="str">
        <f aca="false">IF(B602="","",DATE(YEAR(B602),MONTH(B602),1))</f>
        <v/>
      </c>
    </row>
    <row r="603" customFormat="false" ht="15" hidden="false" customHeight="false" outlineLevel="0" collapsed="false">
      <c r="B603" s="27"/>
      <c r="C603" s="25"/>
      <c r="D603" s="25"/>
      <c r="E603" s="28"/>
      <c r="F603" s="25"/>
      <c r="G603" s="25"/>
      <c r="I603" s="24" t="str">
        <f aca="false">IF(D603="","",IFERROR(INDEX(Categorias!$C$6:$C$45,MATCH(D603,Categorias!$B$6:$B$45,0)),"Sem grupo"))</f>
        <v/>
      </c>
      <c r="J603" s="29" t="str">
        <f aca="false">IF(B603="","",DATE(YEAR(B603),MONTH(B603),1))</f>
        <v/>
      </c>
    </row>
    <row r="604" customFormat="false" ht="15" hidden="false" customHeight="false" outlineLevel="0" collapsed="false">
      <c r="B604" s="27"/>
      <c r="C604" s="25"/>
      <c r="D604" s="25"/>
      <c r="E604" s="28"/>
      <c r="F604" s="25"/>
      <c r="G604" s="25"/>
      <c r="I604" s="24" t="str">
        <f aca="false">IF(D604="","",IFERROR(INDEX(Categorias!$C$6:$C$45,MATCH(D604,Categorias!$B$6:$B$45,0)),"Sem grupo"))</f>
        <v/>
      </c>
      <c r="J604" s="29" t="str">
        <f aca="false">IF(B604="","",DATE(YEAR(B604),MONTH(B604),1))</f>
        <v/>
      </c>
    </row>
    <row r="605" customFormat="false" ht="15" hidden="false" customHeight="false" outlineLevel="0" collapsed="false">
      <c r="B605" s="27"/>
      <c r="C605" s="25"/>
      <c r="D605" s="25"/>
      <c r="E605" s="28"/>
      <c r="F605" s="25"/>
      <c r="G605" s="25"/>
      <c r="I605" s="24" t="str">
        <f aca="false">IF(D605="","",IFERROR(INDEX(Categorias!$C$6:$C$45,MATCH(D605,Categorias!$B$6:$B$45,0)),"Sem grupo"))</f>
        <v/>
      </c>
      <c r="J605" s="29" t="str">
        <f aca="false">IF(B605="","",DATE(YEAR(B605),MONTH(B605),1))</f>
        <v/>
      </c>
    </row>
  </sheetData>
  <dataValidations count="3">
    <dataValidation allowBlank="true" errorStyle="stop" operator="between" showDropDown="false" showErrorMessage="false" showInputMessage="false" sqref="D6:D605" type="list">
      <formula1>Categorias!$B$6:$B$45</formula1>
      <formula2>0</formula2>
    </dataValidation>
    <dataValidation allowBlank="true" errorStyle="stop" operator="between" showDropDown="false" showErrorMessage="false" showInputMessage="false" sqref="F6:F605" type="list">
      <formula1>"Pix,Débito,Crédito,Dinheiro,Boleto,Débito automático"</formula1>
      <formula2>0</formula2>
    </dataValidation>
    <dataValidation allowBlank="true" errorStyle="stop" operator="between" showDropDown="false" showErrorMessage="false" showInputMessage="false" sqref="G6:G605" type="list">
      <formula1>"Necessidade,Recompensa,Tédio,Estresse,Alegria,Pressão social"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</cols>
  <sheetData>
    <row r="2" customFormat="false" ht="22.05" hidden="false" customHeight="false" outlineLevel="0" collapsed="false">
      <c r="B2" s="8" t="s">
        <v>108</v>
      </c>
    </row>
    <row r="3" customFormat="false" ht="15" hidden="false" customHeight="false" outlineLevel="0" collapsed="false">
      <c r="B3" s="24" t="s">
        <v>109</v>
      </c>
    </row>
    <row r="5" customFormat="false" ht="30" hidden="false" customHeight="true" outlineLevel="0" collapsed="false">
      <c r="B5" s="11" t="s">
        <v>110</v>
      </c>
      <c r="C5" s="12" t="s">
        <v>111</v>
      </c>
      <c r="D5" s="12" t="s">
        <v>112</v>
      </c>
      <c r="E5" s="12" t="s">
        <v>113</v>
      </c>
      <c r="F5" s="12" t="s">
        <v>114</v>
      </c>
      <c r="G5" s="12" t="s">
        <v>115</v>
      </c>
      <c r="H5" s="12" t="s">
        <v>116</v>
      </c>
      <c r="I5" s="12" t="s">
        <v>117</v>
      </c>
    </row>
    <row r="6" customFormat="false" ht="15" hidden="false" customHeight="false" outlineLevel="0" collapsed="false">
      <c r="B6" s="25" t="s">
        <v>69</v>
      </c>
      <c r="C6" s="28" t="n">
        <v>27000</v>
      </c>
      <c r="D6" s="10" t="n">
        <v>46722</v>
      </c>
      <c r="E6" s="28" t="n">
        <v>4000</v>
      </c>
      <c r="F6" s="19" t="n">
        <f aca="false">IF(N(C6)=0,"",MIN(1,N(E6)/C6))</f>
        <v>0.148148148148148</v>
      </c>
      <c r="G6" s="14" t="n">
        <f aca="false">IF(N(C6)=0,"",MAX(0,C6-N(E6)))</f>
        <v>23000</v>
      </c>
      <c r="H6" s="30" t="n">
        <f aca="false">IF(OR(N(C6)=0,D6=""),"",MAX(1,(YEAR(D6)-YEAR(Painel!$C$4))*12+MONTH(D6)-MONTH(Painel!$C$4)))</f>
        <v>13</v>
      </c>
      <c r="I6" s="31" t="n">
        <f aca="false">IF(H6="","",G6/H6)</f>
        <v>1769.23076923077</v>
      </c>
    </row>
    <row r="7" customFormat="false" ht="15" hidden="false" customHeight="false" outlineLevel="0" collapsed="false">
      <c r="B7" s="25" t="s">
        <v>118</v>
      </c>
      <c r="C7" s="28" t="n">
        <v>6000</v>
      </c>
      <c r="D7" s="10" t="n">
        <v>46569</v>
      </c>
      <c r="E7" s="28" t="n">
        <v>800</v>
      </c>
      <c r="F7" s="19" t="n">
        <f aca="false">IF(N(C7)=0,"",MIN(1,N(E7)/C7))</f>
        <v>0.133333333333333</v>
      </c>
      <c r="G7" s="14" t="n">
        <f aca="false">IF(N(C7)=0,"",MAX(0,C7-N(E7)))</f>
        <v>5200</v>
      </c>
      <c r="H7" s="30" t="n">
        <f aca="false">IF(OR(N(C7)=0,D7=""),"",MAX(1,(YEAR(D7)-YEAR(Painel!$C$4))*12+MONTH(D7)-MONTH(Painel!$C$4)))</f>
        <v>8</v>
      </c>
      <c r="I7" s="31" t="n">
        <f aca="false">IF(H7="","",G7/H7)</f>
        <v>650</v>
      </c>
    </row>
    <row r="8" customFormat="false" ht="15" hidden="false" customHeight="false" outlineLevel="0" collapsed="false">
      <c r="B8" s="25" t="s">
        <v>119</v>
      </c>
      <c r="C8" s="28" t="n">
        <v>4500</v>
      </c>
      <c r="D8" s="10" t="n">
        <v>46661</v>
      </c>
      <c r="E8" s="28" t="n">
        <v>0</v>
      </c>
      <c r="F8" s="19" t="n">
        <f aca="false">IF(N(C8)=0,"",MIN(1,N(E8)/C8))</f>
        <v>0</v>
      </c>
      <c r="G8" s="14" t="n">
        <f aca="false">IF(N(C8)=0,"",MAX(0,C8-N(E8)))</f>
        <v>4500</v>
      </c>
      <c r="H8" s="30" t="n">
        <f aca="false">IF(OR(N(C8)=0,D8=""),"",MAX(1,(YEAR(D8)-YEAR(Painel!$C$4))*12+MONTH(D8)-MONTH(Painel!$C$4)))</f>
        <v>11</v>
      </c>
      <c r="I8" s="31" t="n">
        <f aca="false">IF(H8="","",G8/H8)</f>
        <v>409.090909090909</v>
      </c>
    </row>
    <row r="9" customFormat="false" ht="15" hidden="false" customHeight="false" outlineLevel="0" collapsed="false">
      <c r="B9" s="25"/>
      <c r="C9" s="28"/>
      <c r="D9" s="10"/>
      <c r="E9" s="28"/>
      <c r="F9" s="19" t="str">
        <f aca="false">IF(N(C9)=0,"",MIN(1,N(E9)/C9))</f>
        <v/>
      </c>
      <c r="G9" s="14" t="str">
        <f aca="false">IF(N(C9)=0,"",MAX(0,C9-N(E9)))</f>
        <v/>
      </c>
      <c r="H9" s="30" t="str">
        <f aca="false">IF(OR(N(C9)=0,D9=""),"",MAX(1,(YEAR(D9)-YEAR(Painel!$C$4))*12+MONTH(D9)-MONTH(Painel!$C$4)))</f>
        <v/>
      </c>
      <c r="I9" s="31" t="str">
        <f aca="false">IF(H9="","",G9/H9)</f>
        <v/>
      </c>
    </row>
    <row r="10" customFormat="false" ht="15" hidden="false" customHeight="false" outlineLevel="0" collapsed="false">
      <c r="B10" s="25"/>
      <c r="C10" s="28"/>
      <c r="D10" s="10"/>
      <c r="E10" s="28"/>
      <c r="F10" s="19" t="str">
        <f aca="false">IF(N(C10)=0,"",MIN(1,N(E10)/C10))</f>
        <v/>
      </c>
      <c r="G10" s="14" t="str">
        <f aca="false">IF(N(C10)=0,"",MAX(0,C10-N(E10)))</f>
        <v/>
      </c>
      <c r="H10" s="30" t="str">
        <f aca="false">IF(OR(N(C10)=0,D10=""),"",MAX(1,(YEAR(D10)-YEAR(Painel!$C$4))*12+MONTH(D10)-MONTH(Painel!$C$4)))</f>
        <v/>
      </c>
      <c r="I10" s="31" t="str">
        <f aca="false">IF(H10="","",G10/H10)</f>
        <v/>
      </c>
    </row>
    <row r="11" customFormat="false" ht="15" hidden="false" customHeight="false" outlineLevel="0" collapsed="false">
      <c r="B11" s="25"/>
      <c r="C11" s="28"/>
      <c r="D11" s="10"/>
      <c r="E11" s="28"/>
      <c r="F11" s="19" t="str">
        <f aca="false">IF(N(C11)=0,"",MIN(1,N(E11)/C11))</f>
        <v/>
      </c>
      <c r="G11" s="14" t="str">
        <f aca="false">IF(N(C11)=0,"",MAX(0,C11-N(E11)))</f>
        <v/>
      </c>
      <c r="H11" s="30" t="str">
        <f aca="false">IF(OR(N(C11)=0,D11=""),"",MAX(1,(YEAR(D11)-YEAR(Painel!$C$4))*12+MONTH(D11)-MONTH(Painel!$C$4)))</f>
        <v/>
      </c>
      <c r="I11" s="31" t="str">
        <f aca="false">IF(H11="","",G11/H11)</f>
        <v/>
      </c>
    </row>
    <row r="12" customFormat="false" ht="15" hidden="false" customHeight="false" outlineLevel="0" collapsed="false">
      <c r="B12" s="25"/>
      <c r="C12" s="28"/>
      <c r="D12" s="10"/>
      <c r="E12" s="28"/>
      <c r="F12" s="19" t="str">
        <f aca="false">IF(N(C12)=0,"",MIN(1,N(E12)/C12))</f>
        <v/>
      </c>
      <c r="G12" s="14" t="str">
        <f aca="false">IF(N(C12)=0,"",MAX(0,C12-N(E12)))</f>
        <v/>
      </c>
      <c r="H12" s="30" t="str">
        <f aca="false">IF(OR(N(C12)=0,D12=""),"",MAX(1,(YEAR(D12)-YEAR(Painel!$C$4))*12+MONTH(D12)-MONTH(Painel!$C$4)))</f>
        <v/>
      </c>
      <c r="I12" s="31" t="str">
        <f aca="false">IF(H12="","",G12/H12)</f>
        <v/>
      </c>
    </row>
    <row r="13" customFormat="false" ht="15" hidden="false" customHeight="false" outlineLevel="0" collapsed="false">
      <c r="B13" s="25"/>
      <c r="C13" s="28"/>
      <c r="D13" s="10"/>
      <c r="E13" s="28"/>
      <c r="F13" s="19" t="str">
        <f aca="false">IF(N(C13)=0,"",MIN(1,N(E13)/C13))</f>
        <v/>
      </c>
      <c r="G13" s="14" t="str">
        <f aca="false">IF(N(C13)=0,"",MAX(0,C13-N(E13)))</f>
        <v/>
      </c>
      <c r="H13" s="30" t="str">
        <f aca="false">IF(OR(N(C13)=0,D13=""),"",MAX(1,(YEAR(D13)-YEAR(Painel!$C$4))*12+MONTH(D13)-MONTH(Painel!$C$4)))</f>
        <v/>
      </c>
      <c r="I13" s="31" t="str">
        <f aca="false">IF(H13="","",G13/H13)</f>
        <v/>
      </c>
    </row>
    <row r="14" customFormat="false" ht="15" hidden="false" customHeight="false" outlineLevel="0" collapsed="false">
      <c r="B14" s="25"/>
      <c r="C14" s="28"/>
      <c r="D14" s="10"/>
      <c r="E14" s="28"/>
      <c r="F14" s="19" t="str">
        <f aca="false">IF(N(C14)=0,"",MIN(1,N(E14)/C14))</f>
        <v/>
      </c>
      <c r="G14" s="14" t="str">
        <f aca="false">IF(N(C14)=0,"",MAX(0,C14-N(E14)))</f>
        <v/>
      </c>
      <c r="H14" s="30" t="str">
        <f aca="false">IF(OR(N(C14)=0,D14=""),"",MAX(1,(YEAR(D14)-YEAR(Painel!$C$4))*12+MONTH(D14)-MONTH(Painel!$C$4)))</f>
        <v/>
      </c>
      <c r="I14" s="31" t="str">
        <f aca="false">IF(H14="","",G14/H14)</f>
        <v/>
      </c>
    </row>
    <row r="15" customFormat="false" ht="15" hidden="false" customHeight="false" outlineLevel="0" collapsed="false">
      <c r="B15" s="25"/>
      <c r="C15" s="28"/>
      <c r="D15" s="10"/>
      <c r="E15" s="28"/>
      <c r="F15" s="19" t="str">
        <f aca="false">IF(N(C15)=0,"",MIN(1,N(E15)/C15))</f>
        <v/>
      </c>
      <c r="G15" s="14" t="str">
        <f aca="false">IF(N(C15)=0,"",MAX(0,C15-N(E15)))</f>
        <v/>
      </c>
      <c r="H15" s="30" t="str">
        <f aca="false">IF(OR(N(C15)=0,D15=""),"",MAX(1,(YEAR(D15)-YEAR(Painel!$C$4))*12+MONTH(D15)-MONTH(Painel!$C$4)))</f>
        <v/>
      </c>
      <c r="I15" s="31" t="str">
        <f aca="false">IF(H15="","",G15/H15)</f>
        <v/>
      </c>
    </row>
  </sheetData>
  <conditionalFormatting sqref="F6:F15">
    <cfRule type="dataBar" priority="2">
      <dataBar showValue="1" minLength="10" maxLength="90">
        <cfvo type="num" val="0"/>
        <cfvo type="num" val="1"/>
        <color rgb="FFA16C46"/>
      </dataBar>
      <extLst>
        <ext xmlns:x14="http://schemas.microsoft.com/office/spreadsheetml/2009/9/main" uri="{B025F937-C7B1-47D3-B67F-A62EFF666E3E}">
          <x14:id>{B066FE87-10D4-4457-8FB1-55E1BCA47E19}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66FE87-10D4-4457-8FB1-55E1BCA47E1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16C46"/>
              <x14:axisColor rgb="FF000000"/>
            </x14:dataBar>
          </x14:cfRule>
          <xm:sqref>F6:F15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2026-10-18T03:24:35Z</dcterms:created>
  <dc:creator>openpyxl</dc:creator>
  <dc:description/>
  <dc:language>en-US</dc:language>
  <cp:lastModifiedBy/>
  <dcterms:modified xsi:type="dcterms:W3CDTF">2026-10-18T03:24:38Z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